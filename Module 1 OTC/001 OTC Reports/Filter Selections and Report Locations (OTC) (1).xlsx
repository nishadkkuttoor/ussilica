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ussilica.sharepoint.com/sites/MSFabricPilot/Shared Documents/Modernization/Hubble Reports Specifications/"/>
    </mc:Choice>
  </mc:AlternateContent>
  <xr:revisionPtr revIDLastSave="0" documentId="8_{B5B04FBD-50DC-41C0-91EF-03538AFFB42E}" xr6:coauthVersionLast="47" xr6:coauthVersionMax="47" xr10:uidLastSave="{00000000-0000-0000-0000-000000000000}"/>
  <bookViews>
    <workbookView xWindow="38280" yWindow="915" windowWidth="38640" windowHeight="21120" firstSheet="17" activeTab="17" xr2:uid="{5B7BF103-BE14-4B98-9C5A-32C68F9EDBCD}"/>
  </bookViews>
  <sheets>
    <sheet name="July Manual Execution" sheetId="1" state="hidden" r:id="rId1"/>
    <sheet name="Reports" sheetId="2" state="hidden" r:id="rId2"/>
    <sheet name="Tables with Merge Keys" sheetId="12" state="hidden" r:id="rId3"/>
    <sheet name="Manual Analysis" sheetId="3" state="hidden" r:id="rId4"/>
    <sheet name="Sheet3" sheetId="23" state="hidden" r:id="rId5"/>
    <sheet name="Overview" sheetId="10" state="hidden" r:id="rId6"/>
    <sheet name="Hubble Scheduler Analysis" sheetId="5" state="hidden" r:id="rId7"/>
    <sheet name="Report Overview (2)" sheetId="17" state="hidden" r:id="rId8"/>
    <sheet name="Report Overview" sheetId="7" state="hidden" r:id="rId9"/>
    <sheet name="JDE tables cross reference" sheetId="18" state="hidden" r:id="rId10"/>
    <sheet name="Priority" sheetId="24" r:id="rId11"/>
    <sheet name="Extended Sales Order 1" sheetId="26" r:id="rId12"/>
    <sheet name="Extended Sales Order 2" sheetId="27" r:id="rId13"/>
    <sheet name="Extended Sales Order 3" sheetId="28" r:id="rId14"/>
    <sheet name="Extended Sales Order 4" sheetId="29" r:id="rId15"/>
    <sheet name="Extended Sales Order 5" sheetId="30" r:id="rId16"/>
    <sheet name="Extended Sales Order 6" sheetId="32" r:id="rId17"/>
    <sheet name="Extended Sales Order 7 " sheetId="25" r:id="rId18"/>
    <sheet name="Task Breakdown" sheetId="16" state="hidden" r:id="rId19"/>
    <sheet name="Task Estimator (All)" sheetId="20" state="hidden" r:id="rId20"/>
    <sheet name="Task Estimator SO" sheetId="15" state="hidden" r:id="rId21"/>
    <sheet name="Helper" sheetId="8" state="hidden" r:id="rId22"/>
    <sheet name="Extended Sales Order 8" sheetId="31" r:id="rId23"/>
    <sheet name="Custom Sales Order 2" sheetId="33" r:id="rId24"/>
  </sheets>
  <definedNames>
    <definedName name="_xlnm._FilterDatabase" localSheetId="17" hidden="1">'Extended Sales Order 7 '!$A$2:$M$5</definedName>
    <definedName name="_xlnm._FilterDatabase" localSheetId="6" hidden="1">'Hubble Scheduler Analysis'!$A$1:$J$147</definedName>
    <definedName name="_xlnm._FilterDatabase" localSheetId="3" hidden="1">'Manual Analysis'!$A$1:$M$159</definedName>
    <definedName name="_xlnm._FilterDatabase" localSheetId="10" hidden="1">Priority!#REF!</definedName>
    <definedName name="_xlnm._FilterDatabase" localSheetId="19" hidden="1">'Task Estimator (All)'!$I$1:$L$30</definedName>
    <definedName name="four">Helper!$B$5:$D$5</definedName>
    <definedName name="one">Helper!$B$2:$D$2</definedName>
    <definedName name="three">Helper!$B$4:$D$4</definedName>
    <definedName name="two">Helper!$B$3:$D$3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0" l="1"/>
  <c r="K21" i="10"/>
  <c r="H50" i="10"/>
  <c r="F50" i="10"/>
  <c r="M31" i="20"/>
  <c r="L31" i="20"/>
  <c r="E9" i="20"/>
  <c r="E10" i="20"/>
  <c r="E11" i="20"/>
  <c r="E12" i="20"/>
  <c r="E13" i="20"/>
  <c r="E14" i="20"/>
  <c r="E15" i="20"/>
  <c r="E16" i="20"/>
  <c r="E8" i="20"/>
  <c r="E17" i="20" s="1"/>
  <c r="V58" i="18"/>
  <c r="AP59" i="18"/>
  <c r="V60" i="18"/>
  <c r="AP60" i="18"/>
  <c r="V41" i="18"/>
  <c r="AT41" i="18"/>
  <c r="Z43" i="18"/>
  <c r="AA43" i="18"/>
  <c r="AP43" i="18"/>
  <c r="R45" i="18"/>
  <c r="V45" i="18"/>
  <c r="AP45" i="18"/>
  <c r="AQ45" i="18"/>
  <c r="AP46" i="18"/>
  <c r="AT46" i="18"/>
  <c r="F47" i="18"/>
  <c r="U47" i="18"/>
  <c r="Z47" i="18"/>
  <c r="AA47" i="18"/>
  <c r="Z48" i="18"/>
  <c r="AP48" i="18"/>
  <c r="AT48" i="18"/>
  <c r="Q49" i="18"/>
  <c r="AP50" i="18"/>
  <c r="R51" i="18"/>
  <c r="S51" i="18"/>
  <c r="AP52" i="18"/>
  <c r="V53" i="18"/>
  <c r="AP53" i="18"/>
  <c r="AQ53" i="18"/>
  <c r="J55" i="18"/>
  <c r="AA56" i="18"/>
  <c r="E42" i="18"/>
  <c r="V37" i="18"/>
  <c r="W37" i="18"/>
  <c r="V38" i="18"/>
  <c r="S34" i="18"/>
  <c r="V34" i="18"/>
  <c r="F32" i="18"/>
  <c r="F42" i="18" s="1"/>
  <c r="G32" i="18"/>
  <c r="G44" i="18" s="1"/>
  <c r="H32" i="18"/>
  <c r="H39" i="18" s="1"/>
  <c r="I32" i="18"/>
  <c r="I43" i="18" s="1"/>
  <c r="J32" i="18"/>
  <c r="J43" i="18" s="1"/>
  <c r="K32" i="18"/>
  <c r="K40" i="18" s="1"/>
  <c r="L32" i="18"/>
  <c r="L44" i="18" s="1"/>
  <c r="M32" i="18"/>
  <c r="M50" i="18" s="1"/>
  <c r="N32" i="18"/>
  <c r="N42" i="18" s="1"/>
  <c r="O32" i="18"/>
  <c r="O48" i="18" s="1"/>
  <c r="P32" i="18"/>
  <c r="P40" i="18" s="1"/>
  <c r="Q32" i="18"/>
  <c r="Q57" i="18" s="1"/>
  <c r="R32" i="18"/>
  <c r="R34" i="18" s="1"/>
  <c r="S32" i="18"/>
  <c r="S45" i="18" s="1"/>
  <c r="T32" i="18"/>
  <c r="T51" i="18" s="1"/>
  <c r="U32" i="18"/>
  <c r="U33" i="18" s="1"/>
  <c r="V32" i="18"/>
  <c r="V33" i="18" s="1"/>
  <c r="W32" i="18"/>
  <c r="W38" i="18" s="1"/>
  <c r="X32" i="18"/>
  <c r="X37" i="18" s="1"/>
  <c r="Y32" i="18"/>
  <c r="Y36" i="18" s="1"/>
  <c r="Z32" i="18"/>
  <c r="Z50" i="18" s="1"/>
  <c r="AA32" i="18"/>
  <c r="AA48" i="18" s="1"/>
  <c r="AB32" i="18"/>
  <c r="AB48" i="18" s="1"/>
  <c r="AC32" i="18"/>
  <c r="AC46" i="18" s="1"/>
  <c r="AD32" i="18"/>
  <c r="AD59" i="18" s="1"/>
  <c r="AE32" i="18"/>
  <c r="AE59" i="18" s="1"/>
  <c r="AF32" i="18"/>
  <c r="AG32" i="18"/>
  <c r="AG43" i="18" s="1"/>
  <c r="AH32" i="18"/>
  <c r="AI32" i="18"/>
  <c r="AJ32" i="18"/>
  <c r="AJ36" i="18" s="1"/>
  <c r="AK32" i="18"/>
  <c r="AK58" i="18" s="1"/>
  <c r="AL32" i="18"/>
  <c r="AL57" i="18" s="1"/>
  <c r="AM32" i="18"/>
  <c r="AM57" i="18" s="1"/>
  <c r="AN32" i="18"/>
  <c r="AN58" i="18" s="1"/>
  <c r="AO32" i="18"/>
  <c r="AO33" i="18" s="1"/>
  <c r="AP32" i="18"/>
  <c r="AP33" i="18" s="1"/>
  <c r="AQ32" i="18"/>
  <c r="AQ38" i="18" s="1"/>
  <c r="AR32" i="18"/>
  <c r="AR37" i="18" s="1"/>
  <c r="AS32" i="18"/>
  <c r="AS36" i="18" s="1"/>
  <c r="AT32" i="18"/>
  <c r="AT45" i="18" s="1"/>
  <c r="E32" i="18"/>
  <c r="E45" i="18" s="1"/>
  <c r="I8" i="15"/>
  <c r="E8" i="15"/>
  <c r="D18" i="15"/>
  <c r="C18" i="15"/>
  <c r="I16" i="15"/>
  <c r="E16" i="15"/>
  <c r="I15" i="15"/>
  <c r="E15" i="15"/>
  <c r="I14" i="15"/>
  <c r="E14" i="15"/>
  <c r="I13" i="15"/>
  <c r="E13" i="15"/>
  <c r="J13" i="15" s="1"/>
  <c r="I12" i="15"/>
  <c r="E12" i="15"/>
  <c r="J12" i="15" s="1"/>
  <c r="I11" i="15"/>
  <c r="E11" i="15"/>
  <c r="I10" i="15"/>
  <c r="E10" i="15"/>
  <c r="I9" i="15"/>
  <c r="E9" i="15"/>
  <c r="Z41" i="12"/>
  <c r="G41" i="12" a="1"/>
  <c r="G41" i="12" s="1"/>
  <c r="Z43" i="12"/>
  <c r="G43" i="12" a="1"/>
  <c r="G43" i="12" s="1"/>
  <c r="Z31" i="12"/>
  <c r="G31" i="12" a="1"/>
  <c r="G31" i="12" s="1"/>
  <c r="Z63" i="12"/>
  <c r="G63" i="12" a="1"/>
  <c r="G63" i="12" s="1"/>
  <c r="Z29" i="12"/>
  <c r="G29" i="12" a="1"/>
  <c r="G29" i="12" s="1"/>
  <c r="Z34" i="12"/>
  <c r="G34" i="12" a="1"/>
  <c r="G34" i="12" s="1"/>
  <c r="Z35" i="12"/>
  <c r="G35" i="12" a="1"/>
  <c r="G35" i="12" s="1"/>
  <c r="Z21" i="12"/>
  <c r="G21" i="12" a="1"/>
  <c r="G21" i="12" s="1"/>
  <c r="Z2" i="12"/>
  <c r="G2" i="12" a="1"/>
  <c r="G2" i="12" s="1"/>
  <c r="Z5" i="12"/>
  <c r="G5" i="12" a="1"/>
  <c r="G5" i="12" s="1"/>
  <c r="Z22" i="12"/>
  <c r="G22" i="12" a="1"/>
  <c r="G22" i="12" s="1"/>
  <c r="Z70" i="12"/>
  <c r="G70" i="12" a="1"/>
  <c r="G70" i="12" s="1"/>
  <c r="Z7" i="12"/>
  <c r="G7" i="12" a="1"/>
  <c r="G7" i="12" s="1"/>
  <c r="Z38" i="12"/>
  <c r="G38" i="12" a="1"/>
  <c r="G38" i="12" s="1"/>
  <c r="Z28" i="12"/>
  <c r="G28" i="12" a="1"/>
  <c r="G28" i="12" s="1"/>
  <c r="Z33" i="12"/>
  <c r="G33" i="12" a="1"/>
  <c r="G33" i="12" s="1"/>
  <c r="Z62" i="12"/>
  <c r="G62" i="12" a="1"/>
  <c r="G62" i="12" s="1"/>
  <c r="Z32" i="12"/>
  <c r="G32" i="12" a="1"/>
  <c r="G32" i="12" s="1"/>
  <c r="Z20" i="12"/>
  <c r="G20" i="12" a="1"/>
  <c r="G20" i="12" s="1"/>
  <c r="Z53" i="12"/>
  <c r="G53" i="12" a="1"/>
  <c r="G53" i="12" s="1"/>
  <c r="Z52" i="12"/>
  <c r="G52" i="12" a="1"/>
  <c r="G52" i="12" s="1"/>
  <c r="Z47" i="12"/>
  <c r="G47" i="12" a="1"/>
  <c r="G47" i="12" s="1"/>
  <c r="Z46" i="12"/>
  <c r="G46" i="12" a="1"/>
  <c r="G46" i="12" s="1"/>
  <c r="Z40" i="12"/>
  <c r="G40" i="12" a="1"/>
  <c r="G40" i="12" s="1"/>
  <c r="Z44" i="12"/>
  <c r="G44" i="12" a="1"/>
  <c r="G44" i="12" s="1"/>
  <c r="Z14" i="12"/>
  <c r="G14" i="12" a="1"/>
  <c r="G14" i="12" s="1"/>
  <c r="Z16" i="12"/>
  <c r="G16" i="12" a="1"/>
  <c r="G16" i="12" s="1"/>
  <c r="Z15" i="12"/>
  <c r="G15" i="12" a="1"/>
  <c r="G15" i="12" s="1"/>
  <c r="Z61" i="12"/>
  <c r="G61" i="12" a="1"/>
  <c r="G61" i="12" s="1"/>
  <c r="Z19" i="12"/>
  <c r="G19" i="12" a="1"/>
  <c r="G19" i="12" s="1"/>
  <c r="Z18" i="12"/>
  <c r="G18" i="12" a="1"/>
  <c r="G18" i="12" s="1"/>
  <c r="Z75" i="12"/>
  <c r="G75" i="12" a="1"/>
  <c r="G75" i="12" s="1"/>
  <c r="Z58" i="12"/>
  <c r="G58" i="12" a="1"/>
  <c r="G58" i="12" s="1"/>
  <c r="Z49" i="12"/>
  <c r="G49" i="12" a="1"/>
  <c r="G49" i="12" s="1"/>
  <c r="Z36" i="12"/>
  <c r="G36" i="12" a="1"/>
  <c r="G36" i="12" s="1"/>
  <c r="Z48" i="12"/>
  <c r="G48" i="12" a="1"/>
  <c r="G48" i="12" s="1"/>
  <c r="Z50" i="12"/>
  <c r="G50" i="12" a="1"/>
  <c r="G50" i="12" s="1"/>
  <c r="Z66" i="12"/>
  <c r="G66" i="12" a="1"/>
  <c r="G66" i="12" s="1"/>
  <c r="Z4" i="12"/>
  <c r="G4" i="12" a="1"/>
  <c r="G4" i="12" s="1"/>
  <c r="Z54" i="12"/>
  <c r="G54" i="12" a="1"/>
  <c r="G54" i="12" s="1"/>
  <c r="Z55" i="12"/>
  <c r="G55" i="12" a="1"/>
  <c r="G55" i="12" s="1"/>
  <c r="Z69" i="12"/>
  <c r="G69" i="12" a="1"/>
  <c r="G69" i="12" s="1"/>
  <c r="Z42" i="12"/>
  <c r="G42" i="12" a="1"/>
  <c r="G42" i="12" s="1"/>
  <c r="Z26" i="12"/>
  <c r="G26" i="12" a="1"/>
  <c r="G26" i="12" s="1"/>
  <c r="Z51" i="12"/>
  <c r="G51" i="12" a="1"/>
  <c r="G51" i="12" s="1"/>
  <c r="Z3" i="12"/>
  <c r="G3" i="12" a="1"/>
  <c r="G3" i="12" s="1"/>
  <c r="Z27" i="12"/>
  <c r="G27" i="12" a="1"/>
  <c r="G27" i="12" s="1"/>
  <c r="Z6" i="12"/>
  <c r="G6" i="12" a="1"/>
  <c r="G6" i="12" s="1"/>
  <c r="Z30" i="12"/>
  <c r="G30" i="12" a="1"/>
  <c r="G30" i="12" s="1"/>
  <c r="Z39" i="12"/>
  <c r="G39" i="12" a="1"/>
  <c r="G39" i="12" s="1"/>
  <c r="Z25" i="12"/>
  <c r="G25" i="12" a="1"/>
  <c r="G25" i="12" s="1"/>
  <c r="Z67" i="12"/>
  <c r="G67" i="12" a="1"/>
  <c r="G67" i="12" s="1"/>
  <c r="Z72" i="12"/>
  <c r="G72" i="12" a="1"/>
  <c r="G72" i="12" s="1"/>
  <c r="Z64" i="12"/>
  <c r="G64" i="12" a="1"/>
  <c r="G64" i="12" s="1"/>
  <c r="Z24" i="12"/>
  <c r="G24" i="12" a="1"/>
  <c r="G24" i="12" s="1"/>
  <c r="Z37" i="12"/>
  <c r="G37" i="12" a="1"/>
  <c r="G37" i="12" s="1"/>
  <c r="Z65" i="12"/>
  <c r="G65" i="12" a="1"/>
  <c r="G65" i="12" s="1"/>
  <c r="Z23" i="12"/>
  <c r="G23" i="12" a="1"/>
  <c r="G23" i="12" s="1"/>
  <c r="Z13" i="12"/>
  <c r="G13" i="12" a="1"/>
  <c r="G13" i="12" s="1"/>
  <c r="Z59" i="12"/>
  <c r="G59" i="12" a="1"/>
  <c r="G59" i="12" s="1"/>
  <c r="Z12" i="12"/>
  <c r="G12" i="12" a="1"/>
  <c r="G12" i="12" s="1"/>
  <c r="Z56" i="12"/>
  <c r="G56" i="12" a="1"/>
  <c r="G56" i="12" s="1"/>
  <c r="Z57" i="12"/>
  <c r="G57" i="12" a="1"/>
  <c r="G57" i="12" s="1"/>
  <c r="Z45" i="12"/>
  <c r="G45" i="12" a="1"/>
  <c r="G45" i="12" s="1"/>
  <c r="Z11" i="12"/>
  <c r="G11" i="12" a="1"/>
  <c r="G11" i="12" s="1"/>
  <c r="Z74" i="12"/>
  <c r="G74" i="12" a="1"/>
  <c r="G74" i="12" s="1"/>
  <c r="Z73" i="12"/>
  <c r="G73" i="12" a="1"/>
  <c r="G73" i="12" s="1"/>
  <c r="Z68" i="12"/>
  <c r="G68" i="12" a="1"/>
  <c r="G68" i="12" s="1"/>
  <c r="Z71" i="12"/>
  <c r="G71" i="12" a="1"/>
  <c r="G71" i="12" s="1"/>
  <c r="Z10" i="12"/>
  <c r="G10" i="12" a="1"/>
  <c r="G10" i="12" s="1"/>
  <c r="Z60" i="12"/>
  <c r="G60" i="12" a="1"/>
  <c r="G60" i="12" s="1"/>
  <c r="Z9" i="12"/>
  <c r="G9" i="12" a="1"/>
  <c r="G9" i="12" s="1"/>
  <c r="Z8" i="12"/>
  <c r="G8" i="12" a="1"/>
  <c r="G8" i="12" s="1"/>
  <c r="Z17" i="12"/>
  <c r="G17" i="12" a="1"/>
  <c r="G17" i="12" s="1"/>
  <c r="E15" i="10"/>
  <c r="F15" i="10"/>
  <c r="D15" i="10"/>
  <c r="C159" i="3"/>
  <c r="F2027" i="2"/>
  <c r="F2021" i="2"/>
  <c r="F2006" i="2"/>
  <c r="F2004" i="2"/>
  <c r="F1975" i="2"/>
  <c r="F1972" i="2"/>
  <c r="F1970" i="2"/>
  <c r="F1967" i="2"/>
  <c r="F1962" i="2"/>
  <c r="F1950" i="2"/>
  <c r="F1944" i="2"/>
  <c r="F1936" i="2"/>
  <c r="F1934" i="2"/>
  <c r="F1932" i="2"/>
  <c r="F1928" i="2"/>
  <c r="F1925" i="2"/>
  <c r="F1923" i="2"/>
  <c r="F1921" i="2"/>
  <c r="F1919" i="2"/>
  <c r="F1916" i="2"/>
  <c r="F1911" i="2"/>
  <c r="F1908" i="2"/>
  <c r="F1906" i="2"/>
  <c r="F1903" i="2"/>
  <c r="F1900" i="2"/>
  <c r="F1894" i="2"/>
  <c r="F1887" i="2"/>
  <c r="F1885" i="2"/>
  <c r="F1878" i="2"/>
  <c r="F1825" i="2"/>
  <c r="F1823" i="2"/>
  <c r="F1821" i="2"/>
  <c r="F1815" i="2"/>
  <c r="F1808" i="2"/>
  <c r="F1806" i="2"/>
  <c r="F1800" i="2"/>
  <c r="F1793" i="2"/>
  <c r="F1757" i="2"/>
  <c r="F1754" i="2"/>
  <c r="F1744" i="2"/>
  <c r="F1742" i="2"/>
  <c r="F1695" i="2"/>
  <c r="F1692" i="2"/>
  <c r="F1687" i="2"/>
  <c r="F1663" i="2"/>
  <c r="F1655" i="2"/>
  <c r="F1653" i="2"/>
  <c r="F1647" i="2"/>
  <c r="F1644" i="2"/>
  <c r="F1635" i="2"/>
  <c r="F1557" i="2"/>
  <c r="F1552" i="2"/>
  <c r="F1503" i="2"/>
  <c r="F1501" i="2"/>
  <c r="F1488" i="2"/>
  <c r="F1485" i="2"/>
  <c r="F1476" i="2"/>
  <c r="F1474" i="2"/>
  <c r="F1402" i="2"/>
  <c r="F1400" i="2"/>
  <c r="F1398" i="2"/>
  <c r="F1396" i="2"/>
  <c r="F1391" i="2"/>
  <c r="F1387" i="2"/>
  <c r="F1385" i="2"/>
  <c r="F1374" i="2"/>
  <c r="F1362" i="2"/>
  <c r="F1359" i="2"/>
  <c r="F1357" i="2"/>
  <c r="F1351" i="2"/>
  <c r="F1349" i="2"/>
  <c r="F1345" i="2"/>
  <c r="F1342" i="2"/>
  <c r="F1331" i="2"/>
  <c r="F1072" i="2"/>
  <c r="F1029" i="2"/>
  <c r="F988" i="2"/>
  <c r="F932" i="2"/>
  <c r="F907" i="2"/>
  <c r="F903" i="2"/>
  <c r="F900" i="2"/>
  <c r="F887" i="2"/>
  <c r="F882" i="2"/>
  <c r="F873" i="2"/>
  <c r="F870" i="2"/>
  <c r="F860" i="2"/>
  <c r="F834" i="2"/>
  <c r="F830" i="2"/>
  <c r="F715" i="2"/>
  <c r="F709" i="2"/>
  <c r="F706" i="2"/>
  <c r="F703" i="2"/>
  <c r="F682" i="2"/>
  <c r="F674" i="2"/>
  <c r="F670" i="2"/>
  <c r="F663" i="2"/>
  <c r="F654" i="2"/>
  <c r="F640" i="2"/>
  <c r="F638" i="2"/>
  <c r="F447" i="2"/>
  <c r="F444" i="2"/>
  <c r="F419" i="2"/>
  <c r="F287" i="2"/>
  <c r="F284" i="2"/>
  <c r="F279" i="2"/>
  <c r="F264" i="2"/>
  <c r="F259" i="2"/>
  <c r="F257" i="2"/>
  <c r="F253" i="2"/>
  <c r="F250" i="2"/>
  <c r="F248" i="2"/>
  <c r="F245" i="2"/>
  <c r="F243" i="2"/>
  <c r="F239" i="2"/>
  <c r="F236" i="2"/>
  <c r="F231" i="2"/>
  <c r="F225" i="2"/>
  <c r="F223" i="2"/>
  <c r="F217" i="2"/>
  <c r="F215" i="2"/>
  <c r="F210" i="2"/>
  <c r="F207" i="2"/>
  <c r="F202" i="2"/>
  <c r="F200" i="2"/>
  <c r="F190" i="2"/>
  <c r="F186" i="2"/>
  <c r="F179" i="2"/>
  <c r="F177" i="2"/>
  <c r="F172" i="2"/>
  <c r="F166" i="2"/>
  <c r="F163" i="2"/>
  <c r="F160" i="2"/>
  <c r="F157" i="2"/>
  <c r="F155" i="2"/>
  <c r="F153" i="2"/>
  <c r="F151" i="2"/>
  <c r="F149" i="2"/>
  <c r="F121" i="2"/>
  <c r="F119" i="2"/>
  <c r="F109" i="2"/>
  <c r="F103" i="2"/>
  <c r="F99" i="2"/>
  <c r="F97" i="2"/>
  <c r="F95" i="2"/>
  <c r="F90" i="2"/>
  <c r="F88" i="2"/>
  <c r="F86" i="2"/>
  <c r="F84" i="2"/>
  <c r="F82" i="2"/>
  <c r="F75" i="2"/>
  <c r="F73" i="2"/>
  <c r="F71" i="2"/>
  <c r="F69" i="2"/>
  <c r="F66" i="2"/>
  <c r="F24" i="2"/>
  <c r="F19" i="2"/>
  <c r="F16" i="2"/>
  <c r="F5" i="2"/>
  <c r="K20" i="10" l="1"/>
  <c r="E20" i="20"/>
  <c r="J8" i="15"/>
  <c r="E18" i="15"/>
  <c r="J21" i="15" s="1"/>
  <c r="J10" i="15"/>
  <c r="AJ55" i="18"/>
  <c r="P48" i="18"/>
  <c r="AK57" i="18"/>
  <c r="AJ57" i="18"/>
  <c r="Q34" i="18"/>
  <c r="AD45" i="18"/>
  <c r="P34" i="18"/>
  <c r="P51" i="18"/>
  <c r="Z45" i="18"/>
  <c r="AJ39" i="18"/>
  <c r="I60" i="18"/>
  <c r="AE58" i="18"/>
  <c r="J53" i="18"/>
  <c r="AE45" i="18"/>
  <c r="AK55" i="18"/>
  <c r="M53" i="18"/>
  <c r="L53" i="18"/>
  <c r="K53" i="18"/>
  <c r="P50" i="18"/>
  <c r="F50" i="18"/>
  <c r="AT43" i="18"/>
  <c r="E43" i="18"/>
  <c r="R49" i="18"/>
  <c r="AQ43" i="18"/>
  <c r="U53" i="18"/>
  <c r="AS50" i="18"/>
  <c r="AS48" i="18"/>
  <c r="H47" i="18"/>
  <c r="AS41" i="18"/>
  <c r="U58" i="18"/>
  <c r="E41" i="18"/>
  <c r="AR50" i="18"/>
  <c r="AR48" i="18"/>
  <c r="G47" i="18"/>
  <c r="AB45" i="18"/>
  <c r="AO43" i="18"/>
  <c r="AR41" i="18"/>
  <c r="AO60" i="18"/>
  <c r="AS57" i="18"/>
  <c r="E40" i="18"/>
  <c r="AQ50" i="18"/>
  <c r="AQ48" i="18"/>
  <c r="AA45" i="18"/>
  <c r="AB43" i="18"/>
  <c r="X41" i="18"/>
  <c r="Y60" i="18"/>
  <c r="AO57" i="18"/>
  <c r="U38" i="18"/>
  <c r="Y57" i="18"/>
  <c r="AS44" i="18"/>
  <c r="X36" i="18"/>
  <c r="U55" i="18"/>
  <c r="V52" i="18"/>
  <c r="AT49" i="18"/>
  <c r="U48" i="18"/>
  <c r="AO46" i="18"/>
  <c r="AQ44" i="18"/>
  <c r="AP42" i="18"/>
  <c r="AP40" i="18"/>
  <c r="AO59" i="18"/>
  <c r="V57" i="18"/>
  <c r="AO48" i="18"/>
  <c r="AR46" i="18"/>
  <c r="Y43" i="18"/>
  <c r="X57" i="18"/>
  <c r="U37" i="18"/>
  <c r="Y48" i="18"/>
  <c r="W57" i="18"/>
  <c r="U52" i="18"/>
  <c r="R48" i="18"/>
  <c r="Y46" i="18"/>
  <c r="AP44" i="18"/>
  <c r="AO42" i="18"/>
  <c r="Z40" i="18"/>
  <c r="W59" i="18"/>
  <c r="U57" i="18"/>
  <c r="AR55" i="18"/>
  <c r="U41" i="18"/>
  <c r="X43" i="18"/>
  <c r="AQ40" i="18"/>
  <c r="W36" i="18"/>
  <c r="P36" i="18"/>
  <c r="AJ54" i="18"/>
  <c r="AR51" i="18"/>
  <c r="AQ49" i="18"/>
  <c r="AS47" i="18"/>
  <c r="Y44" i="18"/>
  <c r="Y42" i="18"/>
  <c r="X40" i="18"/>
  <c r="U59" i="18"/>
  <c r="AS60" i="18"/>
  <c r="AR52" i="18"/>
  <c r="AQ59" i="18"/>
  <c r="X55" i="18"/>
  <c r="AS42" i="18"/>
  <c r="AS49" i="18"/>
  <c r="V36" i="18"/>
  <c r="AK54" i="18"/>
  <c r="AS51" i="18"/>
  <c r="AR49" i="18"/>
  <c r="X46" i="18"/>
  <c r="AO44" i="18"/>
  <c r="Z42" i="18"/>
  <c r="Y40" i="18"/>
  <c r="V59" i="18"/>
  <c r="G46" i="18"/>
  <c r="AO35" i="18"/>
  <c r="AC54" i="18"/>
  <c r="AQ51" i="18"/>
  <c r="AP49" i="18"/>
  <c r="AR47" i="18"/>
  <c r="F46" i="18"/>
  <c r="X44" i="18"/>
  <c r="X42" i="18"/>
  <c r="W40" i="18"/>
  <c r="AP58" i="18"/>
  <c r="AO50" i="18"/>
  <c r="AS46" i="18"/>
  <c r="U60" i="18"/>
  <c r="S50" i="18"/>
  <c r="AS40" i="18"/>
  <c r="AQ46" i="18"/>
  <c r="AR40" i="18"/>
  <c r="AO52" i="18"/>
  <c r="AR44" i="18"/>
  <c r="Y35" i="18"/>
  <c r="Y54" i="18"/>
  <c r="AP51" i="18"/>
  <c r="AO49" i="18"/>
  <c r="AQ47" i="18"/>
  <c r="V44" i="18"/>
  <c r="V42" i="18"/>
  <c r="V40" i="18"/>
  <c r="AM58" i="18"/>
  <c r="W35" i="18"/>
  <c r="V54" i="18"/>
  <c r="AO51" i="18"/>
  <c r="Y49" i="18"/>
  <c r="AP47" i="18"/>
  <c r="AS45" i="18"/>
  <c r="U44" i="18"/>
  <c r="U42" i="18"/>
  <c r="F40" i="18"/>
  <c r="AL58" i="18"/>
  <c r="V35" i="18"/>
  <c r="U54" i="18"/>
  <c r="V51" i="18"/>
  <c r="U49" i="18"/>
  <c r="AO47" i="18"/>
  <c r="AR45" i="18"/>
  <c r="F44" i="18"/>
  <c r="I42" i="18"/>
  <c r="AK39" i="18"/>
  <c r="AJ58" i="18"/>
  <c r="U35" i="18"/>
  <c r="H42" i="18"/>
  <c r="E47" i="18"/>
  <c r="AS43" i="18"/>
  <c r="G42" i="18"/>
  <c r="Y39" i="18"/>
  <c r="X58" i="18"/>
  <c r="E44" i="18"/>
  <c r="AO53" i="18"/>
  <c r="Q51" i="18"/>
  <c r="F49" i="18"/>
  <c r="Y47" i="18"/>
  <c r="AO45" i="18"/>
  <c r="AR43" i="18"/>
  <c r="X39" i="18"/>
  <c r="W58" i="18"/>
  <c r="I18" i="15"/>
  <c r="J22" i="15" s="1"/>
  <c r="T53" i="18"/>
  <c r="AN35" i="18"/>
  <c r="AM59" i="18"/>
  <c r="AN44" i="18"/>
  <c r="T38" i="18"/>
  <c r="AM44" i="18"/>
  <c r="AK59" i="18"/>
  <c r="AJ37" i="18"/>
  <c r="AM47" i="18"/>
  <c r="AJ59" i="18"/>
  <c r="AJ35" i="18"/>
  <c r="AJ56" i="18"/>
  <c r="L55" i="18"/>
  <c r="Q54" i="18"/>
  <c r="AN50" i="18"/>
  <c r="AN49" i="18"/>
  <c r="AJ48" i="18"/>
  <c r="AK47" i="18"/>
  <c r="AN46" i="18"/>
  <c r="AK60" i="18"/>
  <c r="S58" i="18"/>
  <c r="R57" i="18"/>
  <c r="AB56" i="18"/>
  <c r="K55" i="18"/>
  <c r="P54" i="18"/>
  <c r="AQ52" i="18"/>
  <c r="AM50" i="18"/>
  <c r="AM49" i="18"/>
  <c r="AJ47" i="18"/>
  <c r="AL46" i="18"/>
  <c r="AC45" i="18"/>
  <c r="W44" i="18"/>
  <c r="AJ60" i="18"/>
  <c r="R58" i="18"/>
  <c r="P57" i="18"/>
  <c r="S53" i="18"/>
  <c r="AK38" i="18"/>
  <c r="AK35" i="18"/>
  <c r="R54" i="18"/>
  <c r="T58" i="18"/>
  <c r="AL49" i="18"/>
  <c r="T56" i="18"/>
  <c r="AM51" i="18"/>
  <c r="AK50" i="18"/>
  <c r="H55" i="18"/>
  <c r="R37" i="18"/>
  <c r="T35" i="18"/>
  <c r="R56" i="18"/>
  <c r="AS54" i="18"/>
  <c r="AM53" i="18"/>
  <c r="AM52" i="18"/>
  <c r="Y51" i="18"/>
  <c r="X49" i="18"/>
  <c r="X48" i="18"/>
  <c r="X47" i="18"/>
  <c r="W46" i="18"/>
  <c r="Y45" i="18"/>
  <c r="V43" i="18"/>
  <c r="AP41" i="18"/>
  <c r="I40" i="18"/>
  <c r="T60" i="18"/>
  <c r="P59" i="18"/>
  <c r="AR57" i="18"/>
  <c r="AJ40" i="18"/>
  <c r="P52" i="18"/>
  <c r="AL56" i="18"/>
  <c r="AK46" i="18"/>
  <c r="C32" i="18"/>
  <c r="T37" i="18"/>
  <c r="AJ51" i="18"/>
  <c r="AJ50" i="18"/>
  <c r="W43" i="18"/>
  <c r="J40" i="18"/>
  <c r="Q59" i="18"/>
  <c r="AJ34" i="18"/>
  <c r="Q37" i="18"/>
  <c r="S35" i="18"/>
  <c r="Q56" i="18"/>
  <c r="AP54" i="18"/>
  <c r="AL53" i="18"/>
  <c r="AL52" i="18"/>
  <c r="X51" i="18"/>
  <c r="Y50" i="18"/>
  <c r="W49" i="18"/>
  <c r="W48" i="18"/>
  <c r="W47" i="18"/>
  <c r="V46" i="18"/>
  <c r="X45" i="18"/>
  <c r="K44" i="18"/>
  <c r="U43" i="18"/>
  <c r="AO41" i="18"/>
  <c r="H40" i="18"/>
  <c r="S60" i="18"/>
  <c r="AR58" i="18"/>
  <c r="AQ57" i="18"/>
  <c r="T52" i="18"/>
  <c r="P53" i="18"/>
  <c r="Q39" i="18"/>
  <c r="S55" i="18"/>
  <c r="AM35" i="18"/>
  <c r="T54" i="18"/>
  <c r="AL59" i="18"/>
  <c r="P55" i="18"/>
  <c r="AN43" i="18"/>
  <c r="M55" i="18"/>
  <c r="Q58" i="18"/>
  <c r="I55" i="18"/>
  <c r="AK49" i="18"/>
  <c r="P58" i="18"/>
  <c r="S37" i="18"/>
  <c r="S56" i="18"/>
  <c r="AN52" i="18"/>
  <c r="S44" i="18"/>
  <c r="AQ41" i="18"/>
  <c r="W34" i="18"/>
  <c r="P37" i="18"/>
  <c r="R35" i="18"/>
  <c r="P56" i="18"/>
  <c r="AO54" i="18"/>
  <c r="AK53" i="18"/>
  <c r="AK52" i="18"/>
  <c r="W51" i="18"/>
  <c r="X50" i="18"/>
  <c r="V49" i="18"/>
  <c r="V48" i="18"/>
  <c r="V47" i="18"/>
  <c r="U46" i="18"/>
  <c r="W45" i="18"/>
  <c r="J44" i="18"/>
  <c r="T43" i="18"/>
  <c r="Y41" i="18"/>
  <c r="G40" i="18"/>
  <c r="R60" i="18"/>
  <c r="AQ58" i="18"/>
  <c r="AP57" i="18"/>
  <c r="S52" i="18"/>
  <c r="T55" i="18"/>
  <c r="AN59" i="18"/>
  <c r="P39" i="18"/>
  <c r="AM56" i="18"/>
  <c r="AL50" i="18"/>
  <c r="AN54" i="18"/>
  <c r="T46" i="18"/>
  <c r="I44" i="18"/>
  <c r="U34" i="18"/>
  <c r="AK36" i="18"/>
  <c r="E46" i="18"/>
  <c r="AO55" i="18"/>
  <c r="AM54" i="18"/>
  <c r="W53" i="18"/>
  <c r="X52" i="18"/>
  <c r="U51" i="18"/>
  <c r="V50" i="18"/>
  <c r="T49" i="18"/>
  <c r="T48" i="18"/>
  <c r="P47" i="18"/>
  <c r="R46" i="18"/>
  <c r="U45" i="18"/>
  <c r="H44" i="18"/>
  <c r="AR42" i="18"/>
  <c r="W41" i="18"/>
  <c r="AS39" i="18"/>
  <c r="P60" i="18"/>
  <c r="AO58" i="18"/>
  <c r="Q53" i="18"/>
  <c r="AJ38" i="18"/>
  <c r="R52" i="18"/>
  <c r="AN56" i="18"/>
  <c r="Q52" i="18"/>
  <c r="Q55" i="18"/>
  <c r="AL35" i="18"/>
  <c r="S54" i="18"/>
  <c r="AN47" i="18"/>
  <c r="T57" i="18"/>
  <c r="AK56" i="18"/>
  <c r="S57" i="18"/>
  <c r="R59" i="18"/>
  <c r="AL36" i="18"/>
  <c r="AJ53" i="18"/>
  <c r="AJ52" i="18"/>
  <c r="W50" i="18"/>
  <c r="Q60" i="18"/>
  <c r="T34" i="18"/>
  <c r="AL55" i="18"/>
  <c r="AL54" i="18"/>
  <c r="W52" i="18"/>
  <c r="U50" i="18"/>
  <c r="S49" i="18"/>
  <c r="S48" i="18"/>
  <c r="I47" i="18"/>
  <c r="Q46" i="18"/>
  <c r="AR39" i="18"/>
  <c r="J60" i="18"/>
  <c r="AI33" i="18"/>
  <c r="AI42" i="18"/>
  <c r="AI43" i="18"/>
  <c r="AI44" i="18"/>
  <c r="AI45" i="18"/>
  <c r="AI46" i="18"/>
  <c r="AI47" i="18"/>
  <c r="AI50" i="18"/>
  <c r="AH33" i="18"/>
  <c r="AH43" i="18"/>
  <c r="AH44" i="18"/>
  <c r="AH45" i="18"/>
  <c r="AH46" i="18"/>
  <c r="AH47" i="18"/>
  <c r="AH48" i="18"/>
  <c r="AH57" i="18"/>
  <c r="AH51" i="18"/>
  <c r="AH42" i="18"/>
  <c r="AF35" i="18"/>
  <c r="AF45" i="18"/>
  <c r="AF46" i="18"/>
  <c r="AF47" i="18"/>
  <c r="AF48" i="18"/>
  <c r="AF49" i="18"/>
  <c r="AF50" i="18"/>
  <c r="AF59" i="18"/>
  <c r="AG42" i="18"/>
  <c r="AG40" i="18"/>
  <c r="O39" i="18"/>
  <c r="AH60" i="18"/>
  <c r="O59" i="18"/>
  <c r="M35" i="18"/>
  <c r="M44" i="18"/>
  <c r="M46" i="18"/>
  <c r="M45" i="18"/>
  <c r="M47" i="18"/>
  <c r="M48" i="18"/>
  <c r="M49" i="18"/>
  <c r="M58" i="18"/>
  <c r="M52" i="18"/>
  <c r="AG51" i="18"/>
  <c r="AI60" i="18"/>
  <c r="L33" i="18"/>
  <c r="L45" i="18"/>
  <c r="L47" i="18"/>
  <c r="L46" i="18"/>
  <c r="L48" i="18"/>
  <c r="L49" i="18"/>
  <c r="L50" i="18"/>
  <c r="L59" i="18"/>
  <c r="K33" i="18"/>
  <c r="K46" i="18"/>
  <c r="K48" i="18"/>
  <c r="K47" i="18"/>
  <c r="K49" i="18"/>
  <c r="K50" i="18"/>
  <c r="K57" i="18"/>
  <c r="K51" i="18"/>
  <c r="K60" i="18"/>
  <c r="AI53" i="18"/>
  <c r="AG57" i="18"/>
  <c r="AG53" i="18"/>
  <c r="AB35" i="18"/>
  <c r="AB49" i="18"/>
  <c r="AB57" i="18"/>
  <c r="AB50" i="18"/>
  <c r="AB51" i="18"/>
  <c r="AB58" i="18"/>
  <c r="AB52" i="18"/>
  <c r="AB59" i="18"/>
  <c r="AB53" i="18"/>
  <c r="AB60" i="18"/>
  <c r="AB54" i="18"/>
  <c r="AE55" i="18"/>
  <c r="AC40" i="18"/>
  <c r="K39" i="18"/>
  <c r="AC60" i="18"/>
  <c r="J59" i="18"/>
  <c r="E36" i="18"/>
  <c r="E54" i="18"/>
  <c r="E55" i="18"/>
  <c r="E56" i="18"/>
  <c r="E39" i="18"/>
  <c r="E59" i="18"/>
  <c r="E58" i="18"/>
  <c r="AA35" i="18"/>
  <c r="AA50" i="18"/>
  <c r="AA52" i="18"/>
  <c r="AA57" i="18"/>
  <c r="AA51" i="18"/>
  <c r="AA58" i="18"/>
  <c r="AA59" i="18"/>
  <c r="AA53" i="18"/>
  <c r="AA60" i="18"/>
  <c r="AA54" i="18"/>
  <c r="AA55" i="18"/>
  <c r="G35" i="18"/>
  <c r="G50" i="18"/>
  <c r="G57" i="18"/>
  <c r="G51" i="18"/>
  <c r="G58" i="18"/>
  <c r="G52" i="18"/>
  <c r="G59" i="18"/>
  <c r="G53" i="18"/>
  <c r="G60" i="18"/>
  <c r="G54" i="18"/>
  <c r="G55" i="18"/>
  <c r="N56" i="18"/>
  <c r="AD55" i="18"/>
  <c r="AE53" i="18"/>
  <c r="N52" i="18"/>
  <c r="AH50" i="18"/>
  <c r="N49" i="18"/>
  <c r="AC47" i="18"/>
  <c r="I46" i="18"/>
  <c r="AE44" i="18"/>
  <c r="AB42" i="18"/>
  <c r="L41" i="18"/>
  <c r="AB40" i="18"/>
  <c r="J39" i="18"/>
  <c r="AT35" i="18"/>
  <c r="AT57" i="18"/>
  <c r="AT51" i="18"/>
  <c r="AT59" i="18"/>
  <c r="AT58" i="18"/>
  <c r="AT52" i="18"/>
  <c r="AT53" i="18"/>
  <c r="AT60" i="18"/>
  <c r="AT54" i="18"/>
  <c r="AT55" i="18"/>
  <c r="AT56" i="18"/>
  <c r="AT39" i="18"/>
  <c r="Z35" i="18"/>
  <c r="Z57" i="18"/>
  <c r="Z51" i="18"/>
  <c r="Z53" i="18"/>
  <c r="Z58" i="18"/>
  <c r="Z52" i="18"/>
  <c r="Z59" i="18"/>
  <c r="Z60" i="18"/>
  <c r="Z54" i="18"/>
  <c r="Z55" i="18"/>
  <c r="Z56" i="18"/>
  <c r="Z39" i="18"/>
  <c r="F35" i="18"/>
  <c r="F57" i="18"/>
  <c r="F51" i="18"/>
  <c r="F59" i="18"/>
  <c r="F58" i="18"/>
  <c r="F52" i="18"/>
  <c r="F53" i="18"/>
  <c r="F60" i="18"/>
  <c r="F54" i="18"/>
  <c r="F55" i="18"/>
  <c r="F56" i="18"/>
  <c r="F39" i="18"/>
  <c r="M56" i="18"/>
  <c r="AC55" i="18"/>
  <c r="O54" i="18"/>
  <c r="AD53" i="18"/>
  <c r="L52" i="18"/>
  <c r="AG50" i="18"/>
  <c r="G49" i="18"/>
  <c r="AB47" i="18"/>
  <c r="H46" i="18"/>
  <c r="AD44" i="18"/>
  <c r="M43" i="18"/>
  <c r="AA42" i="18"/>
  <c r="K41" i="18"/>
  <c r="AA40" i="18"/>
  <c r="I39" i="18"/>
  <c r="O58" i="18"/>
  <c r="AH55" i="18"/>
  <c r="AG55" i="18"/>
  <c r="M59" i="18"/>
  <c r="AF57" i="18"/>
  <c r="O56" i="18"/>
  <c r="AC42" i="18"/>
  <c r="AB55" i="18"/>
  <c r="K43" i="18"/>
  <c r="AH39" i="18"/>
  <c r="AH59" i="18"/>
  <c r="H41" i="18"/>
  <c r="AI56" i="18"/>
  <c r="AI52" i="18"/>
  <c r="K45" i="18"/>
  <c r="Z44" i="18"/>
  <c r="AF41" i="18"/>
  <c r="G41" i="18"/>
  <c r="AF39" i="18"/>
  <c r="E60" i="18"/>
  <c r="K58" i="18"/>
  <c r="N50" i="18"/>
  <c r="AI55" i="18"/>
  <c r="AF51" i="18"/>
  <c r="AI57" i="18"/>
  <c r="O41" i="18"/>
  <c r="M39" i="18"/>
  <c r="I33" i="18"/>
  <c r="I48" i="18"/>
  <c r="I50" i="18"/>
  <c r="I49" i="18"/>
  <c r="I57" i="18"/>
  <c r="I51" i="18"/>
  <c r="I58" i="18"/>
  <c r="I52" i="18"/>
  <c r="I59" i="18"/>
  <c r="I53" i="18"/>
  <c r="AD60" i="18"/>
  <c r="O49" i="18"/>
  <c r="J41" i="18"/>
  <c r="O33" i="18"/>
  <c r="O42" i="18"/>
  <c r="O44" i="18"/>
  <c r="O43" i="18"/>
  <c r="O45" i="18"/>
  <c r="O46" i="18"/>
  <c r="O47" i="18"/>
  <c r="O50" i="18"/>
  <c r="AE35" i="18"/>
  <c r="AE46" i="18"/>
  <c r="AE47" i="18"/>
  <c r="AE48" i="18"/>
  <c r="AE49" i="18"/>
  <c r="AE57" i="18"/>
  <c r="AE50" i="18"/>
  <c r="AE51" i="18"/>
  <c r="AE60" i="18"/>
  <c r="AF42" i="18"/>
  <c r="N59" i="18"/>
  <c r="N41" i="18"/>
  <c r="O52" i="18"/>
  <c r="L43" i="18"/>
  <c r="AI59" i="18"/>
  <c r="M54" i="18"/>
  <c r="AA44" i="18"/>
  <c r="E57" i="18"/>
  <c r="L58" i="18"/>
  <c r="I56" i="18"/>
  <c r="AI54" i="18"/>
  <c r="AI49" i="18"/>
  <c r="AE41" i="18"/>
  <c r="AE39" i="18"/>
  <c r="AN33" i="18"/>
  <c r="AN39" i="18"/>
  <c r="AN40" i="18"/>
  <c r="AN42" i="18"/>
  <c r="AN41" i="18"/>
  <c r="AN45" i="18"/>
  <c r="T33" i="18"/>
  <c r="T39" i="18"/>
  <c r="T40" i="18"/>
  <c r="T36" i="18"/>
  <c r="T41" i="18"/>
  <c r="T42" i="18"/>
  <c r="T45" i="18"/>
  <c r="E52" i="18"/>
  <c r="AG56" i="18"/>
  <c r="G56" i="18"/>
  <c r="R55" i="18"/>
  <c r="AH54" i="18"/>
  <c r="R53" i="18"/>
  <c r="AG52" i="18"/>
  <c r="M51" i="18"/>
  <c r="AH49" i="18"/>
  <c r="H48" i="18"/>
  <c r="I45" i="18"/>
  <c r="G43" i="18"/>
  <c r="AD41" i="18"/>
  <c r="AT40" i="18"/>
  <c r="AD39" i="18"/>
  <c r="N35" i="18"/>
  <c r="N43" i="18"/>
  <c r="N45" i="18"/>
  <c r="N44" i="18"/>
  <c r="N46" i="18"/>
  <c r="N47" i="18"/>
  <c r="N48" i="18"/>
  <c r="N57" i="18"/>
  <c r="N51" i="18"/>
  <c r="AI48" i="18"/>
  <c r="AG33" i="18"/>
  <c r="AG44" i="18"/>
  <c r="AG45" i="18"/>
  <c r="AG46" i="18"/>
  <c r="AG47" i="18"/>
  <c r="AG48" i="18"/>
  <c r="AG49" i="18"/>
  <c r="AG58" i="18"/>
  <c r="N39" i="18"/>
  <c r="AE40" i="18"/>
  <c r="AC35" i="18"/>
  <c r="AC48" i="18"/>
  <c r="AC49" i="18"/>
  <c r="AC50" i="18"/>
  <c r="AC57" i="18"/>
  <c r="AC51" i="18"/>
  <c r="AC59" i="18"/>
  <c r="AC58" i="18"/>
  <c r="AC52" i="18"/>
  <c r="AC53" i="18"/>
  <c r="L39" i="18"/>
  <c r="J46" i="18"/>
  <c r="K52" i="18"/>
  <c r="AI39" i="18"/>
  <c r="AH41" i="18"/>
  <c r="N58" i="18"/>
  <c r="J56" i="18"/>
  <c r="AG39" i="18"/>
  <c r="AG59" i="18"/>
  <c r="AH56" i="18"/>
  <c r="J54" i="18"/>
  <c r="O51" i="18"/>
  <c r="AD46" i="18"/>
  <c r="H43" i="18"/>
  <c r="F41" i="18"/>
  <c r="I54" i="18"/>
  <c r="AM33" i="18"/>
  <c r="AM34" i="18"/>
  <c r="AM39" i="18"/>
  <c r="AM40" i="18"/>
  <c r="AM41" i="18"/>
  <c r="AM42" i="18"/>
  <c r="AM43" i="18"/>
  <c r="AM46" i="18"/>
  <c r="S33" i="18"/>
  <c r="S40" i="18"/>
  <c r="S36" i="18"/>
  <c r="S39" i="18"/>
  <c r="S41" i="18"/>
  <c r="S42" i="18"/>
  <c r="S38" i="18"/>
  <c r="S43" i="18"/>
  <c r="S46" i="18"/>
  <c r="E51" i="18"/>
  <c r="AF56" i="18"/>
  <c r="AG54" i="18"/>
  <c r="AF52" i="18"/>
  <c r="AN51" i="18"/>
  <c r="L51" i="18"/>
  <c r="T50" i="18"/>
  <c r="AA49" i="18"/>
  <c r="G48" i="18"/>
  <c r="AB46" i="18"/>
  <c r="H45" i="18"/>
  <c r="AF43" i="18"/>
  <c r="F43" i="18"/>
  <c r="M42" i="18"/>
  <c r="AC41" i="18"/>
  <c r="O40" i="18"/>
  <c r="AC39" i="18"/>
  <c r="O60" i="18"/>
  <c r="AF40" i="18"/>
  <c r="AD35" i="18"/>
  <c r="AD47" i="18"/>
  <c r="AD48" i="18"/>
  <c r="AD49" i="18"/>
  <c r="AD50" i="18"/>
  <c r="AD58" i="18"/>
  <c r="AD57" i="18"/>
  <c r="AD51" i="18"/>
  <c r="AD52" i="18"/>
  <c r="AF60" i="18"/>
  <c r="AF55" i="18"/>
  <c r="AD42" i="18"/>
  <c r="AD40" i="18"/>
  <c r="AF53" i="18"/>
  <c r="AF44" i="18"/>
  <c r="N54" i="18"/>
  <c r="AC44" i="18"/>
  <c r="G39" i="18"/>
  <c r="AI51" i="18"/>
  <c r="AI40" i="18"/>
  <c r="AH40" i="18"/>
  <c r="AG60" i="18"/>
  <c r="AH53" i="18"/>
  <c r="K59" i="18"/>
  <c r="M41" i="18"/>
  <c r="L56" i="18"/>
  <c r="K56" i="18"/>
  <c r="AB44" i="18"/>
  <c r="I41" i="18"/>
  <c r="L54" i="18"/>
  <c r="AG41" i="18"/>
  <c r="E53" i="18"/>
  <c r="AH52" i="18"/>
  <c r="AL37" i="18"/>
  <c r="AL39" i="18"/>
  <c r="AL40" i="18"/>
  <c r="AL34" i="18"/>
  <c r="AL41" i="18"/>
  <c r="AL42" i="18"/>
  <c r="AL43" i="18"/>
  <c r="AL33" i="18"/>
  <c r="AL44" i="18"/>
  <c r="AL47" i="18"/>
  <c r="E50" i="18"/>
  <c r="AF54" i="18"/>
  <c r="AT50" i="18"/>
  <c r="Z49" i="18"/>
  <c r="F48" i="18"/>
  <c r="AT42" i="18"/>
  <c r="AD56" i="18"/>
  <c r="J33" i="18"/>
  <c r="J47" i="18"/>
  <c r="J49" i="18"/>
  <c r="J48" i="18"/>
  <c r="J50" i="18"/>
  <c r="J58" i="18"/>
  <c r="J57" i="18"/>
  <c r="J51" i="18"/>
  <c r="J52" i="18"/>
  <c r="AE42" i="18"/>
  <c r="H35" i="18"/>
  <c r="H49" i="18"/>
  <c r="H51" i="18"/>
  <c r="H50" i="18"/>
  <c r="H57" i="18"/>
  <c r="H58" i="18"/>
  <c r="H52" i="18"/>
  <c r="H60" i="18"/>
  <c r="H59" i="18"/>
  <c r="H53" i="18"/>
  <c r="H54" i="18"/>
  <c r="AI41" i="18"/>
  <c r="K54" i="18"/>
  <c r="H56" i="18"/>
  <c r="J45" i="18"/>
  <c r="R39" i="18"/>
  <c r="R41" i="18"/>
  <c r="R40" i="18"/>
  <c r="R36" i="18"/>
  <c r="R42" i="18"/>
  <c r="R38" i="18"/>
  <c r="R33" i="18"/>
  <c r="R43" i="18"/>
  <c r="R44" i="18"/>
  <c r="R47" i="18"/>
  <c r="AE56" i="18"/>
  <c r="AE52" i="18"/>
  <c r="AN48" i="18"/>
  <c r="T47" i="18"/>
  <c r="AA46" i="18"/>
  <c r="G45" i="18"/>
  <c r="AE43" i="18"/>
  <c r="L42" i="18"/>
  <c r="AB41" i="18"/>
  <c r="N40" i="18"/>
  <c r="AB39" i="18"/>
  <c r="AN60" i="18"/>
  <c r="N60" i="18"/>
  <c r="AI58" i="18"/>
  <c r="O57" i="18"/>
  <c r="AK33" i="18"/>
  <c r="AK40" i="18"/>
  <c r="AK37" i="18"/>
  <c r="AK34" i="18"/>
  <c r="AK41" i="18"/>
  <c r="AK42" i="18"/>
  <c r="AK43" i="18"/>
  <c r="AK44" i="18"/>
  <c r="AK45" i="18"/>
  <c r="AK48" i="18"/>
  <c r="Q33" i="18"/>
  <c r="Q40" i="18"/>
  <c r="Q36" i="18"/>
  <c r="Q42" i="18"/>
  <c r="Q41" i="18"/>
  <c r="Q38" i="18"/>
  <c r="Q43" i="18"/>
  <c r="Q44" i="18"/>
  <c r="Q45" i="18"/>
  <c r="Q35" i="18"/>
  <c r="Q48" i="18"/>
  <c r="E49" i="18"/>
  <c r="AN55" i="18"/>
  <c r="O55" i="18"/>
  <c r="AE54" i="18"/>
  <c r="O53" i="18"/>
  <c r="AL51" i="18"/>
  <c r="R50" i="18"/>
  <c r="AM48" i="18"/>
  <c r="AT47" i="18"/>
  <c r="S47" i="18"/>
  <c r="Z46" i="18"/>
  <c r="AM45" i="18"/>
  <c r="F45" i="18"/>
  <c r="AD43" i="18"/>
  <c r="K42" i="18"/>
  <c r="AA41" i="18"/>
  <c r="M40" i="18"/>
  <c r="AA39" i="18"/>
  <c r="AM60" i="18"/>
  <c r="M60" i="18"/>
  <c r="T59" i="18"/>
  <c r="AH58" i="18"/>
  <c r="M57" i="18"/>
  <c r="AJ33" i="18"/>
  <c r="AJ41" i="18"/>
  <c r="AJ42" i="18"/>
  <c r="AJ43" i="18"/>
  <c r="AJ44" i="18"/>
  <c r="AJ45" i="18"/>
  <c r="AJ46" i="18"/>
  <c r="AJ49" i="18"/>
  <c r="P33" i="18"/>
  <c r="P41" i="18"/>
  <c r="P43" i="18"/>
  <c r="P42" i="18"/>
  <c r="P38" i="18"/>
  <c r="P44" i="18"/>
  <c r="P45" i="18"/>
  <c r="P35" i="18"/>
  <c r="P46" i="18"/>
  <c r="P49" i="18"/>
  <c r="AL38" i="18"/>
  <c r="E48" i="18"/>
  <c r="AC56" i="18"/>
  <c r="AM55" i="18"/>
  <c r="N55" i="18"/>
  <c r="AD54" i="18"/>
  <c r="AN53" i="18"/>
  <c r="N53" i="18"/>
  <c r="AK51" i="18"/>
  <c r="Q50" i="18"/>
  <c r="AL48" i="18"/>
  <c r="Q47" i="18"/>
  <c r="AL45" i="18"/>
  <c r="AT44" i="18"/>
  <c r="T44" i="18"/>
  <c r="AC43" i="18"/>
  <c r="J42" i="18"/>
  <c r="Z41" i="18"/>
  <c r="L40" i="18"/>
  <c r="AL60" i="18"/>
  <c r="L60" i="18"/>
  <c r="S59" i="18"/>
  <c r="AF58" i="18"/>
  <c r="AN57" i="18"/>
  <c r="L57" i="18"/>
  <c r="AQ42" i="18"/>
  <c r="W42" i="18"/>
  <c r="W39" i="18"/>
  <c r="U36" i="18"/>
  <c r="AS56" i="18"/>
  <c r="Y56" i="18"/>
  <c r="AO40" i="18"/>
  <c r="U40" i="18"/>
  <c r="AP39" i="18"/>
  <c r="V39" i="18"/>
  <c r="AQ39" i="18"/>
  <c r="AR56" i="18"/>
  <c r="X56" i="18"/>
  <c r="AS55" i="18"/>
  <c r="Y55" i="18"/>
  <c r="AO39" i="18"/>
  <c r="U39" i="18"/>
  <c r="AQ56" i="18"/>
  <c r="AP56" i="18"/>
  <c r="V56" i="18"/>
  <c r="AQ55" i="18"/>
  <c r="W55" i="18"/>
  <c r="AR54" i="18"/>
  <c r="X54" i="18"/>
  <c r="AS53" i="18"/>
  <c r="Y53" i="18"/>
  <c r="AR60" i="18"/>
  <c r="X60" i="18"/>
  <c r="AS59" i="18"/>
  <c r="Y59" i="18"/>
  <c r="W56" i="18"/>
  <c r="AO56" i="18"/>
  <c r="U56" i="18"/>
  <c r="AP55" i="18"/>
  <c r="V55" i="18"/>
  <c r="AQ54" i="18"/>
  <c r="W54" i="18"/>
  <c r="AR53" i="18"/>
  <c r="X53" i="18"/>
  <c r="AS52" i="18"/>
  <c r="Y52" i="18"/>
  <c r="AQ60" i="18"/>
  <c r="W60" i="18"/>
  <c r="AR59" i="18"/>
  <c r="X59" i="18"/>
  <c r="AS58" i="18"/>
  <c r="Y58" i="18"/>
  <c r="AH37" i="18"/>
  <c r="AH38" i="18"/>
  <c r="AI35" i="18"/>
  <c r="AI38" i="18"/>
  <c r="AI34" i="18"/>
  <c r="AH36" i="18"/>
  <c r="AH34" i="18"/>
  <c r="AH35" i="18"/>
  <c r="AI37" i="18"/>
  <c r="AI36" i="18"/>
  <c r="X35" i="18"/>
  <c r="W33" i="18"/>
  <c r="O38" i="18"/>
  <c r="O37" i="18"/>
  <c r="N38" i="18"/>
  <c r="N37" i="18"/>
  <c r="N33" i="18"/>
  <c r="O34" i="18"/>
  <c r="AQ37" i="18"/>
  <c r="AR36" i="18"/>
  <c r="O36" i="18"/>
  <c r="M33" i="18"/>
  <c r="N34" i="18"/>
  <c r="AP37" i="18"/>
  <c r="AQ36" i="18"/>
  <c r="N36" i="18"/>
  <c r="AQ34" i="18"/>
  <c r="AP38" i="18"/>
  <c r="AO37" i="18"/>
  <c r="AP36" i="18"/>
  <c r="AS35" i="18"/>
  <c r="AP34" i="18"/>
  <c r="AO38" i="18"/>
  <c r="AN37" i="18"/>
  <c r="AO36" i="18"/>
  <c r="AR35" i="18"/>
  <c r="AO34" i="18"/>
  <c r="AN38" i="18"/>
  <c r="AM37" i="18"/>
  <c r="AN36" i="18"/>
  <c r="AQ35" i="18"/>
  <c r="O35" i="18"/>
  <c r="AN34" i="18"/>
  <c r="AM38" i="18"/>
  <c r="AM36" i="18"/>
  <c r="AP35" i="18"/>
  <c r="AF33" i="18"/>
  <c r="AE33" i="18"/>
  <c r="AD33" i="18"/>
  <c r="AC33" i="18"/>
  <c r="AB33" i="18"/>
  <c r="G33" i="18"/>
  <c r="AT33" i="18"/>
  <c r="F33" i="18"/>
  <c r="AS33" i="18"/>
  <c r="Y33" i="18"/>
  <c r="E33" i="18"/>
  <c r="AG38" i="18"/>
  <c r="M38" i="18"/>
  <c r="AR33" i="18"/>
  <c r="X33" i="18"/>
  <c r="E34" i="18"/>
  <c r="AG34" i="18"/>
  <c r="M34" i="18"/>
  <c r="AF38" i="18"/>
  <c r="L38" i="18"/>
  <c r="AG37" i="18"/>
  <c r="M37" i="18"/>
  <c r="AQ33" i="18"/>
  <c r="K34" i="18"/>
  <c r="AF34" i="18"/>
  <c r="L34" i="18"/>
  <c r="AE38" i="18"/>
  <c r="K38" i="18"/>
  <c r="AF37" i="18"/>
  <c r="L37" i="18"/>
  <c r="AG36" i="18"/>
  <c r="M36" i="18"/>
  <c r="J34" i="18"/>
  <c r="AE34" i="18"/>
  <c r="E35" i="18"/>
  <c r="AD38" i="18"/>
  <c r="J38" i="18"/>
  <c r="AE37" i="18"/>
  <c r="K37" i="18"/>
  <c r="AF36" i="18"/>
  <c r="L36" i="18"/>
  <c r="AG35" i="18"/>
  <c r="I34" i="18"/>
  <c r="AD34" i="18"/>
  <c r="E38" i="18"/>
  <c r="AC38" i="18"/>
  <c r="I38" i="18"/>
  <c r="AD37" i="18"/>
  <c r="J37" i="18"/>
  <c r="AE36" i="18"/>
  <c r="K36" i="18"/>
  <c r="L35" i="18"/>
  <c r="H34" i="18"/>
  <c r="AC34" i="18"/>
  <c r="E37" i="18"/>
  <c r="AB38" i="18"/>
  <c r="H38" i="18"/>
  <c r="AC37" i="18"/>
  <c r="I37" i="18"/>
  <c r="AD36" i="18"/>
  <c r="J36" i="18"/>
  <c r="K35" i="18"/>
  <c r="G34" i="18"/>
  <c r="AB34" i="18"/>
  <c r="AA38" i="18"/>
  <c r="G38" i="18"/>
  <c r="AB37" i="18"/>
  <c r="H37" i="18"/>
  <c r="AC36" i="18"/>
  <c r="I36" i="18"/>
  <c r="J35" i="18"/>
  <c r="I35" i="18"/>
  <c r="H33" i="18"/>
  <c r="AA33" i="18"/>
  <c r="Z33" i="18"/>
  <c r="F34" i="18"/>
  <c r="AA34" i="18"/>
  <c r="AT38" i="18"/>
  <c r="Z38" i="18"/>
  <c r="F38" i="18"/>
  <c r="AA37" i="18"/>
  <c r="G37" i="18"/>
  <c r="AB36" i="18"/>
  <c r="H36" i="18"/>
  <c r="AT34" i="18"/>
  <c r="Z34" i="18"/>
  <c r="AS38" i="18"/>
  <c r="Y38" i="18"/>
  <c r="AT37" i="18"/>
  <c r="Z37" i="18"/>
  <c r="F37" i="18"/>
  <c r="AA36" i="18"/>
  <c r="G36" i="18"/>
  <c r="AS34" i="18"/>
  <c r="Y34" i="18"/>
  <c r="AR38" i="18"/>
  <c r="X38" i="18"/>
  <c r="AS37" i="18"/>
  <c r="Y37" i="18"/>
  <c r="AT36" i="18"/>
  <c r="Z36" i="18"/>
  <c r="F36" i="18"/>
  <c r="AR34" i="18"/>
  <c r="X34" i="18"/>
  <c r="J11" i="15"/>
  <c r="J16" i="15"/>
  <c r="J14" i="15"/>
  <c r="J15" i="15"/>
  <c r="J9" i="15"/>
  <c r="Z76" i="12"/>
  <c r="F2028" i="2"/>
  <c r="E19" i="20" l="1"/>
  <c r="C45" i="18"/>
  <c r="C47" i="18"/>
  <c r="C41" i="18"/>
  <c r="C44" i="18"/>
  <c r="C42" i="18"/>
  <c r="C36" i="18"/>
  <c r="C40" i="18"/>
  <c r="C43" i="18"/>
  <c r="C54" i="18"/>
  <c r="C60" i="18"/>
  <c r="C35" i="18"/>
  <c r="C34" i="18"/>
  <c r="C37" i="18"/>
  <c r="C50" i="18"/>
  <c r="C49" i="18"/>
  <c r="C46" i="18"/>
  <c r="C52" i="18"/>
  <c r="C38" i="18"/>
  <c r="C51" i="18"/>
  <c r="C53" i="18"/>
  <c r="C58" i="18"/>
  <c r="C33" i="18"/>
  <c r="C59" i="18"/>
  <c r="C48" i="18"/>
  <c r="C57" i="18"/>
  <c r="C39" i="18"/>
  <c r="C56" i="18"/>
  <c r="C55" i="18"/>
  <c r="J18" i="15"/>
  <c r="J23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Joshi, Shweta</author>
  </authors>
  <commentList>
    <comment ref="N20" authorId="0" shapeId="0" xr:uid="{C49F69C0-B604-4BF6-8FED-28D221D61B37}">
      <text>
        <r>
          <rPr>
            <b/>
            <sz val="9"/>
            <color indexed="81"/>
            <rFont val="Tahoma"/>
            <family val="2"/>
          </rPr>
          <t>Joshi, Shweta:</t>
        </r>
        <r>
          <rPr>
            <sz val="9"/>
            <color indexed="81"/>
            <rFont val="Tahoma"/>
            <family val="2"/>
          </rPr>
          <t xml:space="preserve">
Primary Key</t>
        </r>
      </text>
    </comment>
    <comment ref="K46" authorId="0" shapeId="0" xr:uid="{92E0E8ED-D682-4F68-9D7F-3F9A11F83091}">
      <text>
        <r>
          <rPr>
            <b/>
            <sz val="9"/>
            <color indexed="81"/>
            <rFont val="Tahoma"/>
            <family val="2"/>
          </rPr>
          <t>Joshi, Shweta:</t>
        </r>
        <r>
          <rPr>
            <sz val="9"/>
            <color indexed="81"/>
            <rFont val="Tahoma"/>
            <family val="2"/>
          </rPr>
          <t xml:space="preserve">
VENDOR NUMBER IS NOT POPULATED BUT CUSTOMER NUMBER IS IN THE TABLE 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<sst xmlns="http://schemas.openxmlformats.org/spreadsheetml/2006/main" count="27902" uniqueCount="1914">
  <si>
    <t>Severity</t>
  </si>
  <si>
    <t>Date/Time (Local)</t>
  </si>
  <si>
    <t>Code</t>
  </si>
  <si>
    <t>Message</t>
  </si>
  <si>
    <t>Document</t>
  </si>
  <si>
    <t>User</t>
  </si>
  <si>
    <t>INFO</t>
  </si>
  <si>
    <t>Application command executing: RunInquiryCommand</t>
  </si>
  <si>
    <t>AB00XX - Customer Address Listing</t>
  </si>
  <si>
    <t>MEADE</t>
  </si>
  <si>
    <t>ACA for Sales Reconciliation - Single Period</t>
  </si>
  <si>
    <t>YOUNGR</t>
  </si>
  <si>
    <t>ACA0014 - Sales Data by Sold To Customer and Item</t>
  </si>
  <si>
    <t>CHRISTENSE</t>
  </si>
  <si>
    <t>ACA12 - O&amp;G</t>
  </si>
  <si>
    <t>MALDONADO</t>
  </si>
  <si>
    <t>ACAGL001 Plant Sales Report</t>
  </si>
  <si>
    <t>BAKERM</t>
  </si>
  <si>
    <t>CZAJKOWSKI</t>
  </si>
  <si>
    <t>Haney</t>
  </si>
  <si>
    <t>JENNINGSD</t>
  </si>
  <si>
    <t>LUCENA</t>
  </si>
  <si>
    <t>NUNN</t>
  </si>
  <si>
    <t>PENA</t>
  </si>
  <si>
    <t>SODERLUND</t>
  </si>
  <si>
    <t>SPIELMAN</t>
  </si>
  <si>
    <t>ACAREC002 - ACA Balances Tie to GL</t>
  </si>
  <si>
    <t>RIDGELY</t>
  </si>
  <si>
    <t>AP Open Invoices Aging with Payee for Mercury</t>
  </si>
  <si>
    <t>AP Open Invoices Aging with Payee w 2024 Segments</t>
  </si>
  <si>
    <t>AP002 - Supplier Payments for 1099 Reconciliation</t>
  </si>
  <si>
    <t>KENWORTHY</t>
  </si>
  <si>
    <t>AP003 - AP Check Proof</t>
  </si>
  <si>
    <t>CARROLL</t>
  </si>
  <si>
    <t>NAVARRO</t>
  </si>
  <si>
    <t>AP007 - RNV for CIP Accounts 1790 and 1791 SCHEDULER</t>
  </si>
  <si>
    <t>MARTINK</t>
  </si>
  <si>
    <t>AP007W - RNV for CIP Accounts 1790 and 1791 WEEKLY SCHEDULER RUN</t>
  </si>
  <si>
    <t>SHEPHERD</t>
  </si>
  <si>
    <t>AP008W - AP Trade - CIP Open P9 PO Match Vouchers - WEEKLY RUN</t>
  </si>
  <si>
    <t>AP008W - AP Trade - CIP Open PV/PD Straight Pay Vouchers - WEEKLY RUN</t>
  </si>
  <si>
    <t>AP00X - Supplier Payments with Doc #</t>
  </si>
  <si>
    <t>CASTLEBERR</t>
  </si>
  <si>
    <t>AR - Invoices Issued including Taxes - to breakdown by Segment</t>
  </si>
  <si>
    <t>AR003 - Customer Invoices and Payments</t>
  </si>
  <si>
    <t>AR004 Aging As of w/ Parent Credit Limit &amp; Sales Rep</t>
  </si>
  <si>
    <t>Hierholzer</t>
  </si>
  <si>
    <t>JOSHI</t>
  </si>
  <si>
    <t>AR004 Aging As of w/ Parent Credit Limit &amp; Sales Rep (KP)</t>
  </si>
  <si>
    <t>PHILBERT</t>
  </si>
  <si>
    <t>WAUGHC</t>
  </si>
  <si>
    <t>AR007ISP AR Detail Aging with Expanded Aging Buckets</t>
  </si>
  <si>
    <t>ARINQ002 - AR Aging by Credit Analyst by Market</t>
  </si>
  <si>
    <t>Baseline Report</t>
  </si>
  <si>
    <t>SHARMA</t>
  </si>
  <si>
    <t>STADNICK</t>
  </si>
  <si>
    <t>Baseline Report (Finance)</t>
  </si>
  <si>
    <t>MASONJ</t>
  </si>
  <si>
    <t>BP Freight and Fuel (Combined)</t>
  </si>
  <si>
    <t>CASEY</t>
  </si>
  <si>
    <t>CAM0004 - Work Order Detail</t>
  </si>
  <si>
    <t>Continental Load Report - MC</t>
  </si>
  <si>
    <t>Customer Order Lines v7</t>
  </si>
  <si>
    <t>DASTNAI</t>
  </si>
  <si>
    <t>RUBIN</t>
  </si>
  <si>
    <t>COVINGTON</t>
  </si>
  <si>
    <t>OULAI</t>
  </si>
  <si>
    <t>Engineering - Capital Spending by Month, ITD, &amp; YTD</t>
  </si>
  <si>
    <t>Engineering - Incomplete PO Reversals</t>
  </si>
  <si>
    <t>Extended Item Availability Summary</t>
  </si>
  <si>
    <t>FA002 - FA Additions &amp; Cost Adjs from GL Detail</t>
  </si>
  <si>
    <t>FA003 - FA Transfers from GL Detail</t>
  </si>
  <si>
    <t>FA004 - Quarterly FA Disposals</t>
  </si>
  <si>
    <t>GLACAREC001 - GL Transactions Tie to ACA</t>
  </si>
  <si>
    <t>GLAUD002 - Supplier Payments with Doc #</t>
  </si>
  <si>
    <t>BROWNV</t>
  </si>
  <si>
    <t>GLAUD004 Trial Balance by Object Acct (No BU or Company</t>
  </si>
  <si>
    <t>GLBAL004 Comparative Consolidated Balance Sheet</t>
  </si>
  <si>
    <t>GLBAL007 Consolidating Balance Sheet by Co Effec Mar25</t>
  </si>
  <si>
    <t>GLCORPJE006 - TL Alloc Reclass for Depreciation</t>
  </si>
  <si>
    <t>GLCORPJE008 - All-In Pricing Posted Revenue Alloc</t>
  </si>
  <si>
    <t>GLCORPJE009 - All-In Pricing Accrued Revenue Alloc</t>
  </si>
  <si>
    <t>GLCORPJE150A - USSEC Revenue Reclass</t>
  </si>
  <si>
    <t>GLCORPJE150B - USSEC Inventory Change Reclass</t>
  </si>
  <si>
    <t>GLCORPJE150BB - USSEC Inventory Change Reclass 2 of 2</t>
  </si>
  <si>
    <t>GLCORPJE150C - USSEC Distribution Exp Reclass</t>
  </si>
  <si>
    <t>GLCORPJE150CC - USSEC Distribution Exp Reclass 2 of 2</t>
  </si>
  <si>
    <t>GLCORPJE150D - USSEC Other Income Statement Amts Reclass</t>
  </si>
  <si>
    <t>GLCORPJE150E - USSEC Stat Units Reclass</t>
  </si>
  <si>
    <t>GLCORPJE150F - USSEC Corporate Exp Reclass</t>
  </si>
  <si>
    <t>GLCORPJE150G - USSEC Balance Sheet Reclass</t>
  </si>
  <si>
    <t>GLCORPJE150H - USSEC General Plant Exp Reclass</t>
  </si>
  <si>
    <t>GLCORPJE150xx- ISP CO2 Review for Invalid F</t>
  </si>
  <si>
    <t>GLCOST001 Cost Report Summary - Plants</t>
  </si>
  <si>
    <t>ANDREWS</t>
  </si>
  <si>
    <t>BELDEN</t>
  </si>
  <si>
    <t>FLETCHERC</t>
  </si>
  <si>
    <t>STEELEK</t>
  </si>
  <si>
    <t>GLCOST001A Account Transactions by BU Link</t>
  </si>
  <si>
    <t>GLCOST003 Quarterly Cost Report - Plants</t>
  </si>
  <si>
    <t>GLCOST010 Plant Cost Report by Month</t>
  </si>
  <si>
    <t>ANDERSONT</t>
  </si>
  <si>
    <t>BITNER</t>
  </si>
  <si>
    <t>ERICKSON</t>
  </si>
  <si>
    <t>FINLEY</t>
  </si>
  <si>
    <t>GIBSON</t>
  </si>
  <si>
    <t>WRIGHTA</t>
  </si>
  <si>
    <t>GLCOST010 Plant Cost Report by Month and Location</t>
  </si>
  <si>
    <t>GLCOST010A1&amp;B Document Link</t>
  </si>
  <si>
    <t>GLCOST010B Account Transactions by BU Link</t>
  </si>
  <si>
    <t>GLCOST011 US Silica Company Corporate Detail by Cost Dept by Month</t>
  </si>
  <si>
    <t xml:space="preserve">GLCOST013 Cost Report by Business Unit - Plants  </t>
  </si>
  <si>
    <t>GLCOST013A Account Transaction Detail Link</t>
  </si>
  <si>
    <t>GLCOST019 SBX Plant Cost Report by Month by Region with New Mapping</t>
  </si>
  <si>
    <t>SANCHEZE</t>
  </si>
  <si>
    <t>THOMAS</t>
  </si>
  <si>
    <t>GLCOST022 - Overhead Detail By Mo by BU</t>
  </si>
  <si>
    <t>GLCOST022 PLP Report by Business Unit</t>
  </si>
  <si>
    <t>GLCOST023 PLP Data Download</t>
  </si>
  <si>
    <t>STRINGHAM</t>
  </si>
  <si>
    <t>GLCOST023 PLP Data Download - with Monthly Columns</t>
  </si>
  <si>
    <t>DIETERT</t>
  </si>
  <si>
    <t>GLCOST024 - LTM Plant Cost Report</t>
  </si>
  <si>
    <t>GLINC0013 SBX consolidated Income Statement by Region</t>
  </si>
  <si>
    <t xml:space="preserve">GLINC010 Plant Income Statement </t>
  </si>
  <si>
    <t>GLINC010B Plant Income Statement (by plant for Excel export)</t>
  </si>
  <si>
    <t>GLINC011 Plant Income Statement by Month by Plant</t>
  </si>
  <si>
    <t>GLINC012 US Silica Holdings, Inc. Consolidated Income Statement</t>
  </si>
  <si>
    <t>GLINC014 Consolidating Income Statement by Company Effec March 2025</t>
  </si>
  <si>
    <t>GLINC021 Quarterly Plant Income Statement (Q1,Q2,Q3,Q4, YTDDEC)</t>
  </si>
  <si>
    <t>GLINC021 Quarterly Plant Income Statement (Q1,Q2,Q3,Q4, YTDDEC)_Update for Marlene</t>
  </si>
  <si>
    <t xml:space="preserve">GLINC024 Quarterly Plant Income Statement </t>
  </si>
  <si>
    <t xml:space="preserve">GLINC026 US Silica Consolidated Quarterly Income Statement </t>
  </si>
  <si>
    <t>GLINC032A Plant Income Statement by Month by Plant without TL Alloc - BUDGET BOOK</t>
  </si>
  <si>
    <t>DANGK</t>
  </si>
  <si>
    <t>ROSS</t>
  </si>
  <si>
    <t>GLINQUIRY003 - GL Account Transaction</t>
  </si>
  <si>
    <t>ATWOOD</t>
  </si>
  <si>
    <t>GLINQUIRY004 Trial Balance by Company</t>
  </si>
  <si>
    <t>GLINQUIRY004B Trial Balance by Account</t>
  </si>
  <si>
    <t>GLINQUIRY005 - GL Account Transaction - Maintenance</t>
  </si>
  <si>
    <t>COMBSS</t>
  </si>
  <si>
    <t>HOLTH</t>
  </si>
  <si>
    <t>GLINQUIRY005 - GL Account Transaction and ACA Data</t>
  </si>
  <si>
    <t>BROWNVA</t>
  </si>
  <si>
    <t>DIAZE</t>
  </si>
  <si>
    <t>SPOTSVILLE</t>
  </si>
  <si>
    <t>GLINQUIRY005AP â€“ GL Account Transaction with AP and ACA Data</t>
  </si>
  <si>
    <t>LOPEZC</t>
  </si>
  <si>
    <t>GLINQUIRY005W - GL Account Transaction and ACA Data - WEEKLY RUN</t>
  </si>
  <si>
    <t>MADRIGALCA</t>
  </si>
  <si>
    <t>GLINQUIRY008 - GL Account Transaction - OH WALK TRANS</t>
  </si>
  <si>
    <t>GLINQUIRY010 - Active PAR Project Expenses Detail By Department</t>
  </si>
  <si>
    <t>GLINQUIRY013 Fixed Asset Trial Balance For FA Rollforward</t>
  </si>
  <si>
    <t>GLINQUIRY014 - SBX Revenue GL Account Transactions</t>
  </si>
  <si>
    <t>GLINQUIRY014 Depreciation Exp. Trial Balance For FA Rollforward</t>
  </si>
  <si>
    <t>GLINQUIRY015 - SBX Expense GL Account Transactions</t>
  </si>
  <si>
    <t>GLINQUIRY015 Trial Balance by Company For Monthly Responsibilities File</t>
  </si>
  <si>
    <t>GLINQUIRY018 - Transload Monthly Activity with ACA Cost Object 4</t>
  </si>
  <si>
    <t>GLINQUIRY019 - Fixed Asset GL Account Transaction with Asset ID</t>
  </si>
  <si>
    <t>GLINQUIRY020 - CIP Trial Balance</t>
  </si>
  <si>
    <t>GLINQUIRY021 - Qrtly Balance Sheet Analytic Trial Balance_For Marlene</t>
  </si>
  <si>
    <t>GLINQUIRY022B - Customer Address Book for Lookup</t>
  </si>
  <si>
    <t>GLINQUIRY026 - Qrtly Lease Exp Alloc by COGS and SGA</t>
  </si>
  <si>
    <t>GLINQUIRYXXX Trial Balance by Company</t>
  </si>
  <si>
    <t>COOPERJ</t>
  </si>
  <si>
    <t>GLPERU002 Dryer Costs per MMBTU by Month by Location</t>
  </si>
  <si>
    <t>GLSOX001 - Manual JE Detail Report with Trans Originator ID</t>
  </si>
  <si>
    <t>GLSOX003 - Corporate Manual JE Review - Corporate Acctg Users</t>
  </si>
  <si>
    <t>GLSTAT001 Unit Cost Report by Month - Plant</t>
  </si>
  <si>
    <t>GLSTAT004 Unit Cost Report by Quarter - Plant</t>
  </si>
  <si>
    <t>GLSTAT010 Operations Statistics</t>
  </si>
  <si>
    <t>Halliburton Load Report</t>
  </si>
  <si>
    <t>INV - As Of By GL Class</t>
  </si>
  <si>
    <t>INV - As Of By GL Class ME_with Lot and Location</t>
  </si>
  <si>
    <t>INV - As Of By GL Class Summarized by Item</t>
  </si>
  <si>
    <t>INV - As Of By GL Class Summarized by Item_PLP</t>
  </si>
  <si>
    <t>INV - As Of By GL Class w Lot Number</t>
  </si>
  <si>
    <t>FURST</t>
  </si>
  <si>
    <t>INV003 Inventory Usage Report</t>
  </si>
  <si>
    <t>PETERSEN</t>
  </si>
  <si>
    <t>INV010 - Cardex Transaction Detail</t>
  </si>
  <si>
    <t>INV010 - Cardex Transaction Detail w Lot and UserID</t>
  </si>
  <si>
    <t>INV011 - Inventory Cost Components</t>
  </si>
  <si>
    <t>INV014A - Stock Status Report</t>
  </si>
  <si>
    <t>PHILLIPSB</t>
  </si>
  <si>
    <t>INV014A - Stock Status Report_JH</t>
  </si>
  <si>
    <t>INV014C - Stock Status Report with Item Cross Reference</t>
  </si>
  <si>
    <t>Item Ledger Transactions - Refeed Monthly (Lionel)</t>
  </si>
  <si>
    <t>PUENGUE</t>
  </si>
  <si>
    <t>JCCAPSPEND001 Capital Spending by Month, ITD, &amp; YTD</t>
  </si>
  <si>
    <t>JCCAPSPEND001A Transaction Detail by Account</t>
  </si>
  <si>
    <t>Maintenance Actual Hours Report</t>
  </si>
  <si>
    <t>MD003 - Chart of Accounts</t>
  </si>
  <si>
    <t>Monthly Bal Sheet Analytic Pivot TB</t>
  </si>
  <si>
    <t>Open Order Report - LF2022</t>
  </si>
  <si>
    <t>FRANK</t>
  </si>
  <si>
    <t>PO Receipts OP Orders with Container ID</t>
  </si>
  <si>
    <t>POP0001 Non-Stock Purchase Orders</t>
  </si>
  <si>
    <t>POP0002 Open Purchase Order Detail Report</t>
  </si>
  <si>
    <t>POP0002 Open Purchase Order Detail Report (Including IFS Migrated PO's)</t>
  </si>
  <si>
    <t>POP0002A Open Requisition Detail Report</t>
  </si>
  <si>
    <t>POP0010 Purchase Order Detail Report</t>
  </si>
  <si>
    <t>Primary UoM Conversion with Master Routing</t>
  </si>
  <si>
    <t>REV RECON - GLINQUIRY005 - Oth Charges 350 and 380 for Monthly Revenue Recon</t>
  </si>
  <si>
    <t>REV RECON - GLINQUIRY005 - Rebate Info for Monthly Revenue Recon</t>
  </si>
  <si>
    <t>Sales Orders Billable-Payable Freight w/Shipment Details</t>
  </si>
  <si>
    <t>SBX Load Reconciliation Report</t>
  </si>
  <si>
    <t>NEAR</t>
  </si>
  <si>
    <t>SBX Load Report With PO Details</t>
  </si>
  <si>
    <t>SBX Load Report With PO Details (New)</t>
  </si>
  <si>
    <t>SBX Load Report With PO Details for HOLADD</t>
  </si>
  <si>
    <t>SBX Unbilled AR</t>
  </si>
  <si>
    <t>SOP - SBX Invoices for Delivered Pricing Alloc - Sand Info</t>
  </si>
  <si>
    <t>SOP0006 Shipped NOT Invoiced Order Inquiry</t>
  </si>
  <si>
    <t>SOP0007 Invoiced Order Inquiry Ohio</t>
  </si>
  <si>
    <t>SOP0007 Invoiced Orders</t>
  </si>
  <si>
    <t>SOP0008 Pioneer Natural Resources Sales</t>
  </si>
  <si>
    <t>SOP000x - Sales Orders at Next Status 577</t>
  </si>
  <si>
    <t>SOP000x - Sales Orders at Next Status 580 - SO CO &amp; ST</t>
  </si>
  <si>
    <t>SOP000x - Sales Orders at Next Status 620</t>
  </si>
  <si>
    <t>SOP0020 Sales Order Inquiry</t>
  </si>
  <si>
    <t>SOP0020 Sales Order Inquiry with lot</t>
  </si>
  <si>
    <t>SOP0025 Monthly Sales Report - Detail</t>
  </si>
  <si>
    <t>SOP0027 - Commission</t>
  </si>
  <si>
    <t>SOPxxx - Shipment Number with Status</t>
  </si>
  <si>
    <t>TMS001 - Freight Accrual Report</t>
  </si>
  <si>
    <t>Transload Inventory</t>
  </si>
  <si>
    <t>TX002_Sales Tax with Business Stream Summary (Reconciliation Version)</t>
  </si>
  <si>
    <t>Report Category</t>
  </si>
  <si>
    <t>AB00XX - Customer Address Listing Count</t>
  </si>
  <si>
    <t>ACA for Sales Reconciliation - Single Period Count</t>
  </si>
  <si>
    <t>ACA0014 - Sales Data by Sold To Customer and Item Count</t>
  </si>
  <si>
    <t>ACA12 - O&amp;G Count</t>
  </si>
  <si>
    <t>ACAGL001 Plant Sales Report Count</t>
  </si>
  <si>
    <t>ACAREC002 - ACA Balances Tie to GL Count</t>
  </si>
  <si>
    <t>AP Open Invoices Aging with Payee for Mercury Count</t>
  </si>
  <si>
    <t>AP Open Invoices Aging with Payee w 2024 Segments Count</t>
  </si>
  <si>
    <t>AP002 - Supplier Payments for 1099 Reconciliation Count</t>
  </si>
  <si>
    <t>AP003 - AP Check Proof Count</t>
  </si>
  <si>
    <t>AP007 - RNV for CIP Accounts 1790 and 1791 SCHEDULER Count</t>
  </si>
  <si>
    <t>AP007W - RNV for CIP Accounts 1790 and 1791 WEEKLY SCHEDULER RUN Count</t>
  </si>
  <si>
    <t>AP008W - AP Trade - CIP Open P9 PO Match Vouchers - WEEKLY RUN Count</t>
  </si>
  <si>
    <t>AP008W - AP Trade - CIP Open PV/PD Straight Pay Vouchers - WEEKLY RUN Count</t>
  </si>
  <si>
    <t>AP00X - Supplier Payments with Doc # Count</t>
  </si>
  <si>
    <t>AR - Invoices Issued including Taxes - to breakdown by Segment Count</t>
  </si>
  <si>
    <t>AR003 - Customer Invoices and Payments Count</t>
  </si>
  <si>
    <t>AR004 Aging As of w/ Parent Credit Limit &amp; Sales Rep Count</t>
  </si>
  <si>
    <t>AR004 Aging As of w/ Parent Credit Limit &amp; Sales Rep (KP) Count</t>
  </si>
  <si>
    <t>AR007ISP AR Detail Aging with Expanded Aging Buckets Count</t>
  </si>
  <si>
    <t>ARINQ002 - AR Aging by Credit Analyst by Market Count</t>
  </si>
  <si>
    <t>Baseline Report Count</t>
  </si>
  <si>
    <t>Baseline Report (Finance) Count</t>
  </si>
  <si>
    <t>BP Freight and Fuel (Combined) Count</t>
  </si>
  <si>
    <t>CAM0004 - Work Order Detail Count</t>
  </si>
  <si>
    <t>Continental Load Report - MC Count</t>
  </si>
  <si>
    <t>Customer Order Lines v7 Count</t>
  </si>
  <si>
    <t>Document Count</t>
  </si>
  <si>
    <t>Engineering - Capital Spending by Month, ITD, &amp; YTD Count</t>
  </si>
  <si>
    <t>Engineering - Incomplete PO Reversals Count</t>
  </si>
  <si>
    <t>Extended Item Availability Summary Count</t>
  </si>
  <si>
    <t>FA002 - FA Additions &amp; Cost Adjs from GL Detail Count</t>
  </si>
  <si>
    <t>FA003 - FA Transfers from GL Detail Count</t>
  </si>
  <si>
    <t>FA004 - Quarterly FA Disposals Count</t>
  </si>
  <si>
    <t>GLACAREC001 - GL Transactions Tie to ACA Count</t>
  </si>
  <si>
    <t>GLAUD002 - Supplier Payments with Doc # Count</t>
  </si>
  <si>
    <t>GLAUD004 Trial Balance by Object Acct (No BU or Company Count</t>
  </si>
  <si>
    <t>GLBAL004 Comparative Consolidated Balance Sheet Count</t>
  </si>
  <si>
    <t>GLBAL007 Consolidating Balance Sheet by Co Effec Mar25 Count</t>
  </si>
  <si>
    <t>GLCORPJE006 - TL Alloc Reclass for Depreciation Count</t>
  </si>
  <si>
    <t>GLCORPJE008 - All-In Pricing Posted Revenue Alloc Count</t>
  </si>
  <si>
    <t>GLCORPJE009 - All-In Pricing Accrued Revenue Alloc Count</t>
  </si>
  <si>
    <t>GLCORPJE150A - USSEC Revenue Reclass Count</t>
  </si>
  <si>
    <t>GLCORPJE150B - USSEC Inventory Change Reclass Count</t>
  </si>
  <si>
    <t>GLCORPJE150BB - USSEC Inventory Change Reclass 2 of 2 Count</t>
  </si>
  <si>
    <t>GLCORPJE150C - USSEC Distribution Exp Reclass Count</t>
  </si>
  <si>
    <t>GLCORPJE150CC - USSEC Distribution Exp Reclass 2 of 2 Count</t>
  </si>
  <si>
    <t>GLCORPJE150D - USSEC Other Income Statement Amts Reclass Count</t>
  </si>
  <si>
    <t>GLCORPJE150E - USSEC Stat Units Reclass Count</t>
  </si>
  <si>
    <t>GLCORPJE150F - USSEC Corporate Exp Reclass Count</t>
  </si>
  <si>
    <t>GLCORPJE150G - USSEC Balance Sheet Reclass Count</t>
  </si>
  <si>
    <t>GLCORPJE150H - USSEC General Plant Exp Reclass Count</t>
  </si>
  <si>
    <t>GLCORPJE150xx- ISP CO2 Review for Invalid F Count</t>
  </si>
  <si>
    <t>GLCOST001 Cost Report Summary - Plants Count</t>
  </si>
  <si>
    <t>GLCOST001A Account Transactions by BU Link Count</t>
  </si>
  <si>
    <t>GLCOST003 Quarterly Cost Report - Plants Count</t>
  </si>
  <si>
    <t>GLCOST010 Plant Cost Report by Month Count</t>
  </si>
  <si>
    <t>GLCOST010 Plant Cost Report by Month and Location Count</t>
  </si>
  <si>
    <t>GLCOST010A1&amp;B Document Link Count</t>
  </si>
  <si>
    <t>GLCOST010B Account Transactions by BU Link Count</t>
  </si>
  <si>
    <t>GLCOST011 US Silica Company Corporate Detail by Cost Dept by Month Count</t>
  </si>
  <si>
    <t>GLCOST013 Cost Report by Business Unit - Plants   Count</t>
  </si>
  <si>
    <t>GLCOST013A Account Transaction Detail Link Count</t>
  </si>
  <si>
    <t>GLCOST019 SBX Plant Cost Report by Month by Region with New Mapping Count</t>
  </si>
  <si>
    <t>GLCOST022 - Overhead Detail By Mo by BU Count</t>
  </si>
  <si>
    <t>GLCOST022 PLP Report by Business Unit Count</t>
  </si>
  <si>
    <t>GLCOST023 PLP Data Download Count</t>
  </si>
  <si>
    <t>GLCOST023 PLP Data Download - with Monthly Columns Count</t>
  </si>
  <si>
    <t>GLCOST024 - LTM Plant Cost Report Count</t>
  </si>
  <si>
    <t>GLINC0013 SBX consolidated Income Statement by Region Count</t>
  </si>
  <si>
    <t>GLINC010 Plant Income Statement  Count</t>
  </si>
  <si>
    <t>GLINC010B Plant Income Statement (by plant for Excel export) Count</t>
  </si>
  <si>
    <t>GLINC011 Plant Income Statement by Month by Plant Count</t>
  </si>
  <si>
    <t>GLINC012 US Silica Holdings, Inc. Consolidated Income Statement Count</t>
  </si>
  <si>
    <t>GLINC014 Consolidating Income Statement by Company Effec March 2025 Count</t>
  </si>
  <si>
    <t>GLINC021 Quarterly Plant Income Statement (Q1,Q2,Q3,Q4, YTDDEC) Count</t>
  </si>
  <si>
    <t>GLINC021 Quarterly Plant Income Statement (Q1,Q2,Q3,Q4, YTDDEC)_Update for Marlene Count</t>
  </si>
  <si>
    <t>GLINC024 Quarterly Plant Income Statement  Count</t>
  </si>
  <si>
    <t>GLINC026 US Silica Consolidated Quarterly Income Statement  Count</t>
  </si>
  <si>
    <t>GLINC032A Plant Income Statement by Month by Plant without TL Alloc - BUDGET BOOK Count</t>
  </si>
  <si>
    <t>GLINQUIRY003 - GL Account Transaction Count</t>
  </si>
  <si>
    <t>GLINQUIRY004 Trial Balance by Company Count</t>
  </si>
  <si>
    <t>GLINQUIRY004B Trial Balance by Account Count</t>
  </si>
  <si>
    <t>GLINQUIRY005 - GL Account Transaction - Maintenance Count</t>
  </si>
  <si>
    <t>GLINQUIRY005 - GL Account Transaction and ACA Data Count</t>
  </si>
  <si>
    <t>GLINQUIRY005AP â€“ GL Account Transaction with AP and ACA Data Count</t>
  </si>
  <si>
    <t>GLINQUIRY005W - GL Account Transaction and ACA Data - WEEKLY RUN Count</t>
  </si>
  <si>
    <t>GLINQUIRY008 - GL Account Transaction - OH WALK TRANS Count</t>
  </si>
  <si>
    <t>GLINQUIRY010 - Active PAR Project Expenses Detail By Department Count</t>
  </si>
  <si>
    <t>GLINQUIRY013 Fixed Asset Trial Balance For FA Rollforward Count</t>
  </si>
  <si>
    <t>GLINQUIRY014 - SBX Revenue GL Account Transactions Count</t>
  </si>
  <si>
    <t>GLINQUIRY014 Depreciation Exp. Trial Balance For FA Rollforward Count</t>
  </si>
  <si>
    <t>GLINQUIRY015 - SBX Expense GL Account Transactions Count</t>
  </si>
  <si>
    <t>GLINQUIRY015 Trial Balance by Company For Monthly Responsibilities File Count</t>
  </si>
  <si>
    <t>GLINQUIRY018 - Transload Monthly Activity with ACA Cost Object 4 Count</t>
  </si>
  <si>
    <t>GLINQUIRY019 - Fixed Asset GL Account Transaction with Asset ID Count</t>
  </si>
  <si>
    <t>GLINQUIRY020 - CIP Trial Balance Count</t>
  </si>
  <si>
    <t>GLINQUIRY021 - Qrtly Balance Sheet Analytic Trial Balance_For Marlene Count</t>
  </si>
  <si>
    <t>GLINQUIRY022B - Customer Address Book for Lookup Count</t>
  </si>
  <si>
    <t>GLINQUIRY026 - Qrtly Lease Exp Alloc by COGS and SGA Count</t>
  </si>
  <si>
    <t>GLINQUIRYXXX Trial Balance by Company Count</t>
  </si>
  <si>
    <t>GLPERU002 Dryer Costs per MMBTU by Month by Location Count</t>
  </si>
  <si>
    <t>GLSOX001 - Manual JE Detail Report with Trans Originator ID Count</t>
  </si>
  <si>
    <t>GLSOX003 - Corporate Manual JE Review - Corporate Acctg Users Count</t>
  </si>
  <si>
    <t>GLSTAT001 Unit Cost Report by Month - Plant Count</t>
  </si>
  <si>
    <t>GLSTAT004 Unit Cost Report by Quarter - Plant Count</t>
  </si>
  <si>
    <t>GLSTAT010 Operations Statistics Count</t>
  </si>
  <si>
    <t>Halliburton Load Report Count</t>
  </si>
  <si>
    <t>INV - As Of By GL Class Count</t>
  </si>
  <si>
    <t>INV - As Of By GL Class ME_with Lot and Location Count</t>
  </si>
  <si>
    <t>INV - As Of By GL Class Summarized by Item Count</t>
  </si>
  <si>
    <t>INV - As Of By GL Class Summarized by Item_PLP Count</t>
  </si>
  <si>
    <t>INV - As Of By GL Class w Lot Number Count</t>
  </si>
  <si>
    <t>INV003 Inventory Usage Report Count</t>
  </si>
  <si>
    <t>INV010 - Cardex Transaction Detail Count</t>
  </si>
  <si>
    <t>INV010 - Cardex Transaction Detail w Lot and UserID Count</t>
  </si>
  <si>
    <t>INV011 - Inventory Cost Components Count</t>
  </si>
  <si>
    <t>INV014A - Stock Status Report Count</t>
  </si>
  <si>
    <t>INV014A - Stock Status Report_JH Count</t>
  </si>
  <si>
    <t>INV014C - Stock Status Report with Item Cross Reference Count</t>
  </si>
  <si>
    <t>Item Ledger Transactions - Refeed Monthly (Lionel) Count</t>
  </si>
  <si>
    <t>JCCAPSPEND001 Capital Spending by Month, ITD, &amp; YTD Count</t>
  </si>
  <si>
    <t>JCCAPSPEND001A Transaction Detail by Account Count</t>
  </si>
  <si>
    <t>Maintenance Actual Hours Report Count</t>
  </si>
  <si>
    <t>MD003 - Chart of Accounts Count</t>
  </si>
  <si>
    <t>Monthly Bal Sheet Analytic Pivot TB Count</t>
  </si>
  <si>
    <t>Open Order Report - LF2022 Count</t>
  </si>
  <si>
    <t>PO Receipts OP Orders with Container ID Count</t>
  </si>
  <si>
    <t>POP0001 Non-Stock Purchase Orders Count</t>
  </si>
  <si>
    <t>POP0002 Open Purchase Order Detail Report Count</t>
  </si>
  <si>
    <t>POP0002 Open Purchase Order Detail Report (Including IFS Migrated PO's) Count</t>
  </si>
  <si>
    <t>POP0002A Open Requisition Detail Report Count</t>
  </si>
  <si>
    <t>POP0010 Purchase Order Detail Report Count</t>
  </si>
  <si>
    <t>Primary UoM Conversion with Master Routing Count</t>
  </si>
  <si>
    <t>REV RECON - GLINQUIRY005 - Oth Charges 350 and 380 for Monthly Revenue Recon Count</t>
  </si>
  <si>
    <t>REV RECON - GLINQUIRY005 - Rebate Info for Monthly Revenue Recon Count</t>
  </si>
  <si>
    <t>Sales Orders Billable-Payable Freight w/Shipment Details Count</t>
  </si>
  <si>
    <t>SBX Load Reconciliation Report Count</t>
  </si>
  <si>
    <t>SBX Load Report With PO Details Count</t>
  </si>
  <si>
    <t>SBX Load Report With PO Details (New) Count</t>
  </si>
  <si>
    <t>SBX Load Report With PO Details for HOLADD Count</t>
  </si>
  <si>
    <t>SBX Unbilled AR Count</t>
  </si>
  <si>
    <t>SOP - SBX Invoices for Delivered Pricing Alloc - Sand Info Count</t>
  </si>
  <si>
    <t>SOP0006 Shipped NOT Invoiced Order Inquiry Count</t>
  </si>
  <si>
    <t>SOP0007 Invoiced Order Inquiry Ohio Count</t>
  </si>
  <si>
    <t>SOP0007 Invoiced Orders Count</t>
  </si>
  <si>
    <t>SOP0008 Pioneer Natural Resources Sales Count</t>
  </si>
  <si>
    <t>SOP000x - Sales Orders at Next Status 577 Count</t>
  </si>
  <si>
    <t>SOP000x - Sales Orders at Next Status 580 - SO CO &amp; ST Count</t>
  </si>
  <si>
    <t>SOP000x - Sales Orders at Next Status 620 Count</t>
  </si>
  <si>
    <t>SOP0020 Sales Order Inquiry Count</t>
  </si>
  <si>
    <t>SOP0020 Sales Order Inquiry with lot Count</t>
  </si>
  <si>
    <t>SOP0025 Monthly Sales Report - Detail Count</t>
  </si>
  <si>
    <t>SOP0027 - Commission Count</t>
  </si>
  <si>
    <t>SOPxxx - Shipment Number with Status Count</t>
  </si>
  <si>
    <t>TMS001 - Freight Accrual Report Count</t>
  </si>
  <si>
    <t>Transload Inventory Count</t>
  </si>
  <si>
    <t>TX002_Sales Tax with Business Stream Summary (Reconciliation Version) Count</t>
  </si>
  <si>
    <t>Grand Count</t>
  </si>
  <si>
    <t>Priority Order</t>
  </si>
  <si>
    <t>TableName</t>
  </si>
  <si>
    <t>Description</t>
  </si>
  <si>
    <t>Prefix</t>
  </si>
  <si>
    <t>Last Update Date</t>
  </si>
  <si>
    <t>Last Update Time</t>
  </si>
  <si>
    <t>Merge Keys</t>
  </si>
  <si>
    <t>Category</t>
  </si>
  <si>
    <t>PK1</t>
  </si>
  <si>
    <t>PK2</t>
  </si>
  <si>
    <t>PK3</t>
  </si>
  <si>
    <t>PK4</t>
  </si>
  <si>
    <t>PK5</t>
  </si>
  <si>
    <t>PK6</t>
  </si>
  <si>
    <t>PK7</t>
  </si>
  <si>
    <t>PK8</t>
  </si>
  <si>
    <t>PK9</t>
  </si>
  <si>
    <t>PK10</t>
  </si>
  <si>
    <t>PK11</t>
  </si>
  <si>
    <t>PK12</t>
  </si>
  <si>
    <t>PK13</t>
  </si>
  <si>
    <t>PK14</t>
  </si>
  <si>
    <t>PK15</t>
  </si>
  <si>
    <t>PK16</t>
  </si>
  <si>
    <t>Size (MB)</t>
  </si>
  <si>
    <t>Size (GB)</t>
  </si>
  <si>
    <t>Owner/Schema</t>
  </si>
  <si>
    <t>Description2</t>
  </si>
  <si>
    <t>Is for POC report</t>
  </si>
  <si>
    <t>Ingestion OCI to Bronze (Mirror, Copy, or Both) for Pilot</t>
  </si>
  <si>
    <t>Transform Bronze to Silver?</t>
  </si>
  <si>
    <t>Bronze to Silver Truncate &amp; Reload vs Delta</t>
  </si>
  <si>
    <t>F4311</t>
  </si>
  <si>
    <t>Purchase Order Detail File</t>
  </si>
  <si>
    <t>PD</t>
  </si>
  <si>
    <t>PDUPMJ</t>
  </si>
  <si>
    <t>Primary Transaction</t>
  </si>
  <si>
    <t>DOCO</t>
  </si>
  <si>
    <t>DCTO</t>
  </si>
  <si>
    <t>KCOO</t>
  </si>
  <si>
    <t>SFXO</t>
  </si>
  <si>
    <t>LNID</t>
  </si>
  <si>
    <t>PRODDTA</t>
  </si>
  <si>
    <t>X - Hubble</t>
  </si>
  <si>
    <t>Mirror</t>
  </si>
  <si>
    <t>Yes - standard Silver/Gold</t>
  </si>
  <si>
    <t>T&amp;R</t>
  </si>
  <si>
    <t>F0911</t>
  </si>
  <si>
    <t>Account Ledger</t>
  </si>
  <si>
    <t>GL</t>
  </si>
  <si>
    <t>GLUPMJ</t>
  </si>
  <si>
    <t>DCT</t>
  </si>
  <si>
    <t>DOC</t>
  </si>
  <si>
    <t>KCO</t>
  </si>
  <si>
    <t>DGJ</t>
  </si>
  <si>
    <t>JELN</t>
  </si>
  <si>
    <t>LT</t>
  </si>
  <si>
    <t>EXTL</t>
  </si>
  <si>
    <t>Delta</t>
  </si>
  <si>
    <t>F1602</t>
  </si>
  <si>
    <t>Cost Analyzer Balances (ACA)</t>
  </si>
  <si>
    <t>CB</t>
  </si>
  <si>
    <t>CBUPMJ</t>
  </si>
  <si>
    <t>Primary Balance</t>
  </si>
  <si>
    <t>VWNM</t>
  </si>
  <si>
    <t>ACTB</t>
  </si>
  <si>
    <t>AID</t>
  </si>
  <si>
    <t>CFY</t>
  </si>
  <si>
    <t>SBL</t>
  </si>
  <si>
    <t>SBLT</t>
  </si>
  <si>
    <t>ABR1</t>
  </si>
  <si>
    <t>ABT1</t>
  </si>
  <si>
    <t>ABR2</t>
  </si>
  <si>
    <t>ABT2</t>
  </si>
  <si>
    <t>ABR3</t>
  </si>
  <si>
    <t>ABT3</t>
  </si>
  <si>
    <t>ABR4</t>
  </si>
  <si>
    <t>ABT4</t>
  </si>
  <si>
    <t>ITM</t>
  </si>
  <si>
    <t>X- AC12</t>
  </si>
  <si>
    <t>Both</t>
  </si>
  <si>
    <t>Both Gen2 dataflow for AC12 and standard Silver/Gold</t>
  </si>
  <si>
    <t>F4301</t>
  </si>
  <si>
    <t>Purchase Order Header</t>
  </si>
  <si>
    <t>PH</t>
  </si>
  <si>
    <t>PHUPMJ</t>
  </si>
  <si>
    <t>Primary Header</t>
  </si>
  <si>
    <t>F0901</t>
  </si>
  <si>
    <t>Account Master</t>
  </si>
  <si>
    <t>GM</t>
  </si>
  <si>
    <t>GMUPMJ</t>
  </si>
  <si>
    <t>Master Data Primary</t>
  </si>
  <si>
    <t>MCU</t>
  </si>
  <si>
    <t>OBJ</t>
  </si>
  <si>
    <t>SUB</t>
  </si>
  <si>
    <t>X - Hubble, AC12</t>
  </si>
  <si>
    <t>F4211</t>
  </si>
  <si>
    <t>Sales Order Detail File</t>
  </si>
  <si>
    <t>SD</t>
  </si>
  <si>
    <t>SDUPMJ</t>
  </si>
  <si>
    <t>SDTDAY</t>
  </si>
  <si>
    <t>F0005</t>
  </si>
  <si>
    <t>User Defined Codes Language Status</t>
  </si>
  <si>
    <t>DR</t>
  </si>
  <si>
    <t>DRUPMJ</t>
  </si>
  <si>
    <t>Control Table</t>
  </si>
  <si>
    <t>SY</t>
  </si>
  <si>
    <t>RT</t>
  </si>
  <si>
    <t>KY</t>
  </si>
  <si>
    <t>PRODCTL</t>
  </si>
  <si>
    <t>F0006</t>
  </si>
  <si>
    <t>Business Unit Master</t>
  </si>
  <si>
    <t>MC</t>
  </si>
  <si>
    <t>MCUPMJ</t>
  </si>
  <si>
    <t>F0010</t>
  </si>
  <si>
    <t>Company Constants</t>
  </si>
  <si>
    <t>CC</t>
  </si>
  <si>
    <t>CCUPMJ</t>
  </si>
  <si>
    <t>Configurational</t>
  </si>
  <si>
    <t>CO</t>
  </si>
  <si>
    <t>F0101</t>
  </si>
  <si>
    <t>Address Book Master</t>
  </si>
  <si>
    <t>AB</t>
  </si>
  <si>
    <t>ABUPMJ</t>
  </si>
  <si>
    <t>AN8</t>
  </si>
  <si>
    <t>TBD size (small) - this is view?</t>
  </si>
  <si>
    <t>F0116</t>
  </si>
  <si>
    <t>Address by Date</t>
  </si>
  <si>
    <t>AL</t>
  </si>
  <si>
    <t>ALUPMJ</t>
  </si>
  <si>
    <t>Master Data Secondary</t>
  </si>
  <si>
    <t xml:space="preserve">EFTB	</t>
  </si>
  <si>
    <t>F03012</t>
  </si>
  <si>
    <t>Customer Master by Line of Business</t>
  </si>
  <si>
    <t>AI</t>
  </si>
  <si>
    <t>AIUPMJ</t>
  </si>
  <si>
    <t>F4101</t>
  </si>
  <si>
    <t>Item Master</t>
  </si>
  <si>
    <t>IM</t>
  </si>
  <si>
    <t>IMUPMJ</t>
  </si>
  <si>
    <t>F41002</t>
  </si>
  <si>
    <t>Item Units of Measure Conversion Factors</t>
  </si>
  <si>
    <t>UM</t>
  </si>
  <si>
    <t>UMUPMJ</t>
  </si>
  <si>
    <t>Cross Reference</t>
  </si>
  <si>
    <t>RUM</t>
  </si>
  <si>
    <t>F41003</t>
  </si>
  <si>
    <t>Unit of Measure standard conversion</t>
  </si>
  <si>
    <t>UC</t>
  </si>
  <si>
    <t>UCUPMJ</t>
  </si>
  <si>
    <t>Copy</t>
  </si>
  <si>
    <t>F0004</t>
  </si>
  <si>
    <t>User Defined Code Types</t>
  </si>
  <si>
    <t>DT</t>
  </si>
  <si>
    <t>DTUPMJ</t>
  </si>
  <si>
    <t>F4072</t>
  </si>
  <si>
    <t>Price Adjustment Detail</t>
  </si>
  <si>
    <t>AD</t>
  </si>
  <si>
    <t>ADUPMJ</t>
  </si>
  <si>
    <t>AST</t>
  </si>
  <si>
    <t>IGID</t>
  </si>
  <si>
    <t>CGID</t>
  </si>
  <si>
    <t>OGID</t>
  </si>
  <si>
    <t>CRCD</t>
  </si>
  <si>
    <t>UOM</t>
  </si>
  <si>
    <t>MNQ</t>
  </si>
  <si>
    <t>EXDJ</t>
  </si>
  <si>
    <t>UPMJ</t>
  </si>
  <si>
    <t>TDAY</t>
  </si>
  <si>
    <t>F4074</t>
  </si>
  <si>
    <t>Price Adjustment Ledger File</t>
  </si>
  <si>
    <t>Secondary Transaction</t>
  </si>
  <si>
    <t>AKID</t>
  </si>
  <si>
    <t>SRCFD</t>
  </si>
  <si>
    <t>OSEQ</t>
  </si>
  <si>
    <t>SUBSEQ</t>
  </si>
  <si>
    <t>TIER</t>
  </si>
  <si>
    <t>PA04</t>
  </si>
  <si>
    <t>TBD</t>
  </si>
  <si>
    <t>F4111</t>
  </si>
  <si>
    <t xml:space="preserve">	Item Ledger File</t>
  </si>
  <si>
    <t>IL</t>
  </si>
  <si>
    <t>ILUPMJ</t>
  </si>
  <si>
    <t>DGL</t>
  </si>
  <si>
    <t xml:space="preserve">	UKID (pk)</t>
  </si>
  <si>
    <t>F43121</t>
  </si>
  <si>
    <t>Purchase Order Receiver File</t>
  </si>
  <si>
    <t>PR</t>
  </si>
  <si>
    <t>PRUPMJ</t>
  </si>
  <si>
    <t>MATC</t>
  </si>
  <si>
    <t>NLIN</t>
  </si>
  <si>
    <t>F4215</t>
  </si>
  <si>
    <t>Shipment Header</t>
  </si>
  <si>
    <t>XH</t>
  </si>
  <si>
    <t>XHUPMJ</t>
  </si>
  <si>
    <t>Secondary Header</t>
  </si>
  <si>
    <t>SHPN</t>
  </si>
  <si>
    <t>F03B11</t>
  </si>
  <si>
    <t>Customer Ledger</t>
  </si>
  <si>
    <t>RP</t>
  </si>
  <si>
    <t>RPUPMJ</t>
  </si>
  <si>
    <t>SFX</t>
  </si>
  <si>
    <t>F03B14</t>
  </si>
  <si>
    <t>Receipts Detail</t>
  </si>
  <si>
    <t>RZ</t>
  </si>
  <si>
    <t>RZUPMJ</t>
  </si>
  <si>
    <t>PYID</t>
  </si>
  <si>
    <t>RC5</t>
  </si>
  <si>
    <t>F0411</t>
  </si>
  <si>
    <t xml:space="preserve">	Accounts Payable Ledger</t>
  </si>
  <si>
    <t>SFXE</t>
  </si>
  <si>
    <t>F1202</t>
  </si>
  <si>
    <t>Asset Account Balances File</t>
  </si>
  <si>
    <t>FL</t>
  </si>
  <si>
    <t>FLUPMJ</t>
  </si>
  <si>
    <t>CTRY</t>
  </si>
  <si>
    <t>FY</t>
  </si>
  <si>
    <t>FQ</t>
  </si>
  <si>
    <t>NUMB</t>
  </si>
  <si>
    <t>F0902</t>
  </si>
  <si>
    <t>Account Balances</t>
  </si>
  <si>
    <t>GB</t>
  </si>
  <si>
    <t>GBUPMJ</t>
  </si>
  <si>
    <t xml:space="preserve">CRCD	</t>
  </si>
  <si>
    <t>F4201</t>
  </si>
  <si>
    <t>Sales Order Header File</t>
  </si>
  <si>
    <t>SH</t>
  </si>
  <si>
    <t>SHUPMJ</t>
  </si>
  <si>
    <t>F4981</t>
  </si>
  <si>
    <t>Freight Audit History</t>
  </si>
  <si>
    <t>FH</t>
  </si>
  <si>
    <t>FHUPMJ</t>
  </si>
  <si>
    <t>RSSN</t>
  </si>
  <si>
    <t>SDSQ</t>
  </si>
  <si>
    <t>SCSN</t>
  </si>
  <si>
    <t>UK01 (pk)</t>
  </si>
  <si>
    <t>F0414</t>
  </si>
  <si>
    <t xml:space="preserve">	Accounts Payable Matching Document Detail</t>
  </si>
  <si>
    <t>RN</t>
  </si>
  <si>
    <t>RNUPMJ</t>
  </si>
  <si>
    <t>F554201T</t>
  </si>
  <si>
    <t>SBX SO QC Information</t>
  </si>
  <si>
    <t>QC</t>
  </si>
  <si>
    <t>QCUPMJ</t>
  </si>
  <si>
    <t>F41112</t>
  </si>
  <si>
    <t>Item ASOF File</t>
  </si>
  <si>
    <t>IN</t>
  </si>
  <si>
    <t>INUPMJ</t>
  </si>
  <si>
    <t>ASOF File</t>
  </si>
  <si>
    <t>LOCN</t>
  </si>
  <si>
    <t>LOTN</t>
  </si>
  <si>
    <t>GLPT</t>
  </si>
  <si>
    <t>SHAN</t>
  </si>
  <si>
    <t>F4141</t>
  </si>
  <si>
    <t>Cycle Count Transaction File</t>
  </si>
  <si>
    <t>PJ</t>
  </si>
  <si>
    <t>PJUPMJ</t>
  </si>
  <si>
    <t>CYNO</t>
  </si>
  <si>
    <t>LITM</t>
  </si>
  <si>
    <t>STUN</t>
  </si>
  <si>
    <t>F4801T</t>
  </si>
  <si>
    <t>WO Tag</t>
  </si>
  <si>
    <t>WA</t>
  </si>
  <si>
    <t>WAUPMJ</t>
  </si>
  <si>
    <t>F4801</t>
  </si>
  <si>
    <t>WO Master</t>
  </si>
  <si>
    <t>F3111</t>
  </si>
  <si>
    <t>WO Parts for IGS Integration</t>
  </si>
  <si>
    <t>WM</t>
  </si>
  <si>
    <t>WMUPMJ</t>
  </si>
  <si>
    <t>OPSQ</t>
  </si>
  <si>
    <t>BSEQ</t>
  </si>
  <si>
    <t>F03B13</t>
  </si>
  <si>
    <t>Receipt Header</t>
  </si>
  <si>
    <t>RY</t>
  </si>
  <si>
    <t>RYUPMJ</t>
  </si>
  <si>
    <t>F4209</t>
  </si>
  <si>
    <t>SO Hold</t>
  </si>
  <si>
    <t>HO</t>
  </si>
  <si>
    <t>HOUPMJ</t>
  </si>
  <si>
    <t>HCOD</t>
  </si>
  <si>
    <t>DLNID</t>
  </si>
  <si>
    <t>RDJ</t>
  </si>
  <si>
    <t>RDT</t>
  </si>
  <si>
    <t>ASTS</t>
  </si>
  <si>
    <t>RPER</t>
  </si>
  <si>
    <t>F0413</t>
  </si>
  <si>
    <t>Payment Header</t>
  </si>
  <si>
    <t>RM</t>
  </si>
  <si>
    <t>RMUPMJ</t>
  </si>
  <si>
    <t>F41021</t>
  </si>
  <si>
    <t>Item Location File *</t>
  </si>
  <si>
    <t>LI</t>
  </si>
  <si>
    <t>LIUPMJ</t>
  </si>
  <si>
    <t>F5642B11</t>
  </si>
  <si>
    <t>Custom SO Detail</t>
  </si>
  <si>
    <t>AK</t>
  </si>
  <si>
    <t>AKUPMJ</t>
  </si>
  <si>
    <t>F1207</t>
  </si>
  <si>
    <t xml:space="preserve">	Maintenance Schedule File</t>
  </si>
  <si>
    <t>FW</t>
  </si>
  <si>
    <t>FWUPMJ</t>
  </si>
  <si>
    <t>APID</t>
  </si>
  <si>
    <t>MSTS</t>
  </si>
  <si>
    <t>SRVT</t>
  </si>
  <si>
    <t>CPLD</t>
  </si>
  <si>
    <t>UKID (pk)</t>
  </si>
  <si>
    <t>F5642B01</t>
  </si>
  <si>
    <t>Custom SO Header</t>
  </si>
  <si>
    <t>BA</t>
  </si>
  <si>
    <t>BAUPMJ</t>
  </si>
  <si>
    <t>F4102</t>
  </si>
  <si>
    <t>Item Branch Plant</t>
  </si>
  <si>
    <t>IB</t>
  </si>
  <si>
    <t>IBUPMJ</t>
  </si>
  <si>
    <t>F0111</t>
  </si>
  <si>
    <t>Address Book - Who's Who</t>
  </si>
  <si>
    <t>WW</t>
  </si>
  <si>
    <t>WWUPMJ</t>
  </si>
  <si>
    <t>IDLN</t>
  </si>
  <si>
    <t>F4104</t>
  </si>
  <si>
    <t>Item Cross Reference File</t>
  </si>
  <si>
    <t>IV</t>
  </si>
  <si>
    <t>IVUPMJ</t>
  </si>
  <si>
    <t>XRT</t>
  </si>
  <si>
    <t>CITM</t>
  </si>
  <si>
    <t>CIRV</t>
  </si>
  <si>
    <t>F4105</t>
  </si>
  <si>
    <t>Item Cost File</t>
  </si>
  <si>
    <t>SZ</t>
  </si>
  <si>
    <t>SZUPMJ</t>
  </si>
  <si>
    <t>LEDG</t>
  </si>
  <si>
    <t>F3106</t>
  </si>
  <si>
    <t>W.O. Cross Reference File</t>
  </si>
  <si>
    <t>ICUT</t>
  </si>
  <si>
    <t>USER</t>
  </si>
  <si>
    <t>F3112</t>
  </si>
  <si>
    <t>Work Order Routing</t>
  </si>
  <si>
    <t>WL</t>
  </si>
  <si>
    <t>WLUPMJ</t>
  </si>
  <si>
    <t>OPSC</t>
  </si>
  <si>
    <t>F30026</t>
  </si>
  <si>
    <t>Item Cost Component Add-Ons</t>
  </si>
  <si>
    <t>IE</t>
  </si>
  <si>
    <t>IEUPMJ</t>
  </si>
  <si>
    <t>MMCU</t>
  </si>
  <si>
    <t>COST</t>
  </si>
  <si>
    <t>F1201</t>
  </si>
  <si>
    <t>Fixed Asset Master</t>
  </si>
  <si>
    <t>FA</t>
  </si>
  <si>
    <t>FAUPMJ</t>
  </si>
  <si>
    <t>F4106</t>
  </si>
  <si>
    <t>Item Base Price File</t>
  </si>
  <si>
    <t>BP</t>
  </si>
  <si>
    <t>BPUPMJ</t>
  </si>
  <si>
    <t>LOTG</t>
  </si>
  <si>
    <t>FRMP</t>
  </si>
  <si>
    <t>F4108</t>
  </si>
  <si>
    <t>Lot Master</t>
  </si>
  <si>
    <t>IO</t>
  </si>
  <si>
    <t>IOUPMJ</t>
  </si>
  <si>
    <t>F13017</t>
  </si>
  <si>
    <t>Equipment Parts List</t>
  </si>
  <si>
    <t>PL</t>
  </si>
  <si>
    <t>PLUPMJ</t>
  </si>
  <si>
    <t>UKID</t>
  </si>
  <si>
    <t>F1217</t>
  </si>
  <si>
    <t>Equipment Master Extension</t>
  </si>
  <si>
    <t>WR</t>
  </si>
  <si>
    <t>WRUPMJ</t>
  </si>
  <si>
    <t>F01151</t>
  </si>
  <si>
    <t>Electronic Address</t>
  </si>
  <si>
    <t>EA</t>
  </si>
  <si>
    <t>EAUPMJ</t>
  </si>
  <si>
    <t>RCK7</t>
  </si>
  <si>
    <t>F0115</t>
  </si>
  <si>
    <t>Address Book - Phone Numbers</t>
  </si>
  <si>
    <t>WP</t>
  </si>
  <si>
    <t>WPUPMJ</t>
  </si>
  <si>
    <t>CNLN</t>
  </si>
  <si>
    <t>F4006</t>
  </si>
  <si>
    <t xml:space="preserve">	Order Address Information</t>
  </si>
  <si>
    <t>OA</t>
  </si>
  <si>
    <t>OAUPMJ</t>
  </si>
  <si>
    <t>ANTY</t>
  </si>
  <si>
    <t>F0150</t>
  </si>
  <si>
    <t>Address Organization Structure Master</t>
  </si>
  <si>
    <t>MA</t>
  </si>
  <si>
    <t>MAUPMJ</t>
  </si>
  <si>
    <t>OSTP</t>
  </si>
  <si>
    <t>PA8</t>
  </si>
  <si>
    <t>F0007</t>
  </si>
  <si>
    <t>Workday Calendar</t>
  </si>
  <si>
    <t>CZ</t>
  </si>
  <si>
    <t>CZUPMJ</t>
  </si>
  <si>
    <t>WDCT</t>
  </si>
  <si>
    <t>WDCK</t>
  </si>
  <si>
    <t>YR</t>
  </si>
  <si>
    <t>MT</t>
  </si>
  <si>
    <t>SHFT</t>
  </si>
  <si>
    <t>F4100</t>
  </si>
  <si>
    <t>Location Master</t>
  </si>
  <si>
    <t>LM</t>
  </si>
  <si>
    <t>LMUPMJ</t>
  </si>
  <si>
    <t>F4140</t>
  </si>
  <si>
    <t>Cycle Count Header File</t>
  </si>
  <si>
    <t>PI</t>
  </si>
  <si>
    <t>PIUPMJ</t>
  </si>
  <si>
    <t>F554072S</t>
  </si>
  <si>
    <t>SBX Price Adjustments</t>
  </si>
  <si>
    <t>F03B15</t>
  </si>
  <si>
    <t>Credit and Cash Management</t>
  </si>
  <si>
    <t>RTUPMJ</t>
  </si>
  <si>
    <t>PART</t>
  </si>
  <si>
    <t>F03B112</t>
  </si>
  <si>
    <t>Invoice Revisions</t>
  </si>
  <si>
    <t>RW</t>
  </si>
  <si>
    <t>RWUPMJ</t>
  </si>
  <si>
    <t>F30008</t>
  </si>
  <si>
    <t>Work Center Rates File</t>
  </si>
  <si>
    <t>IW</t>
  </si>
  <si>
    <t>IWUPMJ</t>
  </si>
  <si>
    <t>F03B41</t>
  </si>
  <si>
    <t xml:space="preserve">	A/R Deduction Activity</t>
  </si>
  <si>
    <t>RC</t>
  </si>
  <si>
    <t>RCUPMJ</t>
  </si>
  <si>
    <t>DCID</t>
  </si>
  <si>
    <t>F0025</t>
  </si>
  <si>
    <t>Ledger Type Master File</t>
  </si>
  <si>
    <t>LH</t>
  </si>
  <si>
    <t>LHUPMJ</t>
  </si>
  <si>
    <t>F12071</t>
  </si>
  <si>
    <t xml:space="preserve">	Equipment PM Schedule (Model)</t>
  </si>
  <si>
    <t>FZ</t>
  </si>
  <si>
    <t>FZUPMJ</t>
  </si>
  <si>
    <t>ACL1</t>
  </si>
  <si>
    <t>ACL2</t>
  </si>
  <si>
    <t>ACL3</t>
  </si>
  <si>
    <t>ACL4</t>
  </si>
  <si>
    <t>ACL5</t>
  </si>
  <si>
    <t>ACL6</t>
  </si>
  <si>
    <t>ACL7</t>
  </si>
  <si>
    <t>ACL8</t>
  </si>
  <si>
    <t>ACL9</t>
  </si>
  <si>
    <t>ACL0</t>
  </si>
  <si>
    <t>F42119</t>
  </si>
  <si>
    <t>Sales Order History File</t>
  </si>
  <si>
    <t>F0014</t>
  </si>
  <si>
    <t xml:space="preserve">	Payment Terms</t>
  </si>
  <si>
    <t>PN</t>
  </si>
  <si>
    <t>PNUPMJ</t>
  </si>
  <si>
    <t>F03B40</t>
  </si>
  <si>
    <t xml:space="preserve">	A/R Deduction Management</t>
  </si>
  <si>
    <t>RB</t>
  </si>
  <si>
    <t>RBUPMJ</t>
  </si>
  <si>
    <t>F00690</t>
  </si>
  <si>
    <t>Cost Center Types of Data</t>
  </si>
  <si>
    <t>M1</t>
  </si>
  <si>
    <t>M1UPMJ</t>
  </si>
  <si>
    <t>F0091</t>
  </si>
  <si>
    <t>A/B Vendor Information for Year-end IVA tape - Italy</t>
  </si>
  <si>
    <t>IF</t>
  </si>
  <si>
    <t>IFUPMJ</t>
  </si>
  <si>
    <t>F40205</t>
  </si>
  <si>
    <t>Line Type Control Constants File</t>
  </si>
  <si>
    <t>LF</t>
  </si>
  <si>
    <t>LFUPMJ</t>
  </si>
  <si>
    <t>LNTY</t>
  </si>
  <si>
    <t xml:space="preserve"> Total: </t>
  </si>
  <si>
    <t>#</t>
  </si>
  <si>
    <t>Report</t>
  </si>
  <si>
    <t>Executions</t>
  </si>
  <si>
    <t>No of Users</t>
  </si>
  <si>
    <t>Owner</t>
  </si>
  <si>
    <t>Complexity</t>
  </si>
  <si>
    <t>Template</t>
  </si>
  <si>
    <t>Tables</t>
  </si>
  <si>
    <t>Comment</t>
  </si>
  <si>
    <t>PrimaryReport</t>
  </si>
  <si>
    <t>Spec Exists?</t>
  </si>
  <si>
    <t>Conversion Status</t>
  </si>
  <si>
    <t>Refresh Frequency</t>
  </si>
  <si>
    <t>F&amp;A</t>
  </si>
  <si>
    <t>LOW</t>
  </si>
  <si>
    <t>GL DETAIL</t>
  </si>
  <si>
    <t>F0911, F0901,F4101,F0006, F0010</t>
  </si>
  <si>
    <t>Y</t>
  </si>
  <si>
    <t>Real Time</t>
  </si>
  <si>
    <t>DRILLDOWN</t>
  </si>
  <si>
    <t>GL BALANCES</t>
  </si>
  <si>
    <t>F0006, F0902, F0901</t>
  </si>
  <si>
    <t>MED</t>
  </si>
  <si>
    <t>INV</t>
  </si>
  <si>
    <t>INV AS OF</t>
  </si>
  <si>
    <t>F0006, F0010, F4100, F4101, F4102, F4105, F4106, F4108, F41112</t>
  </si>
  <si>
    <t>Daily</t>
  </si>
  <si>
    <t>POP</t>
  </si>
  <si>
    <t>PO DETAIL</t>
  </si>
  <si>
    <t>F4311, F0101, F4209, F0010</t>
  </si>
  <si>
    <t>UNDERWAY</t>
  </si>
  <si>
    <t>INV BALANCES</t>
  </si>
  <si>
    <t>F41021, F4101, F4102, F4105</t>
  </si>
  <si>
    <t>VARIANT</t>
  </si>
  <si>
    <t>ACA BALANCES</t>
  </si>
  <si>
    <t>F1602, F0101, F03012, F0116, F4101, F0901, F0010</t>
  </si>
  <si>
    <t>LOG</t>
  </si>
  <si>
    <t>CUSTOM</t>
  </si>
  <si>
    <t>F4211, F4215, F42119</t>
  </si>
  <si>
    <t>PERSONAL REPORT</t>
  </si>
  <si>
    <t>SO DETAIL</t>
  </si>
  <si>
    <t>F4211, F0101, F0116, F4201, F0010</t>
  </si>
  <si>
    <t>INV DETAIL</t>
  </si>
  <si>
    <t>F4111, F4102, F3106</t>
  </si>
  <si>
    <t>HIGH</t>
  </si>
  <si>
    <t>F0911, F43121, F0411, F4101, F0006, F0901, F0414, F0413, F0010</t>
  </si>
  <si>
    <t>F41021, F4104, F4105, F4101, F4102</t>
  </si>
  <si>
    <t>AR</t>
  </si>
  <si>
    <t>AR AGEING</t>
  </si>
  <si>
    <t>F03B11, F03B13, F03B14</t>
  </si>
  <si>
    <t>FA TRANSACTIONS</t>
  </si>
  <si>
    <t>F0911, F0901,F4101,F0006, F0010, F1201</t>
  </si>
  <si>
    <t>AP</t>
  </si>
  <si>
    <t>AP DETAIL</t>
  </si>
  <si>
    <t>F0411, F0401, F0006, F0101, F0010</t>
  </si>
  <si>
    <t>F4211, F03B11, F0006, F0101, F0116</t>
  </si>
  <si>
    <t>F4102, F4101, F41002, F4104</t>
  </si>
  <si>
    <t>Weekly</t>
  </si>
  <si>
    <t>OPS</t>
  </si>
  <si>
    <t>F4201, F4211, F554201T, F4311, F42121</t>
  </si>
  <si>
    <t>AP PAYMENTS</t>
  </si>
  <si>
    <t>F0411, F0414, F0413</t>
  </si>
  <si>
    <t>FA BALANCES</t>
  </si>
  <si>
    <t>F0901, F1202, F0010</t>
  </si>
  <si>
    <t>Monthly</t>
  </si>
  <si>
    <t>AB MASTER</t>
  </si>
  <si>
    <t>F0101, F0116, F0401, F03012, F0115, F01151</t>
  </si>
  <si>
    <t>F4201, F4211, F554201T</t>
  </si>
  <si>
    <t>F30026, F4102, F4101</t>
  </si>
  <si>
    <t>F4211, F5642B11, F0101, F0116, F4941, F5642B01, F4201, F41002</t>
  </si>
  <si>
    <t>REDUNDANT REPORT</t>
  </si>
  <si>
    <t>PO RECEIPTS</t>
  </si>
  <si>
    <t>F43121, F0010</t>
  </si>
  <si>
    <t>GL ACCOUNTS</t>
  </si>
  <si>
    <t>F4211, F4981, F4941, F41002, F4074, F0116, F0101</t>
  </si>
  <si>
    <t>F0411, F4311</t>
  </si>
  <si>
    <t>F0411, F0911</t>
  </si>
  <si>
    <t>Owner Code</t>
  </si>
  <si>
    <t>Business Owner</t>
  </si>
  <si>
    <t>Annie Carroll</t>
  </si>
  <si>
    <t>Kenise Philbert</t>
  </si>
  <si>
    <t>Jim Ridgely</t>
  </si>
  <si>
    <t>Prabhu Thomas/Heather Kenworthy</t>
  </si>
  <si>
    <t>Allison Stadnick</t>
  </si>
  <si>
    <t>Chris Axness</t>
  </si>
  <si>
    <t>Grouping</t>
  </si>
  <si>
    <t>Manual Reports</t>
  </si>
  <si>
    <t>Scheduler Reports</t>
  </si>
  <si>
    <t>Templates</t>
  </si>
  <si>
    <t>Accounts Payable</t>
  </si>
  <si>
    <t>Accounts Receivable</t>
  </si>
  <si>
    <t>Finance &amp; Accounting</t>
  </si>
  <si>
    <t>Inventory</t>
  </si>
  <si>
    <t>Logistics</t>
  </si>
  <si>
    <t>Operations</t>
  </si>
  <si>
    <t>Procurement</t>
  </si>
  <si>
    <t>Customer Services</t>
  </si>
  <si>
    <t>Health &amp; Safety</t>
  </si>
  <si>
    <t>IT</t>
  </si>
  <si>
    <t>Quality Assurance</t>
  </si>
  <si>
    <t>Sandbox</t>
  </si>
  <si>
    <t>Master Data</t>
  </si>
  <si>
    <t>Modular Priority</t>
  </si>
  <si>
    <t>Template Priority</t>
  </si>
  <si>
    <t>Specification</t>
  </si>
  <si>
    <t>Status</t>
  </si>
  <si>
    <t>Count</t>
  </si>
  <si>
    <t>Hubble Folder</t>
  </si>
  <si>
    <t>Complete</t>
  </si>
  <si>
    <t>Completion</t>
  </si>
  <si>
    <t xml:space="preserve">Standard AP Detail 1 </t>
  </si>
  <si>
    <t>Templates Specifications</t>
  </si>
  <si>
    <t xml:space="preserve">Standard AP Payment 1 </t>
  </si>
  <si>
    <t>Reports</t>
  </si>
  <si>
    <t xml:space="preserve">Advanced AP Payment 1 </t>
  </si>
  <si>
    <t>Template Reports</t>
  </si>
  <si>
    <t xml:space="preserve">Advanced AP Payment 2 </t>
  </si>
  <si>
    <t xml:space="preserve">Advanced AR Detail 1 </t>
  </si>
  <si>
    <t xml:space="preserve">Extended GL Detail 1 </t>
  </si>
  <si>
    <t xml:space="preserve">Standard GL Balances 1 </t>
  </si>
  <si>
    <t xml:space="preserve">Advanced GL Balances 1 </t>
  </si>
  <si>
    <t xml:space="preserve">Advanced ACA Balances 1 </t>
  </si>
  <si>
    <t xml:space="preserve">Standard FA Balances 1 </t>
  </si>
  <si>
    <t xml:space="preserve">Extended Master Data 1 </t>
  </si>
  <si>
    <t xml:space="preserve">Standard Master Data 2 </t>
  </si>
  <si>
    <t xml:space="preserve">Extended Master Data 2 </t>
  </si>
  <si>
    <t>OTC</t>
  </si>
  <si>
    <t xml:space="preserve">Extended Sales Order 7 </t>
  </si>
  <si>
    <t xml:space="preserve">Extended Sales Order 1 </t>
  </si>
  <si>
    <t xml:space="preserve">Extended Sales Order 2 </t>
  </si>
  <si>
    <t xml:space="preserve">Extended Sales Order 3 </t>
  </si>
  <si>
    <t xml:space="preserve">Extended Sales Order 4 </t>
  </si>
  <si>
    <t xml:space="preserve">Extended Sales Order 5 </t>
  </si>
  <si>
    <t xml:space="preserve">Extended Sales Order 6 </t>
  </si>
  <si>
    <t xml:space="preserve">Custom Sales Order 2 </t>
  </si>
  <si>
    <t>Extended Sales Order 8</t>
  </si>
  <si>
    <t>Procurement/Inventory Management</t>
  </si>
  <si>
    <t xml:space="preserve">Standard PO Detail 1 </t>
  </si>
  <si>
    <t xml:space="preserve">Standard Inventory Balances 1 </t>
  </si>
  <si>
    <t xml:space="preserve">Extended Inventory Transactions 1 </t>
  </si>
  <si>
    <t xml:space="preserve">Extended Inventory Balances 1 </t>
  </si>
  <si>
    <t xml:space="preserve">Advanced Inventory As Of 1 </t>
  </si>
  <si>
    <t xml:space="preserve">Extended Work Order 1 </t>
  </si>
  <si>
    <t xml:space="preserve">Extended Inventory Transactions 2 </t>
  </si>
  <si>
    <t xml:space="preserve">Extended Item Master 1 </t>
  </si>
  <si>
    <t xml:space="preserve">Standard PO Receipt 1 </t>
  </si>
  <si>
    <t> </t>
  </si>
  <si>
    <t>Business Stream</t>
  </si>
  <si>
    <t>Business Owners</t>
  </si>
  <si>
    <t>Allison Stadnick/Teri Varner</t>
  </si>
  <si>
    <t>IT/Exceptions</t>
  </si>
  <si>
    <t>Sathish Iyer</t>
  </si>
  <si>
    <t>Jim Ridgely/Adam Stringham/David Atwood/Jill Haney</t>
  </si>
  <si>
    <t>HS</t>
  </si>
  <si>
    <t>Paul Craig</t>
  </si>
  <si>
    <t>QA</t>
  </si>
  <si>
    <t>Don Hancock</t>
  </si>
  <si>
    <t>SANDBOX</t>
  </si>
  <si>
    <t>Kristyn Roe/Florence Maldonado</t>
  </si>
  <si>
    <t>STR</t>
  </si>
  <si>
    <t>Jim Ross</t>
  </si>
  <si>
    <t>Schedule</t>
  </si>
  <si>
    <t>Report Name</t>
  </si>
  <si>
    <t>Report Location</t>
  </si>
  <si>
    <t>Apache Monthly Loadout Report</t>
  </si>
  <si>
    <t>Apache Monthly Load Report</t>
  </si>
  <si>
    <t>Documents\Shared\Production\Customer Service</t>
  </si>
  <si>
    <t>CS</t>
  </si>
  <si>
    <t>Ascent Load Report</t>
  </si>
  <si>
    <t>Documents\Shared\Production\Customer Service\Scheduler Reports</t>
  </si>
  <si>
    <t>F4211, F5549002, F0010, F0101, F0006, F4201</t>
  </si>
  <si>
    <t>Bagged Producs-Quantity on Hand-Mauricetown 2PM</t>
  </si>
  <si>
    <t>Bagged Products-Quantity on Hand-Mauricetown</t>
  </si>
  <si>
    <t>Berkeley Daily Open Orders Report</t>
  </si>
  <si>
    <t>Berkeley Springs Open Orders</t>
  </si>
  <si>
    <t>Cash In Advance-Open Order Report</t>
  </si>
  <si>
    <t>Columbia Daily Open Order Report - AM</t>
  </si>
  <si>
    <t>Columbia Open Orders</t>
  </si>
  <si>
    <t>Columbia Daily Open Order Report - PM</t>
  </si>
  <si>
    <t>Columbia Open Bagged Orders</t>
  </si>
  <si>
    <t>Cudd WTX â€“ Loaded Tons Update</t>
  </si>
  <si>
    <t>Cudd WTX - Loaded Tons Update</t>
  </si>
  <si>
    <t>Daily Open Orders Report NPO Aging</t>
  </si>
  <si>
    <t>DE Central Operating - Previous Day Load Report</t>
  </si>
  <si>
    <t>DE Central Operating WTX â€“ Loaded Tons Update - AM</t>
  </si>
  <si>
    <t>DE Central Operating WTX - Loaded Tons Update</t>
  </si>
  <si>
    <t>DE Central Operating WTX â€“ Loaded Tons Update - PM</t>
  </si>
  <si>
    <t>Dubberly Daily Open Order Report</t>
  </si>
  <si>
    <t>Dubberly Open Orders</t>
  </si>
  <si>
    <t>Florisil Daily Open Order Report</t>
  </si>
  <si>
    <t>Florisil Open Orders</t>
  </si>
  <si>
    <t>Halliburton Load Report - MTD ALL</t>
  </si>
  <si>
    <t>Hurtsboro Daily Open Order Report AM</t>
  </si>
  <si>
    <t>Hurtsboro Open Orders</t>
  </si>
  <si>
    <t>Hurtsboro Daily Open Order Report MIDDAY</t>
  </si>
  <si>
    <t>Hurtsboro Daily Open Order Report PM</t>
  </si>
  <si>
    <t>ISPCAMKM-Open Order Report - AM</t>
  </si>
  <si>
    <t>ISPCAMKM-Open Order Report</t>
  </si>
  <si>
    <t>ISPCAMKM-Open Order Report - PM</t>
  </si>
  <si>
    <t>ISPCAMMM-Open Order Report - AM</t>
  </si>
  <si>
    <t>ISPCAMMM-Open Order Report</t>
  </si>
  <si>
    <t>ISPCAMMM-Open Order Report - PM</t>
  </si>
  <si>
    <t>ISPCAMSP - Open Order Report - AM</t>
  </si>
  <si>
    <t>ISPCAMSP-Open Order Report</t>
  </si>
  <si>
    <t>ISPCAMSP - Open Order Report - PM</t>
  </si>
  <si>
    <t>ISPCAMSW - Open Order Report - AM</t>
  </si>
  <si>
    <t>ISPCAMSW-Open Order Report</t>
  </si>
  <si>
    <t>ISPCAMSW - Open Order Report - PM</t>
  </si>
  <si>
    <t>Jackson Daily Open Order Report - PM</t>
  </si>
  <si>
    <t>Jackson Open Orders</t>
  </si>
  <si>
    <t>Liberty Oilfield Load Report</t>
  </si>
  <si>
    <t>Liberty Oilfield Load Report - Scheduler</t>
  </si>
  <si>
    <t>Lovelock Open Export Orders</t>
  </si>
  <si>
    <t>Lovelock Open Orders</t>
  </si>
  <si>
    <t>Documents\Shared\Production\Customer Service\Sales Reports\05 Scheduler Versions\03 Export Logistics (Scheduler)</t>
  </si>
  <si>
    <t>Mapleton Daily Open Order Report</t>
  </si>
  <si>
    <t>Mapleton Open Orders</t>
  </si>
  <si>
    <t>Mapleton Open Orders Report</t>
  </si>
  <si>
    <t>Mauricetown Daily Open Order Report</t>
  </si>
  <si>
    <t>Mauricetown Open Orders</t>
  </si>
  <si>
    <t>Millen-Open Order Report - 4PM</t>
  </si>
  <si>
    <t>Millen-Open Order Report</t>
  </si>
  <si>
    <t>Millen-Open Order Report - 8AM</t>
  </si>
  <si>
    <t>Montpelier Daily Open Order Report</t>
  </si>
  <si>
    <t>Montpelier Open Orders</t>
  </si>
  <si>
    <t>Nextier Load Report - MTD</t>
  </si>
  <si>
    <t>Open Order Report - Allison - AM</t>
  </si>
  <si>
    <t>Open Order Report</t>
  </si>
  <si>
    <t>Open Order Report - Allison - PM</t>
  </si>
  <si>
    <t>Open ST Order Report</t>
  </si>
  <si>
    <t>Open Truck ST Orders</t>
  </si>
  <si>
    <t>Ottawa Daily Open Order Report</t>
  </si>
  <si>
    <t>Ottawa Open Orders</t>
  </si>
  <si>
    <t>Ovintiv WTX Load Report - MTD ALL</t>
  </si>
  <si>
    <t>Ovintiv Year to Date Loadout Report</t>
  </si>
  <si>
    <t>Ovintiv Year to Date Load Report</t>
  </si>
  <si>
    <t>Pacific Daily Open Order Report - Whole Grain - AM</t>
  </si>
  <si>
    <t>Pacific Open Orders-Whole Grain</t>
  </si>
  <si>
    <t>Pacific Daily Open Order Report - Whole Grain - PM</t>
  </si>
  <si>
    <t>Pacific Daily Open Order Report, Ground Products - AM</t>
  </si>
  <si>
    <t>Pacific Open Orders-Ground Products</t>
  </si>
  <si>
    <t>Pacific Daily Open Order Report, Ground Products - PM</t>
  </si>
  <si>
    <t>Pacific Daily Open Orders - Rail - AM</t>
  </si>
  <si>
    <t>Pacific Open Orders-Rail</t>
  </si>
  <si>
    <t>Pacific Daily Open Orders - Rail - PM</t>
  </si>
  <si>
    <t>Pioneer â€“ WTX â€“ MTD - AM</t>
  </si>
  <si>
    <t>Pioneer - WTX - MTD</t>
  </si>
  <si>
    <t>Pioneer â€“ WTX â€“ MTD - PM</t>
  </si>
  <si>
    <t>Pioneer WTX â€“ Loaded Tons Update</t>
  </si>
  <si>
    <t>Pioneer WTX - Loaded Tons Update</t>
  </si>
  <si>
    <t>Regional Mines - Load Report</t>
  </si>
  <si>
    <t>Regional MInes - Load Report</t>
  </si>
  <si>
    <t>REI DEMURRAGE MONTHLY BILLINGS</t>
  </si>
  <si>
    <t>Rockwood Daily Open Order Report</t>
  </si>
  <si>
    <t>Rockwood Open Orders</t>
  </si>
  <si>
    <t>Sherwin Williams MTD Shipments</t>
  </si>
  <si>
    <t>SM - Past Due Order Report 1 PM</t>
  </si>
  <si>
    <t>SM Past Due Orders</t>
  </si>
  <si>
    <t>SM - Past Due Order Report 5 PM</t>
  </si>
  <si>
    <t>SM - Past Due Order Report 6 AM</t>
  </si>
  <si>
    <t>SM Inside Sales-Open Order Report - AM</t>
  </si>
  <si>
    <t>SM Inside Sales-Open Order Report</t>
  </si>
  <si>
    <t>SM Inside Sales-Open Order Report - PM</t>
  </si>
  <si>
    <t>SM Open Order Report</t>
  </si>
  <si>
    <t>SM-Open Order Report</t>
  </si>
  <si>
    <t>SM Trucking - Past Due Orders 3PM</t>
  </si>
  <si>
    <t>SM Trucking-Past Due Orders</t>
  </si>
  <si>
    <t>SM Trucking - Past Due Orders 9AM</t>
  </si>
  <si>
    <t>SM-Planning Open Order Report</t>
  </si>
  <si>
    <t>SM Planning Open Orders</t>
  </si>
  <si>
    <t>Solvay Open Order Report</t>
  </si>
  <si>
    <t>Standridge Open Order Report</t>
  </si>
  <si>
    <t>TCS - Ottawa Open Rail Order Report</t>
  </si>
  <si>
    <t>Ottawa Open Rail Orders</t>
  </si>
  <si>
    <t>Daily Order Re-Date Report</t>
  </si>
  <si>
    <t>Daily Order Re-Date Report - Scheduler</t>
  </si>
  <si>
    <t>Documents\Shared\Production\Exception Reports\01 SCM/OTC\Scheduler Versions</t>
  </si>
  <si>
    <t>EXCEPTION</t>
  </si>
  <si>
    <t>F5542035, F0101, F4211, F4201, F4941, F5642B01</t>
  </si>
  <si>
    <t>Item X-Ref Missing Report</t>
  </si>
  <si>
    <t>Item X-Ref Missing - Scheduler</t>
  </si>
  <si>
    <t>F4211, F4104</t>
  </si>
  <si>
    <t>Missing Email ID for Email Distribution</t>
  </si>
  <si>
    <t>Missing Email ID setup for Invoice Distribution</t>
  </si>
  <si>
    <t>F0101, F01151</t>
  </si>
  <si>
    <t>Missing Email ID for Email Distribution (O&amp;G)</t>
  </si>
  <si>
    <t>Missing Email ID setup for Invoice Distribution (O&amp;G)</t>
  </si>
  <si>
    <t>Missing Freight Rates or Routes for Export Orders</t>
  </si>
  <si>
    <t>Missing Freight Rates or Routes for Export Orders - Scheduler</t>
  </si>
  <si>
    <t>F4201, F4211, F4941, F5642B11, F5642B01</t>
  </si>
  <si>
    <t>Order with Multiple Shipments Report</t>
  </si>
  <si>
    <t>Order with Multiple Shipments - Scheduler</t>
  </si>
  <si>
    <t>F4201, F4211, F0101</t>
  </si>
  <si>
    <t>Orders on Hold for Pricing</t>
  </si>
  <si>
    <t>Orders on Hold for Pricing - Scheduler</t>
  </si>
  <si>
    <t>Orders with a Dummy Route</t>
  </si>
  <si>
    <t>Orders with a Dummy Route - Scheduler</t>
  </si>
  <si>
    <t>F4211, F5642B11, F0101, F4201, F4941, F5642B01</t>
  </si>
  <si>
    <t>Orders with Zero Unit Price Report</t>
  </si>
  <si>
    <t>Orders with Zero Unit Price - Scheduler</t>
  </si>
  <si>
    <t>F4211, F0101, F4101</t>
  </si>
  <si>
    <t>Routing Status 9 Issue</t>
  </si>
  <si>
    <t>Documents\Shared\Production\Exception Reports\01 SCM/OTC</t>
  </si>
  <si>
    <t>F4941, F4211</t>
  </si>
  <si>
    <t>Shipment with Multiple Orders Report</t>
  </si>
  <si>
    <t>Shipment with Multiple Orders - Scheduler</t>
  </si>
  <si>
    <t>Shipment without Shipment Confirmation</t>
  </si>
  <si>
    <t>Shipped without Shipment Confirmation - Scheduler</t>
  </si>
  <si>
    <t>Short Ship Notifications</t>
  </si>
  <si>
    <t>Short Ship Notifications - Scheduler</t>
  </si>
  <si>
    <t>F4201, F4211, F41002, F4101</t>
  </si>
  <si>
    <t>Work Order Classification</t>
  </si>
  <si>
    <t>Documents\Shared\Production\Customer Service\Sales Reports\05 Scheduler Versions\16 Work Order Classification</t>
  </si>
  <si>
    <t>F4801, F4801T, F1201, f0101</t>
  </si>
  <si>
    <t>INV004 Item Balance Sumary - LAM1</t>
  </si>
  <si>
    <t>INV004 Item Balance Summary LAM1</t>
  </si>
  <si>
    <t>Documents\Shared\Production\Inventory / Purchasing</t>
  </si>
  <si>
    <t>Inventory Value By Location</t>
  </si>
  <si>
    <t>Inventory Value by Location New May 2021</t>
  </si>
  <si>
    <t>Open PO Report</t>
  </si>
  <si>
    <t>Documents\Shared\Production\Inventory / Purchasing\Scheduler</t>
  </si>
  <si>
    <t>F4311, F0101, F4209, F0011</t>
  </si>
  <si>
    <t>POP0002 Open Purchase Order Detail Report Crane</t>
  </si>
  <si>
    <t>F4311, F0101, F4209, F0012</t>
  </si>
  <si>
    <t xml:space="preserve">POP0002 Open Purchase Order Detail Report Geology CORP15 </t>
  </si>
  <si>
    <t>POP0002 Open Purchase Order Detail Report Geology CORP15</t>
  </si>
  <si>
    <t>F4311, F0101, F4209, F0013</t>
  </si>
  <si>
    <t>POP0002 OPEN PURCHASE ORDER DETAIL REPORT HUR1</t>
  </si>
  <si>
    <t>POP0002 OPEN PURCHASE ORDER DETAIL REPORT HUR1 June 2022</t>
  </si>
  <si>
    <t>F4311, F0101, F4209, F0014</t>
  </si>
  <si>
    <t>POP0002 Open Purchase Order Detail Report IT CORP27</t>
  </si>
  <si>
    <t>F4311, F0101, F4209, F0015</t>
  </si>
  <si>
    <t>POP0002 Open Purchase Order Detail Report Lamesa</t>
  </si>
  <si>
    <t>F4311, F0101, F4209, F0016</t>
  </si>
  <si>
    <t>POP0002 Open Purchase Order Detail Report Ottawa</t>
  </si>
  <si>
    <t>POP0002 Open Purchase Order Detail Report W/Transaction Originator Ottawa</t>
  </si>
  <si>
    <t>F4311, F0101, F4209, F0017</t>
  </si>
  <si>
    <t>POP0002MCR Open Purchase Order Report for Mill Creek</t>
  </si>
  <si>
    <t>POP0002MCR Open Purchase Order Detail Report Mill Creek Plant</t>
  </si>
  <si>
    <t>F4311, F0101, F4209, F0018</t>
  </si>
  <si>
    <t>POP002 Open Purchase Order Detail Report WTX1</t>
  </si>
  <si>
    <t>POP0002 Open Purchase Order Detail Report WTX1</t>
  </si>
  <si>
    <t>F4311, F0101, F4209, F0019</t>
  </si>
  <si>
    <t>Purchase Order Control Report</t>
  </si>
  <si>
    <t>Purchase Order Control Report add WTX AND SBX 04202021</t>
  </si>
  <si>
    <t>F4311, F0101, F4209, F0020</t>
  </si>
  <si>
    <t>Purchase Order Control Report CRA1</t>
  </si>
  <si>
    <t>F4311, F0101, F4209, F0021</t>
  </si>
  <si>
    <t>Requisition Control Report</t>
  </si>
  <si>
    <t>Requisition Control Report add WTX AND SBX 04202021</t>
  </si>
  <si>
    <t>F4311, F0101, F4209, F0022</t>
  </si>
  <si>
    <t>Gore Daily Load Report</t>
  </si>
  <si>
    <t>Documents\Shared\Production\Sandbox</t>
  </si>
  <si>
    <t>POP0002 Open Purchase Order Detail Report SBX by BP Feb 2022</t>
  </si>
  <si>
    <t>F4311, F0101, F4209, F0023</t>
  </si>
  <si>
    <t>POP0002A Open Requisition Detail Report SBX MAIN Feb 2022</t>
  </si>
  <si>
    <t>F4311, F0101, F4209, F0024</t>
  </si>
  <si>
    <t>SandBox AR Aging - BJ Services</t>
  </si>
  <si>
    <t>Sandbox Daily Open Order Report</t>
  </si>
  <si>
    <t>Sandbox Daily Open Orders Report</t>
  </si>
  <si>
    <t>Sandbox Open A/R Report - US Well Services</t>
  </si>
  <si>
    <t>Sandbox Open A/R Report -  US Well Services</t>
  </si>
  <si>
    <t>Documents\Shared\Production\Sandbox\Scheduler</t>
  </si>
  <si>
    <t>Sandbox Report - Daily Productivity Report</t>
  </si>
  <si>
    <t>SBX Daily Productivity Report (SBX Billing)</t>
  </si>
  <si>
    <t>Sandbox Report - POP0002 Open Purchase Order Detail</t>
  </si>
  <si>
    <t>POP0002 Open Purchase Order Detail Report SBX</t>
  </si>
  <si>
    <t>F4311, F0101, F4209, F0025</t>
  </si>
  <si>
    <t>Sandbox Report - Unbilled AR</t>
  </si>
  <si>
    <t>SandBox Report - Unbilled AR (For Credit)</t>
  </si>
  <si>
    <t>SBX Unbilled AR (For Credit)</t>
  </si>
  <si>
    <t>SBX Kronos Open Orders Report</t>
  </si>
  <si>
    <t>SBX Kronos Open Orders Export</t>
  </si>
  <si>
    <t>UNKNOWN</t>
  </si>
  <si>
    <t>Daily Shipment Report</t>
  </si>
  <si>
    <t>Documents\Shared\Production\Supply Chain</t>
  </si>
  <si>
    <t>F4211, F0101, F0010, F0006</t>
  </si>
  <si>
    <t>Daily Transfer Report</t>
  </si>
  <si>
    <t>Days Since Last Invoice</t>
  </si>
  <si>
    <t>Days Since Invoice</t>
  </si>
  <si>
    <t>F4211, F0101</t>
  </si>
  <si>
    <t>DE IV â€“ Previous Day Load Report</t>
  </si>
  <si>
    <t>DE IV - Previous Day Load Report</t>
  </si>
  <si>
    <t>Documents\User Folders\THUMMJ\Favorites</t>
  </si>
  <si>
    <t>Extended Item Availability Summary - Scheduler</t>
  </si>
  <si>
    <t>Documents\Shared\Production\Supply Chain\Scheduler Versions</t>
  </si>
  <si>
    <t>Llamasoft Daily Report - 12pm</t>
  </si>
  <si>
    <t>Supply Chain Planning Llamasoft Open Orders</t>
  </si>
  <si>
    <t>Llamasoft Daily Report - 3pm</t>
  </si>
  <si>
    <t>Llamasoft Daily Report - 9am</t>
  </si>
  <si>
    <t>Past 31 Days Shipment Report</t>
  </si>
  <si>
    <t>F4211, F0010, F0006, F0101</t>
  </si>
  <si>
    <t>SCH JM Shipments - Columbia to Etowah</t>
  </si>
  <si>
    <t>SCH JM Shipments - Columbia to Waterville</t>
  </si>
  <si>
    <t>SCH Open Order Report - JM Etowah &amp; Waterville</t>
  </si>
  <si>
    <t>SOP0020Lite - 90 Day Transload Sales/Inventory</t>
  </si>
  <si>
    <t>SOP0020Lite - 90 Day Transload Sales</t>
  </si>
  <si>
    <t>Transload Inventory V2</t>
  </si>
  <si>
    <t xml:space="preserve">AP007 - RNV for CIP Accounts 1790 and 1791 </t>
  </si>
  <si>
    <t>Documents\Shared\Production\Accounts Payable</t>
  </si>
  <si>
    <t>AP008 - AP Trade - CIP Open P9 PO Match Vouchers</t>
  </si>
  <si>
    <t>AP008 - AP Trade - CIP Open PV/PD Straight Pay Vouchers</t>
  </si>
  <si>
    <t>Avalara - AT Hold Report</t>
  </si>
  <si>
    <t>Documents\Shared\Production\Finance\Tax Reporting</t>
  </si>
  <si>
    <t>F4211, F0116</t>
  </si>
  <si>
    <t>Stock Status Report - Finance</t>
  </si>
  <si>
    <t>Documents\Shared\Production\Finance\Scheduler Reports</t>
  </si>
  <si>
    <t>Unapplied Cash Report</t>
  </si>
  <si>
    <t>Documents\Shared\Production\Accounts Receivable</t>
  </si>
  <si>
    <t>Workplace Exam Findings - Open Orders</t>
  </si>
  <si>
    <t>Workplace Exam Findings Work Orders - Scheduler</t>
  </si>
  <si>
    <t>Documents\Shared\Production\Health, Safety &amp; Claims Mgmt</t>
  </si>
  <si>
    <t>F4801, F4801T, F1201</t>
  </si>
  <si>
    <t>Workplace Exam Findings - Open Orders 1st</t>
  </si>
  <si>
    <t>Workplace Exam Findings - Report Pack 1st</t>
  </si>
  <si>
    <t>Workplace Exam Findings Work Orders Report Pack</t>
  </si>
  <si>
    <t>IT Capital Expenditure</t>
  </si>
  <si>
    <t>IT Capital Spending by Project</t>
  </si>
  <si>
    <t>Documents\Shared\Development - Hubble to Power BI\INC - BI Daily Information Technology Dashboard - Capital Expenditure</t>
  </si>
  <si>
    <t>CL National Accounts Monthly Invoices</t>
  </si>
  <si>
    <t>CL National Accounts Monthly Invoice Report - Scheduler</t>
  </si>
  <si>
    <t>Documents\Shared\Production\IT\Salesforce\Scheduler Reports</t>
  </si>
  <si>
    <t>F4201, F4211, F0010, F0101, F4101, F0116, F41002</t>
  </si>
  <si>
    <t>SCP Monthly Invoice Report</t>
  </si>
  <si>
    <t>SCP Monthly Invoice Report - Scheduler</t>
  </si>
  <si>
    <t>Quality Preferences with Zero Allowed Maximum</t>
  </si>
  <si>
    <t>Quality Preferences - Scheduler</t>
  </si>
  <si>
    <t>Documents\Shared\Production\Quality Management</t>
  </si>
  <si>
    <t>F40318</t>
  </si>
  <si>
    <t>AP007M - RNV for CIP Accounts 1790 and 1791 MONTHLY SCHEDULER RUN</t>
  </si>
  <si>
    <t>AP008M - AP Trade - CIP Open P9 PO Match Vouchers - MONTHLY SCHEDULER RUN</t>
  </si>
  <si>
    <t>AP008M - AP Trade - CIP Open PV/PD Straight Pay Vouchers - MONTHLY SCHEDULER RUN</t>
  </si>
  <si>
    <t>Daily Open Orders</t>
  </si>
  <si>
    <t>Daily Open Orders Report</t>
  </si>
  <si>
    <t>Documents\Shared\Production\Strategy</t>
  </si>
  <si>
    <t>GLINQUIRY005M - GL Account Transaction and ACA Data - MONTHLY SCHEDULER RUN</t>
  </si>
  <si>
    <t>Documents\Shared\Production\Finance</t>
  </si>
  <si>
    <t>SOP0020</t>
  </si>
  <si>
    <t>SOP0020Lite</t>
  </si>
  <si>
    <t>Indresh Chatram</t>
  </si>
  <si>
    <t>Monica Near</t>
  </si>
  <si>
    <t>Spec Name</t>
  </si>
  <si>
    <t>Standard GL Balances 1</t>
  </si>
  <si>
    <t>Standard PO Detail 1</t>
  </si>
  <si>
    <t>Standard Inventory Balances 1</t>
  </si>
  <si>
    <t>Extended Sales Order 1</t>
  </si>
  <si>
    <t>Advanced AR Detail 1</t>
  </si>
  <si>
    <t>Extended GL Detail 1</t>
  </si>
  <si>
    <t>Standard AP Detail 1</t>
  </si>
  <si>
    <t>Extended Master Data 1</t>
  </si>
  <si>
    <t>Extended Work Order Data 1</t>
  </si>
  <si>
    <t>Standard AP Payment 1</t>
  </si>
  <si>
    <t>Standard FA Balances 1</t>
  </si>
  <si>
    <t>Extended Master Data 2</t>
  </si>
  <si>
    <t>Extended Inventory Transactions 2</t>
  </si>
  <si>
    <t>Custom Sales Order 1</t>
  </si>
  <si>
    <t>Standard PO Receipt 1</t>
  </si>
  <si>
    <t>Standard Master Data 2</t>
  </si>
  <si>
    <t>Advanced AP Payment 1</t>
  </si>
  <si>
    <t>Advanced AP Payment 2</t>
  </si>
  <si>
    <t>Custom Sales Order 2</t>
  </si>
  <si>
    <t>Custom Work Order 1</t>
  </si>
  <si>
    <t>F4101. F4102, F41002, F3003</t>
  </si>
  <si>
    <t>Extended Item Master 1</t>
  </si>
  <si>
    <t>Standard Master Data 1</t>
  </si>
  <si>
    <t>Advanced ACA Balances 1</t>
  </si>
  <si>
    <t>Extended Sales Order 3</t>
  </si>
  <si>
    <t>F4111, F4102, F3112, F41002</t>
  </si>
  <si>
    <t>Extended Inventory Transactions 1</t>
  </si>
  <si>
    <t>Extended Inventory Balances 1</t>
  </si>
  <si>
    <t>Extended Sales Order 4</t>
  </si>
  <si>
    <t>Extended Sales Order 5</t>
  </si>
  <si>
    <t>Extended Sales Order 7</t>
  </si>
  <si>
    <t>Extended Sales Order 2</t>
  </si>
  <si>
    <t>Extended Sales Order 6</t>
  </si>
  <si>
    <t>F4801, F4801T, F1201, F3112, F41002</t>
  </si>
  <si>
    <t>Advanced GL Balances 1</t>
  </si>
  <si>
    <t>Advanced Inventory As Of 1</t>
  </si>
  <si>
    <t>Advanced GL Detail 1</t>
  </si>
  <si>
    <t>Last Execution</t>
  </si>
  <si>
    <t>Primary Category</t>
  </si>
  <si>
    <t>Secondary Category</t>
  </si>
  <si>
    <t>Spec</t>
  </si>
  <si>
    <t>8. General Ledger and Financial Reporting Reports</t>
  </si>
  <si>
    <t>2 - Extended Logic</t>
  </si>
  <si>
    <t>7. Accounts Payable Reports</t>
  </si>
  <si>
    <t>1 - Standard Logic</t>
  </si>
  <si>
    <t>Scheduler</t>
  </si>
  <si>
    <t>Internal</t>
  </si>
  <si>
    <t>3 - Advanced Logic</t>
  </si>
  <si>
    <t>6. Accounts Receivable Reports</t>
  </si>
  <si>
    <t>AR DETAIL</t>
  </si>
  <si>
    <t>External</t>
  </si>
  <si>
    <t>Remove</t>
  </si>
  <si>
    <t>5. Inventory and Warehouse Reports</t>
  </si>
  <si>
    <t>3. Sales Order Reports</t>
  </si>
  <si>
    <t>9. Fixed Assets and Equipment Reports</t>
  </si>
  <si>
    <t>10. Manufacturing and Work Orders Reports</t>
  </si>
  <si>
    <t xml:space="preserve">GLINQUIRY005 - GL Account Transaction and ACA Data </t>
  </si>
  <si>
    <t>Parts Information</t>
  </si>
  <si>
    <t>1. Master Data Reports </t>
  </si>
  <si>
    <t>ADM</t>
  </si>
  <si>
    <t>Amalgamated Sugar Company</t>
  </si>
  <si>
    <t>Cargill</t>
  </si>
  <si>
    <t>CCC Plastics</t>
  </si>
  <si>
    <t>Chevron</t>
  </si>
  <si>
    <t>Colortech</t>
  </si>
  <si>
    <t>EOG</t>
  </si>
  <si>
    <t>Grain Processing</t>
  </si>
  <si>
    <t>Grainger</t>
  </si>
  <si>
    <t>Ingredion</t>
  </si>
  <si>
    <t>Leslie's Poolsmart</t>
  </si>
  <si>
    <t>Sto Corp</t>
  </si>
  <si>
    <t>Tomo</t>
  </si>
  <si>
    <t>Tri-Iso</t>
  </si>
  <si>
    <t>Profiltra</t>
  </si>
  <si>
    <t>Luhe</t>
  </si>
  <si>
    <t>AP Minerals</t>
  </si>
  <si>
    <t>Production Set Up</t>
  </si>
  <si>
    <t>Site Information</t>
  </si>
  <si>
    <t>MASTER DATA</t>
  </si>
  <si>
    <t>4. Purchase Order Reports</t>
  </si>
  <si>
    <t xml:space="preserve">**Universal Report </t>
  </si>
  <si>
    <t>Primary Fact</t>
  </si>
  <si>
    <t>F4941</t>
  </si>
  <si>
    <t>F0401</t>
  </si>
  <si>
    <t>F5549002</t>
  </si>
  <si>
    <t>F5542035</t>
  </si>
  <si>
    <t>F3003</t>
  </si>
  <si>
    <t xml:space="preserve"> F0115</t>
  </si>
  <si>
    <t>✔</t>
  </si>
  <si>
    <t>Dim Count</t>
  </si>
  <si>
    <t>Fact Count</t>
  </si>
  <si>
    <t>Module 1 – OTC (9 specs, 27 unique tables)</t>
  </si>
  <si>
    <t>1. Extended Sales Order 7</t>
  </si>
  <si>
    <t>2. Extended Sales Order 1</t>
  </si>
  <si>
    <t>3. Extended Sales Order 2</t>
  </si>
  <si>
    <t>4. Extended Sales Order 3</t>
  </si>
  <si>
    <t>5. Extended Sales Order 4</t>
  </si>
  <si>
    <t>6. Extended Sales Order 5</t>
  </si>
  <si>
    <t>7. Extended Sales Order 6</t>
  </si>
  <si>
    <t>8. Extended Sales Order 8</t>
  </si>
  <si>
    <t>9. Custom Sales Order 2</t>
  </si>
  <si>
    <t>Module 2 – Procurement / Inventory Management (9 specs, 23 unique tables)</t>
  </si>
  <si>
    <t>1. Standard PO Detail 1</t>
  </si>
  <si>
    <t>2. Standard Inventory Balances 1</t>
  </si>
  <si>
    <t>3. Extended Inventory Transactions 1</t>
  </si>
  <si>
    <t>4. Extended Inventory Balances 1</t>
  </si>
  <si>
    <t>5. Advanced Inventory As Of 1</t>
  </si>
  <si>
    <t>6. Extended Work Order 1</t>
  </si>
  <si>
    <t>7. Extended Inventory Transactions 2</t>
  </si>
  <si>
    <t>8. Extended Item Master 1</t>
  </si>
  <si>
    <t>9. Standard PO Receipt 1</t>
  </si>
  <si>
    <t>Module 3 – AP (4 specs, 9 unique tables)</t>
  </si>
  <si>
    <t>1. Standard AP Detail 1</t>
  </si>
  <si>
    <t>2. Standard AP Payment 1</t>
  </si>
  <si>
    <t>3. Advanced AP Payment 1</t>
  </si>
  <si>
    <t>4. Advanced AP Payment 2</t>
  </si>
  <si>
    <t>Module 4 – AR (1 spec, 3 unique tables)</t>
  </si>
  <si>
    <t>1. Advanced AR Detail 1</t>
  </si>
  <si>
    <t>Module 5 – F&amp;A (7 specs, 16 unique tables)</t>
  </si>
  <si>
    <t>1. Extended GL Detail 1</t>
  </si>
  <si>
    <t>2. Standard GL Balances 1</t>
  </si>
  <si>
    <t>3. Advanced GL Balances 1</t>
  </si>
  <si>
    <t>4. Advanced ACA Balances 1</t>
  </si>
  <si>
    <t>5. Standard FA Balances 1</t>
  </si>
  <si>
    <t>6. Standard Master Data 1</t>
  </si>
  <si>
    <t>7. Standard Master Data 2</t>
  </si>
  <si>
    <t>Filter Capture — Extended Sales Order 1</t>
  </si>
  <si>
    <t>Business Owner: Allison Stadnick/Teri Varner</t>
  </si>
  <si>
    <t>Priority</t>
  </si>
  <si>
    <t>Hubble Link</t>
  </si>
  <si>
    <t>Tables used</t>
  </si>
  <si>
    <t>Business Unit</t>
  </si>
  <si>
    <t>Sold To</t>
  </si>
  <si>
    <t>Ship To</t>
  </si>
  <si>
    <t>Pack Code</t>
  </si>
  <si>
    <t>Freight Handling Code</t>
  </si>
  <si>
    <t>Order Type</t>
  </si>
  <si>
    <t>Line Type</t>
  </si>
  <si>
    <t>Shipment Number</t>
  </si>
  <si>
    <t>Address Number - Parent</t>
  </si>
  <si>
    <t>Status Code - Next</t>
  </si>
  <si>
    <t>Status Code - Last</t>
  </si>
  <si>
    <t>Order Number</t>
  </si>
  <si>
    <t>Industry Classification Code</t>
  </si>
  <si>
    <t>Price Adjustment Name</t>
  </si>
  <si>
    <t>Actual Ship Date</t>
  </si>
  <si>
    <t>GL Date</t>
  </si>
  <si>
    <t>Order Date</t>
  </si>
  <si>
    <t>Invoice Date</t>
  </si>
  <si>
    <t>UoM</t>
  </si>
  <si>
    <t>Cat 05</t>
  </si>
  <si>
    <t>Cat 14</t>
  </si>
  <si>
    <t>MOT</t>
  </si>
  <si>
    <t>Item Number</t>
  </si>
  <si>
    <t>UOM Str</t>
  </si>
  <si>
    <t>Company</t>
  </si>
  <si>
    <t>Search Type</t>
  </si>
  <si>
    <t>Payment Terms</t>
  </si>
  <si>
    <t>Minor Product Code</t>
  </si>
  <si>
    <t>GL Offset</t>
  </si>
  <si>
    <t>Segment 4</t>
  </si>
  <si>
    <t>JDE Equivalent Column ------&gt;</t>
  </si>
  <si>
    <t>SDMCU</t>
  </si>
  <si>
    <t>SDSHAN</t>
  </si>
  <si>
    <t>SDFRTH</t>
  </si>
  <si>
    <t>SDDCTO</t>
  </si>
  <si>
    <t>SDLNTY</t>
  </si>
  <si>
    <t>SDSHPN</t>
  </si>
  <si>
    <t>SDPA8</t>
  </si>
  <si>
    <t>SDNXTR</t>
  </si>
  <si>
    <t>SDLTTR</t>
  </si>
  <si>
    <t>SDDOCO</t>
  </si>
  <si>
    <t>ABSIC</t>
  </si>
  <si>
    <t>ALAST</t>
  </si>
  <si>
    <t>SDADDJ</t>
  </si>
  <si>
    <t>SDDGL</t>
  </si>
  <si>
    <t>SDTRDJ</t>
  </si>
  <si>
    <t>SDIVD</t>
  </si>
  <si>
    <t>SDUOM</t>
  </si>
  <si>
    <t>ABAC05</t>
  </si>
  <si>
    <t>ABAC14</t>
  </si>
  <si>
    <t>SDMOT</t>
  </si>
  <si>
    <t>SDLITM</t>
  </si>
  <si>
    <t>UMUSTR</t>
  </si>
  <si>
    <t>SDCO</t>
  </si>
  <si>
    <t>SDPTC</t>
  </si>
  <si>
    <t>SDSRP4</t>
  </si>
  <si>
    <t>SDGLC</t>
  </si>
  <si>
    <t>IMSEG4</t>
  </si>
  <si>
    <t>Module 1 – OTC</t>
  </si>
  <si>
    <t>Template Default Values ---&gt;</t>
  </si>
  <si>
    <t>Blank</t>
  </si>
  <si>
    <t>S</t>
  </si>
  <si>
    <t>&lt;&gt;980</t>
  </si>
  <si>
    <t>A03,FRTHIDE,FRTTAXN,FRTTAXY,NULL</t>
  </si>
  <si>
    <t>00640,00645</t>
  </si>
  <si>
    <t>F4211, F0101, F4201, F5642B11, F41002, F4074, F4981, F4101, F5642B01, F0101_1, F0116</t>
  </si>
  <si>
    <t>SO,CO</t>
  </si>
  <si>
    <t>5/1/2026-5/31/2026</t>
  </si>
  <si>
    <t>DE Orders</t>
  </si>
  <si>
    <t>SO</t>
  </si>
  <si>
    <t>560</t>
  </si>
  <si>
    <t>10043240</t>
  </si>
  <si>
    <t>00400</t>
  </si>
  <si>
    <t>&lt;&gt;F,&lt;&gt;FT</t>
  </si>
  <si>
    <t>999</t>
  </si>
  <si>
    <t>&lt;&gt;MISC BILLING,&lt;&gt;EXPEDITE FEE</t>
  </si>
  <si>
    <t>&lt;&gt;00750</t>
  </si>
  <si>
    <t>Documents\User Folders\FURST\Favorites\</t>
  </si>
  <si>
    <t>574:620</t>
  </si>
  <si>
    <t>&lt;980</t>
  </si>
  <si>
    <t>&gt;2/28/2015</t>
  </si>
  <si>
    <t>061</t>
  </si>
  <si>
    <t>&lt;&gt;ZZ</t>
  </si>
  <si>
    <t>Documents\Shared\Production\Finance\Month End Reports\Deferred Revenue</t>
  </si>
  <si>
    <t>341</t>
  </si>
  <si>
    <t>10059472</t>
  </si>
  <si>
    <t>Documents\Shared\Test\Finance\Ridgely reports</t>
  </si>
  <si>
    <t>&lt;&gt;ST,&lt;&gt;SG</t>
  </si>
  <si>
    <t>&lt;&gt;TL</t>
  </si>
  <si>
    <t>A03,CASLB,FRTHIDE,FRTTAXN,FRTTAXY,PP06,PP07,PP08,PP13,PP15,PP17,PP26,PP37,PP50,PP51,PP56,PP57,PP97,PP99,PPSLB,COLPALN,COLPALT,ALST,NULL,ENERGY</t>
  </si>
  <si>
    <t>&lt;&gt;DZ01</t>
  </si>
  <si>
    <t>SX</t>
  </si>
  <si>
    <t>&lt;620</t>
  </si>
  <si>
    <t>00750</t>
  </si>
  <si>
    <t>Documents\Shared\Production\Customer Service\Sales Reports\05 Scheduler Versions\17 Continental Load Report - MC</t>
  </si>
  <si>
    <t>081</t>
  </si>
  <si>
    <t>10112501</t>
  </si>
  <si>
    <t>&lt;&gt;MISC BILLING</t>
  </si>
  <si>
    <t>151</t>
  </si>
  <si>
    <t>530,560</t>
  </si>
  <si>
    <t>CC,CTD</t>
  </si>
  <si>
    <t>171</t>
  </si>
  <si>
    <t>BG</t>
  </si>
  <si>
    <t>321,341,9705,9786,161,181</t>
  </si>
  <si>
    <t>10058491</t>
  </si>
  <si>
    <t>321,341,161,181</t>
  </si>
  <si>
    <t>10152005</t>
  </si>
  <si>
    <t>561</t>
  </si>
  <si>
    <t>Documents\Shared\Production\Customer Service\</t>
  </si>
  <si>
    <t>351</t>
  </si>
  <si>
    <t>&lt;561</t>
  </si>
  <si>
    <t>581</t>
  </si>
  <si>
    <t>Not Required</t>
  </si>
  <si>
    <t>SAR</t>
  </si>
  <si>
    <t>071</t>
  </si>
  <si>
    <t>10065562</t>
  </si>
  <si>
    <t>04a Export Open Orders</t>
  </si>
  <si>
    <t>Documents\Shared\Production\Customer Service\Sales Reports\05 Scheduler Versions\03 Export Logistics</t>
  </si>
  <si>
    <t>651</t>
  </si>
  <si>
    <t>SE</t>
  </si>
  <si>
    <t>&lt;&gt;980,&lt;&gt;999</t>
  </si>
  <si>
    <t>00640, 00654</t>
  </si>
  <si>
    <t>131</t>
  </si>
  <si>
    <t>261</t>
  </si>
  <si>
    <t>551</t>
  </si>
  <si>
    <t>521</t>
  </si>
  <si>
    <t>1/1/2016-5/31/99</t>
  </si>
  <si>
    <t>501</t>
  </si>
  <si>
    <t>S,W</t>
  </si>
  <si>
    <t>321,341,181,161</t>
  </si>
  <si>
    <t>10061291</t>
  </si>
  <si>
    <t>1/1/26-</t>
  </si>
  <si>
    <t>061,062</t>
  </si>
  <si>
    <t>530,560,526</t>
  </si>
  <si>
    <t>&lt;111</t>
  </si>
  <si>
    <t>&gt;110</t>
  </si>
  <si>
    <t>R*</t>
  </si>
  <si>
    <t>10112039,10115878</t>
  </si>
  <si>
    <t>10112037</t>
  </si>
  <si>
    <t>081,321,341,331,541,161,181</t>
  </si>
  <si>
    <t>1/1/2020-</t>
  </si>
  <si>
    <t>MISC*</t>
  </si>
  <si>
    <t>*AE*,*AJ*</t>
  </si>
  <si>
    <t>511</t>
  </si>
  <si>
    <t>9001,9002,9003,9004,9005,9006,9007,9008,9009,9012,9013,9014,9015,9016,9017,9018,9019,9020,9021,9022,9023,9024,9025,9026,9027,9028,9040,9041</t>
  </si>
  <si>
    <t>ST</t>
  </si>
  <si>
    <t>&gt;560</t>
  </si>
  <si>
    <t>3/1/26-</t>
  </si>
  <si>
    <t>&lt;&gt;F,&lt;&gt;FA,&lt;&gt;FB</t>
  </si>
  <si>
    <t>S15,S13,S36,S21,S26,S30,S33,S45,S46,E18,E19,S03,S05,S08</t>
  </si>
  <si>
    <t>PP</t>
  </si>
  <si>
    <t>&lt;&gt;R*</t>
  </si>
  <si>
    <t>Documents\Shared\Production\Customer Service\Scheduler Reports\</t>
  </si>
  <si>
    <t>20015341</t>
  </si>
  <si>
    <t>525:573</t>
  </si>
  <si>
    <t>20022569</t>
  </si>
  <si>
    <t>1/1/25-12/31/2099</t>
  </si>
  <si>
    <t>&lt;&gt;50065B00000,&lt;&gt;50064B00000,&lt;&gt;50063B00000</t>
  </si>
  <si>
    <t>Documents\Shared\Production\Exception Reports\01 SCM/OTC\Scheduler Versions\</t>
  </si>
  <si>
    <t>NOT APPLICABLE</t>
  </si>
  <si>
    <t>651,661</t>
  </si>
  <si>
    <t>980</t>
  </si>
  <si>
    <t>00640.00645</t>
  </si>
  <si>
    <t>Documents\Shared\Production\Sandbox\</t>
  </si>
  <si>
    <t>10086687</t>
  </si>
  <si>
    <t>Documents\Shared\Production\Sandbox\Scheduler\</t>
  </si>
  <si>
    <t>F,FA,FB,ISPF</t>
  </si>
  <si>
    <t>F,ISPF</t>
  </si>
  <si>
    <t>*97,*98</t>
  </si>
  <si>
    <t>1/1/26-1/1/26</t>
  </si>
  <si>
    <t>F,FA,FB</t>
  </si>
  <si>
    <t>Documents\Shared\Production\Sales</t>
  </si>
  <si>
    <t>ADM Cedar Rapids</t>
  </si>
  <si>
    <t>Documents\Shared\Production\Customer Service\Sales Reports\05 Scheduler Versions\19 ADM\</t>
  </si>
  <si>
    <t>20022727</t>
  </si>
  <si>
    <t>529</t>
  </si>
  <si>
    <t>520:528</t>
  </si>
  <si>
    <t>ADM Clinton</t>
  </si>
  <si>
    <t>20010840</t>
  </si>
  <si>
    <t>ADM Deerfield</t>
  </si>
  <si>
    <t>20010852</t>
  </si>
  <si>
    <t>ADM Enderlin</t>
  </si>
  <si>
    <t>20010848</t>
  </si>
  <si>
    <t>ADM Lloydminster</t>
  </si>
  <si>
    <t>10117212</t>
  </si>
  <si>
    <t>ADM Windsor</t>
  </si>
  <si>
    <t>20010836</t>
  </si>
  <si>
    <t>10125974</t>
  </si>
  <si>
    <t>20011381</t>
  </si>
  <si>
    <t>&lt;575</t>
  </si>
  <si>
    <t>10162143</t>
  </si>
  <si>
    <t>10162144</t>
  </si>
  <si>
    <t>Documents\Shared\Production\Customer Service\Sales Reports\05 Scheduler Versions\21 Chevron\</t>
  </si>
  <si>
    <t>20011635</t>
  </si>
  <si>
    <t>10116596</t>
  </si>
  <si>
    <t>10105459</t>
  </si>
  <si>
    <t>Documents\Shared\Production\Customer Service\Sales Reports\05 Scheduler Versions\23 Grain Processing\</t>
  </si>
  <si>
    <t>20012646</t>
  </si>
  <si>
    <t>Documents\Shared\Production\Customer Service\Sales Reports\05 Scheduler Versions\25 Grainger Open Orders\</t>
  </si>
  <si>
    <t>20022190</t>
  </si>
  <si>
    <t>Documents\Shared\Production\Customer Service\Sales Reports\05 Scheduler Versions\22 Ingredion Bedford\</t>
  </si>
  <si>
    <t>20011316</t>
  </si>
  <si>
    <t>Documents\Shared\Production\Customer Service\Sales Reports\05 Scheduler Versions\26 Leslie's Poolmart Open Orders\</t>
  </si>
  <si>
    <t>20022322</t>
  </si>
  <si>
    <t>20022576</t>
  </si>
  <si>
    <t>Blkank</t>
  </si>
  <si>
    <t>Documents\Shared\Production\Customer Service\Sales Reports</t>
  </si>
  <si>
    <t>10159815,20016207,10112846,20016204,20016206,10154131,20022808,20016205,20022812,20022813,20022809,10157561,20016202,20022810,20016198,20022811,20022814</t>
  </si>
  <si>
    <t>&lt;&gt;999</t>
  </si>
  <si>
    <t>20022632</t>
  </si>
  <si>
    <t>Documents\Shared\Production\IT\Salesforce\Scheduler Reports\</t>
  </si>
  <si>
    <t>20021899,20021943,20022190,20022384,20022427,20022496,20022631,20021987</t>
  </si>
  <si>
    <t>20022530</t>
  </si>
  <si>
    <t>Leslie's Poolmart Monthly Invoice Report - Scheduler</t>
  </si>
  <si>
    <t>CPOOL24LV35LPGBX</t>
  </si>
  <si>
    <t>Documents\Shared\Test\Finance\Ridgely reports\</t>
  </si>
  <si>
    <t>&lt;&gt;SX</t>
  </si>
  <si>
    <t>620</t>
  </si>
  <si>
    <t>577</t>
  </si>
  <si>
    <t>580</t>
  </si>
  <si>
    <t>3/1/15-</t>
  </si>
  <si>
    <t>BP Freight and Fuel (Combined) January 2026</t>
  </si>
  <si>
    <t>Documents\Shared\Production\Supply Chain\Logistics\</t>
  </si>
  <si>
    <t>DLV,PP</t>
  </si>
  <si>
    <t>&lt;&gt;F</t>
  </si>
  <si>
    <t>05/01/26-0531/26</t>
  </si>
  <si>
    <t>A,AB,AC,AD,AE,AF,AG,B,BA,BB,BD,C,CF,CG,CH,CI,CJ,CK,CL,CM,CO,CQ,D,DA,DB,DC,DD,DH,DK,DL,DM,DO,DP,DQ,DR,DS,DT,DU,EPAF,EPAU,EPBA,EPBD,EPBM,EPBR,EPCA,EPCC,EPCE,EPCH,EPCN,EPCO,EPCP,EPCR,EPCW,EPCY,EPDE,EPDI,EPDN,EPDR,EPDS,EPDT,EPED,EPEN,EPFC,EPFM,EPFO,EPFR,EPGS,EPHI,EPIC,EPIN,EPIO,EPIS,EPJA,EPJU,EPKT,EPM,EPMI,EPMU,EPOA,EPOT,EPPA,EPPE,EPPH,EPPL,EPPO,EPRE,EPRI,EPSA,EPSD,EPSE,EPSL,EPSP,EPST,EPTR,EPWA,EPWI,EPWW,FB,G,GA,GC,GE,GG,GH,I,INT,M,NEW,P,PA,PB,PC,PE,PF,PR,PS,PW,Q,QGA,QGB,QGC,QGD,R,RA,RB,RC,RE,RO,Z,ZA,ZB,ZC,ZD,ZE,ZH,ZJ,ZP,ZV,ZZ</t>
  </si>
  <si>
    <t>&lt;&gt;MISC*,&lt;&gt;TR*</t>
  </si>
  <si>
    <t>10113353,10162229</t>
  </si>
  <si>
    <t>10112541</t>
  </si>
  <si>
    <t>20022844</t>
  </si>
  <si>
    <t>Ottawa - All Open Orders</t>
  </si>
  <si>
    <t>Documents\Shared\Production\Customer Service\Sales Reports\05 Scheduler Versions\24 Ottawa Open Orders\</t>
  </si>
  <si>
    <t>1/1/16-1/1/99</t>
  </si>
  <si>
    <t>&lt;&gt;EA</t>
  </si>
  <si>
    <t>Ottowa - Whole Grain Rail - Bulk</t>
  </si>
  <si>
    <t>BLK</t>
  </si>
  <si>
    <t>RCP</t>
  </si>
  <si>
    <t>&lt;&gt;06069B00000,&lt;&gt;06069P30154,&lt;&gt;06069P30160,&lt;&gt;06069P84101,&lt;&gt;06069P91101,&lt;&gt;06069P9B101,&lt;&gt;06113B00000,&lt;&gt;06113P84101,&lt;&gt;06113P91101,&lt;&gt;06115B00000,&lt;&gt;06115P91101,&lt;&gt;06119B00000,&lt;&gt;06119P58002,&lt;&gt;06119P58102,&lt;&gt;06119P80102,&lt;&gt;06119P90101,&lt;&gt;06119P91101,&lt;&gt;06123B00000,&lt;&gt;06143B00000,&lt;&gt;06143P80102,&lt;&gt;06143P84101,&lt;&gt;06143P91101,&lt;&gt;07063B00000,&lt;&gt;07123B00000,&lt;&gt;07150R00000,&lt;&gt;08101F00000,&lt;&gt;08111B00000,&lt;&gt;08113B00000,&lt;&gt;08117P91101,&lt;&gt;08119B00000,&lt;&gt;08119P10170,&lt;&gt;08122B00000,&lt;&gt;08123B00000,&lt;&gt;08123P10101,&lt;&gt;08131B00000,&lt;&gt;08143B00000,&lt;&gt;08143P10170,&lt;&gt;08144B00000,&lt;&gt;15061B00000,&lt;&gt;15061F00000,&lt;&gt;15063B00000,&lt;&gt;15111B00000,&lt;&gt;15111F00000,&lt;&gt;15111P30149,&lt;&gt;15111P30163,&lt;&gt;15111P30170,&lt;&gt;15111P80101,&lt;&gt;15111P80102,&lt;&gt;15111P91101,&lt;&gt;15111PC7101,&lt;&gt;15114F00000,&lt;&gt;15114P84101,&lt;&gt;15115B00000,&lt;&gt;15115F00000,&lt;&gt;15115P08101,&lt;&gt;15115P30142,&lt;&gt;15115P30156,&lt;&gt;15115P30163,&lt;&gt;15115P30170,&lt;&gt;15115P80101,&lt;&gt;15115P80102,&lt;&gt;15115P83101,&lt;&gt;15115P91101,&lt;&gt;15119B00000,&lt;&gt;15119F00000,&lt;&gt;15119P30142,&lt;&gt;15119P30149,&lt;&gt;15119P30156,&lt;&gt;15119P30170,&lt;&gt;15119P78102,&lt;&gt;15119P80102,&lt;&gt;15119P87101,&lt;&gt;15119P91101,&lt;&gt;15119P93101,&lt;&gt;15131B00000,&lt;&gt;15131F00000,&lt;&gt;15131P30149,&lt;&gt;15131P30156,&lt;&gt;15131P30163,&lt;&gt;15131P30170,&lt;&gt;15131P80102,&lt;&gt;15131P87101,&lt;&gt;15131P91101,&lt;&gt;15131PC1101,&lt;&gt;15143B00000,&lt;&gt;15143P30142,&lt;&gt;15143P30149,&lt;&gt;15143P30156,&lt;&gt;15143P30170,&lt;&gt;15143P80102,&lt;&gt;15143P84101,&lt;&gt;15143P91101,&lt;&gt;156745,&lt;&gt;17061F00000,&lt;&gt;17063B00000,&lt;&gt;17112B00000,&lt;&gt;17112F00000,&lt;&gt;17114F00000,&lt;&gt;17116F00000,&lt;&gt;17117F00000,&lt;&gt;17117P91101,&lt;&gt;17119B00000,&lt;&gt;17119F00000,&lt;&gt;17119P91101,&lt;&gt;17131B00000,&lt;&gt;17131F00000,&lt;&gt;17142B00000,&lt;&gt;17143B00000,&lt;&gt;17143F00000,&lt;&gt;17144B00000,&lt;&gt;17144F00000,&lt;&gt;34123B00000,&lt;&gt;50061B00000,&lt;&gt;50061P30160,&lt;&gt;50061P50130,&lt;&gt;50063B00000,&lt;&gt;50063P30160,&lt;&gt;50063P50130,&lt;&gt;50064B00000,&lt;&gt;50065B00000,&lt;&gt;50065P30160,&lt;&gt;50065P50130,&lt;&gt;50066B00000,&lt;&gt;50066P30160,&lt;&gt;50066P51130,&lt;&gt;50067B00000,&lt;&gt;50067P30160,&lt;&gt;50067P51130,&lt;&gt;50067P52130,&lt;&gt;50068B00000,&lt;&gt;50068P30160,&lt;&gt;50068P52130,&lt;&gt;50069B00000,&lt;&gt;50069P30160,&lt;&gt;50069P52130,&lt;&gt;50069P91101,&lt;&gt;574772,&lt;&gt;60280,&lt;&gt;75531,&lt;&gt;75572,&lt;&gt;75614,&lt;&gt;75630,&lt;&gt;90061B00000,&lt;&gt;93123P10101,&lt;&gt;97064B00000</t>
  </si>
  <si>
    <t>Ottowa - Whole Grain Truck - Bulk</t>
  </si>
  <si>
    <t>&lt;&gt;RCP</t>
  </si>
  <si>
    <t>Ottowa - Whole Grain Truck - Packaged</t>
  </si>
  <si>
    <t>PKG</t>
  </si>
  <si>
    <t>Ottowa - ASTM - Packaged</t>
  </si>
  <si>
    <t>50081P18150,50087P19150,50084P20150</t>
  </si>
  <si>
    <t>Ottowa - Ground- Bulk</t>
  </si>
  <si>
    <t>06069B00000,06069P30154,06069P30160,06069P84101,06069P91101,06069P9B101,06113B00000,06113P84101,06113P91101,06115B00000,06115P91101,06119B00000,06119P58002,06119P58102,06119P80102,06119P90101,06119P91101,06123B00000,06143B00000,06143P80102,06143P84101,06143P91101,07063B00000,07123B00000,07150R00000,08101F00000,08111B00000,08113B00000,08117P91101,08119B00000,08119P10170,08122B00000,08123B00000,08123P10101,08131B00000,08143B00000,08143P10170,08144B00000,15061B00000,15061F00000,15063B00000,15111B00000,15111F00000,15111P30149,15111P30163,15111P30170,15111P80101,15111P80102,15111P91101,15111PC7101,15114F00000,15114P84101,15115B00000,15115F00000,15115P08101,15115P30142,15115P30156,15115P30163,15115P30170,15115P80101,15115P80102,15115P83101,15115P91101,15119B00000,15119F00000,15119P30142,15119P30149,15119P30156,15119P30170,15119P78102,15119P80102,15119P87101,15119P91101,15119P93101,15131B00000,15131F00000,15131P30149,15131P30156,15131P30163,15131P30170,15131P80102,15131P87101,15131P91101,15131PC1101,15143B00000,15143P30142,15143P30149,15143P30156,15143P30170,15143P80102,15143P84101,15143P91101,156745,17061F00000,17063B00000,17112B00000,17112F00000,17114F00000,17116F00000,17117F00000,17117P91101,17119B00000,17119F00000,17119P91101,17131B00000,17131F00000,17142B00000,17143B00000,17143F00000,17144B00000,17144F00000,34123B00000,50061B00000,50061P30160,50061P50130,50063B00000,50063P30160,50063P50130,50064B00000,50065B00000,50065P30160,50065P50130,50066B00000,50066P30160,50066P51130,50067B00000,50067P30160,50067P51130,50067P52130,50068B00000,50068P30160,50068P52130,50069B00000,50069P30160,50069P52130,50069P91101,574772,60280,75531,75572,75614,75630,90061B00000,93123P10101,97064B00000</t>
  </si>
  <si>
    <t>Ottowa - Ground - Packaged</t>
  </si>
  <si>
    <t>Safety Kleen</t>
  </si>
  <si>
    <t>Documents\Shared\Production\Customer Service\Sales Reports\05 Scheduler Versions\27 Safety-Kleen Open Orders\</t>
  </si>
  <si>
    <t>20022519</t>
  </si>
  <si>
    <t>Napa</t>
  </si>
  <si>
    <t>Documents\Shared\Production\Customer Service\Sales Reports\05 Scheduler Versions\28 NAPA\</t>
  </si>
  <si>
    <t>20022384</t>
  </si>
  <si>
    <t>Ampacet</t>
  </si>
  <si>
    <t>Documents\Shared\Production\Customer Service\Sales Reports\05 Scheduler Versions\29 Supmat\</t>
  </si>
  <si>
    <t>20015949</t>
  </si>
  <si>
    <t>Polyfil</t>
  </si>
  <si>
    <t>20015955</t>
  </si>
  <si>
    <t>Thai Tan</t>
  </si>
  <si>
    <t>Documents\Shared\Production\Customer Service\Sales Reports\05 Scheduler Versions\30 Thai Tan\</t>
  </si>
  <si>
    <t>10114438,10114633,10114634</t>
  </si>
  <si>
    <t>L&amp;M Environmental</t>
  </si>
  <si>
    <t>Documents\Shared\Production\Customer Service\Sales Reports\05 Scheduler Versions\31 L&amp;M Environmental Open Orders\</t>
  </si>
  <si>
    <t>20022305</t>
  </si>
  <si>
    <t>Mak Export Orders</t>
  </si>
  <si>
    <t>Documents\Shared\Production\Customer Service\Sales Reports\</t>
  </si>
  <si>
    <t>1593550,1593549,1581179,1581165,1581173,1581184,1581161,1596420,1594410,1596628,1593269,1593272,1595918,1557959,1557961,1577127,1593196,1593200,1595505,1593731,1594581,1593732,1594622,1593733,1595678,1593736,1593734,1593735,1570618,1571523,1571525,1570619,1571520,1570615,1571522,1570617,1590914,1583718,1595704,1595696,1594415,1594414,1595402,1596566,1590559,1590562,1590564,1590569,1596416,1596417,1596418,1594405,1594406,1595342,1596583,1593829,1595675,1597223,1596647,1593945,1595602,1595603,1595604,1596951,1561922,1561921,1592418,1582249,1587441,1595294</t>
  </si>
  <si>
    <t>E26</t>
  </si>
  <si>
    <t>Filter Capture — Extended Sales Order 2</t>
  </si>
  <si>
    <t>Parent #</t>
  </si>
  <si>
    <t>Customer PO</t>
  </si>
  <si>
    <t>Plant</t>
  </si>
  <si>
    <t>Item #</t>
  </si>
  <si>
    <t>Load #</t>
  </si>
  <si>
    <t>Invoice #</t>
  </si>
  <si>
    <t>Next Status</t>
  </si>
  <si>
    <t>Last Status</t>
  </si>
  <si>
    <t>Requested Date</t>
  </si>
  <si>
    <t>SIC Code</t>
  </si>
  <si>
    <t>SDVR01</t>
  </si>
  <si>
    <t>SDDOC</t>
  </si>
  <si>
    <t>SDDOCTO</t>
  </si>
  <si>
    <t>SDDRQJ</t>
  </si>
  <si>
    <t>CCCO</t>
  </si>
  <si>
    <t>061,501,571</t>
  </si>
  <si>
    <t>10112039,10115870</t>
  </si>
  <si>
    <t>10145146</t>
  </si>
  <si>
    <t>SO.CO</t>
  </si>
  <si>
    <t>Filter Capture — Extended Sales Order 3</t>
  </si>
  <si>
    <t>Shipment Status</t>
  </si>
  <si>
    <t>Sales Order No</t>
  </si>
  <si>
    <t>FHC</t>
  </si>
  <si>
    <t>Mode of Transport</t>
  </si>
  <si>
    <t>State</t>
  </si>
  <si>
    <t>Related
PO/SO/WO</t>
  </si>
  <si>
    <t>URRF</t>
  </si>
  <si>
    <t>User ID</t>
  </si>
  <si>
    <t>XHSHPN</t>
  </si>
  <si>
    <t>XHSSTS</t>
  </si>
  <si>
    <t>XHMCU</t>
  </si>
  <si>
    <t>XHFRTH</t>
  </si>
  <si>
    <t>XHMOT</t>
  </si>
  <si>
    <t>XHADDS</t>
  </si>
  <si>
    <t>SDRORN</t>
  </si>
  <si>
    <t>XHURRF</t>
  </si>
  <si>
    <t>XHUSER</t>
  </si>
  <si>
    <t>SOP0050 - Shipment Number with Status</t>
  </si>
  <si>
    <t>Documents\Shared\Production\Finance\Month End Reports</t>
  </si>
  <si>
    <t>F4211, F4215</t>
  </si>
  <si>
    <t>Filter Capture — Extended Sales Order 4</t>
  </si>
  <si>
    <t>Business Owner: Lisa Covington/Virginia Meade</t>
  </si>
  <si>
    <t>Parent</t>
  </si>
  <si>
    <t>Tax Service Date</t>
  </si>
  <si>
    <t>Order #</t>
  </si>
  <si>
    <t>Tax Code</t>
  </si>
  <si>
    <t xml:space="preserve">Tax Area </t>
  </si>
  <si>
    <t>Jurisdiction</t>
  </si>
  <si>
    <t>SDAN8</t>
  </si>
  <si>
    <t>MCRP20</t>
  </si>
  <si>
    <t>RPVSDJ</t>
  </si>
  <si>
    <t>RPEXR1</t>
  </si>
  <si>
    <t>RPTXA1</t>
  </si>
  <si>
    <t>ALADDS</t>
  </si>
  <si>
    <t>02/01/26-02/28/26</t>
  </si>
  <si>
    <t>F4211,F03B11,F0006,F0101,F0116</t>
  </si>
  <si>
    <t>Filter Capture — Extended Sales Order 5</t>
  </si>
  <si>
    <t>Loading Facility</t>
  </si>
  <si>
    <t>Load Number</t>
  </si>
  <si>
    <t>Carrier</t>
  </si>
  <si>
    <t>Carrier PO GL Post Flag</t>
  </si>
  <si>
    <t>LOFA</t>
  </si>
  <si>
    <t>ORDATE</t>
  </si>
  <si>
    <t>GLDATE</t>
  </si>
  <si>
    <t>SDCARS</t>
  </si>
  <si>
    <t>GLPOST</t>
  </si>
  <si>
    <t>5/1/26-5/31/26</t>
  </si>
  <si>
    <t>SBXLOADPOVIEW, F554201T, F0101</t>
  </si>
  <si>
    <t>SBXLOADPOVIEW, F554201T, F0101, SBXUSSSAND</t>
  </si>
  <si>
    <t>SBXLOADDETAIL, F554201T</t>
  </si>
  <si>
    <t>22815083</t>
  </si>
  <si>
    <t>SBXLOADPOVIEWHOLADD, F554201T, F0101</t>
  </si>
  <si>
    <t>Filter Capture — Extended Sales Order 6</t>
  </si>
  <si>
    <t>Reference 1</t>
  </si>
  <si>
    <t>Booking Number</t>
  </si>
  <si>
    <t>Vessel Name</t>
  </si>
  <si>
    <t>Carrier Number</t>
  </si>
  <si>
    <t>SDKCOO</t>
  </si>
  <si>
    <t>BA55REF1</t>
  </si>
  <si>
    <t>BA55BKNO</t>
  </si>
  <si>
    <t>BA55VLNO</t>
  </si>
  <si>
    <t>RSMOT</t>
  </si>
  <si>
    <t>RSCARS</t>
  </si>
  <si>
    <t>00640, 00645</t>
  </si>
  <si>
    <t>&lt;&gt;BLK</t>
  </si>
  <si>
    <t>OCE</t>
  </si>
  <si>
    <t>20002565</t>
  </si>
  <si>
    <t>F4211, F4941, F5642B01</t>
  </si>
  <si>
    <t>Filter Capture — Extended Sales Order 7</t>
  </si>
  <si>
    <t>Parent Number</t>
  </si>
  <si>
    <t>Last Status Code</t>
  </si>
  <si>
    <t>Next Status Code</t>
  </si>
  <si>
    <t>Ocean Delivery Terms</t>
  </si>
  <si>
    <t>BAOCDLT</t>
  </si>
  <si>
    <t>SE,SZ,S1,ST,SG</t>
  </si>
  <si>
    <t>F4941, F4211, F4201, F5642B11, F5642B01, F0116, F41002, F0101, F0101_1, F0101_2</t>
  </si>
  <si>
    <t>&lt;&gt;560:999</t>
  </si>
  <si>
    <t>&lt;&gt;C,&lt;&gt;EXW,&lt;&gt;COL,&lt;&gt;CAO</t>
  </si>
  <si>
    <t>DETAILED TASK BREAKDOWN</t>
  </si>
  <si>
    <t>Phase</t>
  </si>
  <si>
    <t>Layer</t>
  </si>
  <si>
    <t>Task</t>
  </si>
  <si>
    <t>Table(s)</t>
  </si>
  <si>
    <t>1. Discovery</t>
  </si>
  <si>
    <t>Pre-Build</t>
  </si>
  <si>
    <t>Review Hubble SQL &amp; map all columns/joins to Fabric tables</t>
  </si>
  <si>
    <t>All</t>
  </si>
  <si>
    <t>Confirm JDE source table availability &amp; row counts</t>
  </si>
  <si>
    <t>Validate incremental date fields (SDDGL, FHDGL ≥ 124001)</t>
  </si>
  <si>
    <t>Design delete reconciliation strategy (key scan vs audit log)</t>
  </si>
  <si>
    <t>Plan Deploymnet Strategy</t>
  </si>
  <si>
    <t>2. Bronze</t>
  </si>
  <si>
    <t>Bronze</t>
  </si>
  <si>
    <t>Full load pipeline (truncate/load, 2yr backfill)</t>
  </si>
  <si>
    <t>Incremental pipeline (runs multiple times/day via SDUPMJ watermark)</t>
  </si>
  <si>
    <t>Delete reconciliation (nightly key scan, IsDeleted flag)</t>
  </si>
  <si>
    <t>Bronze validation: row counts, spot-check deletes, watermark testing</t>
  </si>
  <si>
    <t>Schedule Refresh</t>
  </si>
  <si>
    <t>Prod Deployment</t>
  </si>
  <si>
    <t>3. Silver</t>
  </si>
  <si>
    <t>Silver</t>
  </si>
  <si>
    <t>Silver transformation notebook - full load + Incremental</t>
  </si>
  <si>
    <t>Silver validation &amp; data quality checks</t>
  </si>
  <si>
    <t>4. Gold</t>
  </si>
  <si>
    <t>Gold</t>
  </si>
  <si>
    <t>Gold Fact: Records measurable business events at a defined grain, links to dimensions for context, and enables scalable aggregation for reporting and BI workloads.</t>
  </si>
  <si>
    <t>Gold validation:  reconciliation vs Hubble</t>
  </si>
  <si>
    <t>Schedule Refresh: test end to end refresh</t>
  </si>
  <si>
    <t>5. Semantic</t>
  </si>
  <si>
    <t>Semantic Model</t>
  </si>
  <si>
    <t>Build semantic model — relationships &amp; date table</t>
  </si>
  <si>
    <t>DAX — Standard time intelligence (MTD/YTD)</t>
  </si>
  <si>
    <t>DAX —Hubble Measures</t>
  </si>
  <si>
    <t>UAT — reconcile measures vs Hubble (incl. deleted-record impact)</t>
  </si>
  <si>
    <t>6. Power BI</t>
  </si>
  <si>
    <t>Build Power BI report pages</t>
  </si>
  <si>
    <t>Filters: as requested</t>
  </si>
  <si>
    <t>QA, stakeholder review, final sign-off</t>
  </si>
  <si>
    <t>Fabric Analytics Platform Development Estimator</t>
  </si>
  <si>
    <t>Labor Hrs</t>
  </si>
  <si>
    <t>All hrs are setup/config time only, not data load duration  ·  Per-Table formula deducts 1 Dim + 1 Fact used as templates</t>
  </si>
  <si>
    <t>Dimension Tables</t>
  </si>
  <si>
    <t>Fact Tables</t>
  </si>
  <si>
    <t>PER-TABLE AFTER TEMPLATE  (hrs)</t>
  </si>
  <si>
    <t>Development Stage</t>
  </si>
  <si>
    <t>Dim Rate
(hrs / table)</t>
  </si>
  <si>
    <t>Fact Rate
(hrs / table)</t>
  </si>
  <si>
    <t>PT Total
(hrs)</t>
  </si>
  <si>
    <t>Pre-Build / Discovery / Administrative Time</t>
  </si>
  <si>
    <t>Bronze Full Load</t>
  </si>
  <si>
    <t>Bronze Incremental</t>
  </si>
  <si>
    <t>Delete Pipeline</t>
  </si>
  <si>
    <t>Semantic Model &amp; DAX</t>
  </si>
  <si>
    <t>PBI Report &amp; QA</t>
  </si>
  <si>
    <t>Deployment Pipeline</t>
  </si>
  <si>
    <t>TOTAL HOURS</t>
  </si>
  <si>
    <t>One-Time Setup Total (hrs)  →  days @ 8hr/day</t>
  </si>
  <si>
    <t>Per-Table Total (hrs)  →  days @ 8hr/day</t>
  </si>
  <si>
    <t>Sales Order</t>
  </si>
  <si>
    <t xml:space="preserve">  ONE-TIME SETUP  (hrs)</t>
  </si>
  <si>
    <t>GRAND TOTAL</t>
  </si>
  <si>
    <t>Dim
(hrs)</t>
  </si>
  <si>
    <t>Fact
(hrs)</t>
  </si>
  <si>
    <t>OT Total
(hrs)</t>
  </si>
  <si>
    <t>Grand Total
(hrs)</t>
  </si>
  <si>
    <t>Grand Total (hrs)  →  days @ 8hr/day</t>
  </si>
  <si>
    <t>Blue = Dim inputs  ·  Red = Fact inputs  ·  Yellow = table counts  ·  All blue/red/yellow cells are editable</t>
  </si>
  <si>
    <t>Folder Names</t>
  </si>
  <si>
    <t>2. Configuration and Controls Reports</t>
  </si>
  <si>
    <t>Filter Capture — Extended Sales Order 8</t>
  </si>
  <si>
    <t>Process</t>
  </si>
  <si>
    <t>Hook Order (Y/N)</t>
  </si>
  <si>
    <t>Customer Number</t>
  </si>
  <si>
    <t>Customer Name</t>
  </si>
  <si>
    <t>Ship To Number</t>
  </si>
  <si>
    <t>Ship To Name</t>
  </si>
  <si>
    <t>Old Sch Pick Date</t>
  </si>
  <si>
    <t>New Sch Pick Date</t>
  </si>
  <si>
    <t>Status Flag</t>
  </si>
  <si>
    <t>Error Message</t>
  </si>
  <si>
    <t>Export Booking Number</t>
  </si>
  <si>
    <t>Export Load Date</t>
  </si>
  <si>
    <t>Export Loading Port</t>
  </si>
  <si>
    <t>Export Loading Port Name</t>
  </si>
  <si>
    <t>Order Originator</t>
  </si>
  <si>
    <t>Program ID</t>
  </si>
  <si>
    <t>Run Date</t>
  </si>
  <si>
    <t>Run Time</t>
  </si>
  <si>
    <t>Work Station</t>
  </si>
  <si>
    <t>ASDL01</t>
  </si>
  <si>
    <t>ASMCU</t>
  </si>
  <si>
    <t>ASDOCO</t>
  </si>
  <si>
    <t>ASDOCT</t>
  </si>
  <si>
    <t>ASKCOO</t>
  </si>
  <si>
    <t>ASEV02</t>
  </si>
  <si>
    <t>BILLTO</t>
  </si>
  <si>
    <t>VR01</t>
  </si>
  <si>
    <t>OLDPICK</t>
  </si>
  <si>
    <t>NEWPICK</t>
  </si>
  <si>
    <t>ASEDSP</t>
  </si>
  <si>
    <t>ASMGTX</t>
  </si>
  <si>
    <t>BOOKINGNO</t>
  </si>
  <si>
    <t>LOADDATE</t>
  </si>
  <si>
    <t>LOADPORT</t>
  </si>
  <si>
    <t>LOADPORTNAME</t>
  </si>
  <si>
    <t>TORG</t>
  </si>
  <si>
    <t>ASPID</t>
  </si>
  <si>
    <t>ASUSER</t>
  </si>
  <si>
    <t>ASUPMT</t>
  </si>
  <si>
    <t>ASJOBN</t>
  </si>
  <si>
    <t>ORDERREDATE</t>
  </si>
  <si>
    <t>Filter Capture — Custom Sales Order 2</t>
  </si>
  <si>
    <t>Item Cross Reference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</si>
</sst>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"/>
  </numFmts>
  <fonts count="6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C00000"/>
      <name val="Aptos Narrow"/>
      <family val="2"/>
    </font>
    <font>
      <u/>
      <sz val="11"/>
      <color theme="10"/>
      <name val="Aptos Narrow"/>
      <family val="2"/>
      <scheme val="minor"/>
    </font>
    <font>
      <b/>
      <u/>
      <sz val="11"/>
      <color rgb="FFC0000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u/>
      <sz val="11"/>
      <color theme="1"/>
      <name val="Calibri"/>
      <family val="2"/>
    </font>
    <font>
      <sz val="10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1"/>
      <color theme="1"/>
      <name val="Calibri"/>
      <family val="2"/>
      <charset val="1"/>
    </font>
    <font>
      <b/>
      <sz val="14"/>
      <color theme="3"/>
      <name val="Calibri"/>
      <family val="2"/>
    </font>
    <font>
      <sz val="11"/>
      <color theme="3"/>
      <name val="Calibri"/>
      <family val="2"/>
    </font>
    <font>
      <sz val="11"/>
      <color theme="0"/>
      <name val="Calibri"/>
      <family val="2"/>
    </font>
    <font>
      <b/>
      <sz val="10"/>
      <color theme="0"/>
      <name val="Calibri"/>
      <family val="2"/>
    </font>
    <font>
      <b/>
      <sz val="10"/>
      <color theme="3"/>
      <name val="Calibri"/>
      <family val="2"/>
    </font>
    <font>
      <b/>
      <sz val="11"/>
      <color theme="3"/>
      <name val="Calibri"/>
      <family val="2"/>
    </font>
    <font>
      <b/>
      <sz val="12"/>
      <color theme="3"/>
      <name val="Calibri"/>
      <family val="2"/>
    </font>
    <font>
      <sz val="10"/>
      <color theme="3" tint="-0.499984740745262"/>
      <name val="Calibri"/>
      <family val="2"/>
    </font>
    <font>
      <b/>
      <sz val="11"/>
      <color theme="3" tint="-0.499984740745262"/>
      <name val="Calibri"/>
      <family val="2"/>
    </font>
    <font>
      <b/>
      <sz val="13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charset val="1"/>
    </font>
    <font>
      <b/>
      <sz val="11"/>
      <color rgb="FF000000"/>
      <name val="Aptos Narrow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rgb="FFFFFFFF"/>
      <name val="Arial"/>
      <family val="2"/>
    </font>
    <font>
      <b/>
      <sz val="16"/>
      <color theme="1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rgb="FF1F3864"/>
      <name val="Arial"/>
      <family val="2"/>
    </font>
    <font>
      <b/>
      <sz val="12"/>
      <color theme="1"/>
      <name val="Calibri"/>
      <family val="2"/>
      <charset val="1"/>
    </font>
    <font>
      <b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0"/>
      <name val="Arial"/>
    </font>
    <font>
      <sz val="11"/>
      <color rgb="FF242424"/>
      <name val="Aptos Narrow"/>
      <family val="2"/>
      <scheme val="minor"/>
    </font>
    <font>
      <sz val="11"/>
      <color rgb="FF242424"/>
      <name val="Aptos Narrow"/>
      <charset val="1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sz val="11"/>
      <color rgb="FFC00000"/>
      <name val="Aptos Narrow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2CEE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</fills>
  <borders count="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0" fontId="33" fillId="0" borderId="0"/>
    <xf numFmtId="0" fontId="1" fillId="0" borderId="0"/>
  </cellStyleXfs>
  <cellXfs count="236">
    <xf numFmtId="0" fontId="0" fillId="0" borderId="0" xfId="0"/>
    <xf numFmtId="22" fontId="0" fillId="0" borderId="0" xfId="0" applyNumberFormat="1"/>
    <xf numFmtId="0" fontId="16" fillId="0" borderId="0" xfId="0" applyFont="1"/>
    <xf numFmtId="0" fontId="16" fillId="33" borderId="10" xfId="0" applyFont="1" applyFill="1" applyBorder="1"/>
    <xf numFmtId="0" fontId="16" fillId="33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/>
    <xf numFmtId="0" fontId="16" fillId="34" borderId="0" xfId="0" applyFont="1" applyFill="1"/>
    <xf numFmtId="0" fontId="16" fillId="35" borderId="0" xfId="0" applyFont="1" applyFill="1"/>
    <xf numFmtId="0" fontId="16" fillId="33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8" fillId="37" borderId="0" xfId="0" applyFont="1" applyFill="1"/>
    <xf numFmtId="0" fontId="18" fillId="37" borderId="0" xfId="0" applyFont="1" applyFill="1" applyAlignment="1">
      <alignment horizontal="center" vertical="center"/>
    </xf>
    <xf numFmtId="0" fontId="16" fillId="0" borderId="11" xfId="0" applyFont="1" applyBorder="1"/>
    <xf numFmtId="0" fontId="16" fillId="0" borderId="11" xfId="0" applyFont="1" applyBorder="1" applyAlignment="1">
      <alignment horizontal="center"/>
    </xf>
    <xf numFmtId="0" fontId="16" fillId="0" borderId="11" xfId="0" applyFont="1" applyBorder="1" applyAlignment="1">
      <alignment horizontal="center" vertical="center"/>
    </xf>
    <xf numFmtId="0" fontId="20" fillId="0" borderId="0" xfId="0" applyFont="1"/>
    <xf numFmtId="0" fontId="18" fillId="35" borderId="0" xfId="0" applyFont="1" applyFill="1"/>
    <xf numFmtId="0" fontId="18" fillId="0" borderId="0" xfId="0" applyFont="1" applyAlignment="1">
      <alignment horizontal="center" vertical="center"/>
    </xf>
    <xf numFmtId="0" fontId="21" fillId="0" borderId="0" xfId="0" applyFont="1"/>
    <xf numFmtId="0" fontId="18" fillId="34" borderId="0" xfId="0" applyFont="1" applyFill="1"/>
    <xf numFmtId="0" fontId="18" fillId="0" borderId="0" xfId="0" applyFont="1" applyAlignment="1">
      <alignment horizontal="center"/>
    </xf>
    <xf numFmtId="0" fontId="22" fillId="0" borderId="0" xfId="42"/>
    <xf numFmtId="0" fontId="0" fillId="38" borderId="0" xfId="0" applyFill="1"/>
    <xf numFmtId="0" fontId="16" fillId="0" borderId="11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36" borderId="0" xfId="0" applyFill="1"/>
    <xf numFmtId="0" fontId="23" fillId="0" borderId="0" xfId="42" applyFont="1"/>
    <xf numFmtId="0" fontId="16" fillId="0" borderId="12" xfId="0" applyFont="1" applyBorder="1"/>
    <xf numFmtId="0" fontId="13" fillId="39" borderId="0" xfId="43" applyFont="1" applyFill="1" applyAlignment="1">
      <alignment horizontal="center" vertical="center"/>
    </xf>
    <xf numFmtId="0" fontId="25" fillId="39" borderId="13" xfId="43" applyFont="1" applyFill="1" applyBorder="1" applyAlignment="1">
      <alignment horizontal="center" vertical="center"/>
    </xf>
    <xf numFmtId="0" fontId="25" fillId="39" borderId="0" xfId="43" applyFont="1" applyFill="1" applyAlignment="1">
      <alignment horizontal="center" vertical="center"/>
    </xf>
    <xf numFmtId="164" fontId="0" fillId="0" borderId="0" xfId="44" applyNumberFormat="1" applyFont="1"/>
    <xf numFmtId="0" fontId="24" fillId="0" borderId="0" xfId="43"/>
    <xf numFmtId="0" fontId="24" fillId="0" borderId="0" xfId="43" applyAlignment="1">
      <alignment wrapText="1"/>
    </xf>
    <xf numFmtId="0" fontId="24" fillId="0" borderId="0" xfId="43" applyAlignment="1">
      <alignment horizontal="center" vertical="center"/>
    </xf>
    <xf numFmtId="0" fontId="26" fillId="0" borderId="0" xfId="43" applyFont="1" applyAlignment="1">
      <alignment horizontal="center" vertical="center"/>
    </xf>
    <xf numFmtId="165" fontId="0" fillId="0" borderId="0" xfId="44" applyNumberFormat="1" applyFont="1"/>
    <xf numFmtId="164" fontId="0" fillId="40" borderId="0" xfId="44" applyNumberFormat="1" applyFont="1" applyFill="1"/>
    <xf numFmtId="164" fontId="0" fillId="41" borderId="0" xfId="44" applyNumberFormat="1" applyFont="1" applyFill="1"/>
    <xf numFmtId="0" fontId="27" fillId="0" borderId="0" xfId="43" applyFont="1" applyAlignment="1">
      <alignment horizontal="center" vertical="center"/>
    </xf>
    <xf numFmtId="0" fontId="28" fillId="0" borderId="0" xfId="43" applyFont="1" applyAlignment="1">
      <alignment horizontal="center" vertical="center"/>
    </xf>
    <xf numFmtId="164" fontId="24" fillId="0" borderId="0" xfId="43" applyNumberFormat="1"/>
    <xf numFmtId="14" fontId="0" fillId="38" borderId="0" xfId="0" applyNumberFormat="1" applyFill="1"/>
    <xf numFmtId="14" fontId="0" fillId="0" borderId="0" xfId="0" applyNumberFormat="1"/>
    <xf numFmtId="14" fontId="18" fillId="0" borderId="0" xfId="0" applyNumberFormat="1" applyFont="1"/>
    <xf numFmtId="0" fontId="20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0" fontId="33" fillId="0" borderId="0" xfId="45"/>
    <xf numFmtId="0" fontId="34" fillId="0" borderId="0" xfId="45" applyFont="1" applyAlignment="1">
      <alignment horizontal="left" vertical="center"/>
    </xf>
    <xf numFmtId="0" fontId="34" fillId="0" borderId="0" xfId="45" applyFont="1" applyAlignment="1">
      <alignment horizontal="right" vertical="center"/>
    </xf>
    <xf numFmtId="0" fontId="34" fillId="42" borderId="10" xfId="45" applyFont="1" applyFill="1" applyBorder="1" applyAlignment="1">
      <alignment horizontal="center" vertical="center"/>
    </xf>
    <xf numFmtId="0" fontId="35" fillId="0" borderId="0" xfId="45" applyFont="1"/>
    <xf numFmtId="0" fontId="36" fillId="43" borderId="14" xfId="45" applyFont="1" applyFill="1" applyBorder="1"/>
    <xf numFmtId="0" fontId="37" fillId="43" borderId="15" xfId="45" applyFont="1" applyFill="1" applyBorder="1" applyAlignment="1">
      <alignment vertical="center"/>
    </xf>
    <xf numFmtId="0" fontId="37" fillId="43" borderId="16" xfId="45" applyFont="1" applyFill="1" applyBorder="1" applyAlignment="1">
      <alignment vertical="center"/>
    </xf>
    <xf numFmtId="0" fontId="37" fillId="43" borderId="18" xfId="45" applyFont="1" applyFill="1" applyBorder="1" applyAlignment="1">
      <alignment vertical="center"/>
    </xf>
    <xf numFmtId="0" fontId="37" fillId="43" borderId="19" xfId="45" applyFont="1" applyFill="1" applyBorder="1" applyAlignment="1">
      <alignment horizontal="center" vertical="center"/>
    </xf>
    <xf numFmtId="0" fontId="38" fillId="0" borderId="14" xfId="45" applyFont="1" applyBorder="1" applyAlignment="1">
      <alignment horizontal="center" vertical="center" wrapText="1"/>
    </xf>
    <xf numFmtId="0" fontId="38" fillId="0" borderId="20" xfId="45" applyFont="1" applyBorder="1" applyAlignment="1">
      <alignment horizontal="center" vertical="center" wrapText="1"/>
    </xf>
    <xf numFmtId="0" fontId="38" fillId="0" borderId="19" xfId="45" applyFont="1" applyBorder="1" applyAlignment="1">
      <alignment horizontal="center" vertical="center" wrapText="1"/>
    </xf>
    <xf numFmtId="0" fontId="38" fillId="0" borderId="10" xfId="45" applyFont="1" applyBorder="1" applyAlignment="1">
      <alignment horizontal="center" vertical="center" wrapText="1"/>
    </xf>
    <xf numFmtId="0" fontId="38" fillId="0" borderId="21" xfId="45" applyFont="1" applyBorder="1" applyAlignment="1">
      <alignment horizontal="center" vertical="center" wrapText="1"/>
    </xf>
    <xf numFmtId="0" fontId="38" fillId="0" borderId="22" xfId="45" applyFont="1" applyBorder="1" applyAlignment="1">
      <alignment horizontal="center" vertical="center" wrapText="1"/>
    </xf>
    <xf numFmtId="0" fontId="39" fillId="0" borderId="14" xfId="45" applyFont="1" applyBorder="1" applyAlignment="1">
      <alignment horizontal="left" vertical="center"/>
    </xf>
    <xf numFmtId="166" fontId="39" fillId="0" borderId="20" xfId="45" applyNumberFormat="1" applyFont="1" applyBorder="1" applyAlignment="1">
      <alignment horizontal="center" vertical="center"/>
    </xf>
    <xf numFmtId="166" fontId="39" fillId="0" borderId="14" xfId="45" applyNumberFormat="1" applyFont="1" applyBorder="1" applyAlignment="1">
      <alignment horizontal="center" vertical="center"/>
    </xf>
    <xf numFmtId="166" fontId="39" fillId="0" borderId="22" xfId="45" applyNumberFormat="1" applyFont="1" applyBorder="1" applyAlignment="1">
      <alignment horizontal="center" vertical="center"/>
    </xf>
    <xf numFmtId="2" fontId="39" fillId="0" borderId="20" xfId="45" applyNumberFormat="1" applyFont="1" applyBorder="1" applyAlignment="1">
      <alignment horizontal="center" vertical="center"/>
    </xf>
    <xf numFmtId="2" fontId="39" fillId="0" borderId="10" xfId="45" applyNumberFormat="1" applyFont="1" applyBorder="1" applyAlignment="1">
      <alignment horizontal="center" vertical="center"/>
    </xf>
    <xf numFmtId="166" fontId="39" fillId="0" borderId="21" xfId="45" applyNumberFormat="1" applyFont="1" applyBorder="1" applyAlignment="1">
      <alignment horizontal="center" vertical="center"/>
    </xf>
    <xf numFmtId="0" fontId="35" fillId="0" borderId="14" xfId="45" applyFont="1" applyBorder="1"/>
    <xf numFmtId="0" fontId="35" fillId="0" borderId="20" xfId="45" applyFont="1" applyBorder="1"/>
    <xf numFmtId="0" fontId="35" fillId="0" borderId="22" xfId="45" applyFont="1" applyBorder="1"/>
    <xf numFmtId="0" fontId="35" fillId="0" borderId="10" xfId="45" applyFont="1" applyBorder="1"/>
    <xf numFmtId="0" fontId="35" fillId="0" borderId="21" xfId="45" applyFont="1" applyBorder="1"/>
    <xf numFmtId="0" fontId="40" fillId="0" borderId="14" xfId="45" applyFont="1" applyBorder="1" applyAlignment="1">
      <alignment horizontal="left" vertical="center"/>
    </xf>
    <xf numFmtId="166" fontId="40" fillId="0" borderId="23" xfId="45" applyNumberFormat="1" applyFont="1" applyBorder="1" applyAlignment="1">
      <alignment horizontal="center" vertical="center"/>
    </xf>
    <xf numFmtId="166" fontId="40" fillId="0" borderId="24" xfId="45" applyNumberFormat="1" applyFont="1" applyBorder="1" applyAlignment="1">
      <alignment horizontal="center" vertical="center"/>
    </xf>
    <xf numFmtId="166" fontId="40" fillId="0" borderId="25" xfId="45" applyNumberFormat="1" applyFont="1" applyBorder="1" applyAlignment="1">
      <alignment horizontal="center" vertical="center"/>
    </xf>
    <xf numFmtId="0" fontId="40" fillId="0" borderId="23" xfId="45" applyFont="1" applyBorder="1" applyAlignment="1">
      <alignment horizontal="center" vertical="center"/>
    </xf>
    <xf numFmtId="0" fontId="40" fillId="0" borderId="26" xfId="45" applyFont="1" applyBorder="1" applyAlignment="1">
      <alignment horizontal="center" vertical="center"/>
    </xf>
    <xf numFmtId="166" fontId="40" fillId="0" borderId="27" xfId="45" applyNumberFormat="1" applyFont="1" applyBorder="1" applyAlignment="1">
      <alignment horizontal="center" vertical="center"/>
    </xf>
    <xf numFmtId="0" fontId="41" fillId="0" borderId="0" xfId="45" applyFont="1" applyAlignment="1">
      <alignment horizontal="left" vertical="center"/>
    </xf>
    <xf numFmtId="166" fontId="42" fillId="0" borderId="0" xfId="45" applyNumberFormat="1" applyFont="1" applyAlignment="1">
      <alignment horizontal="center" vertical="center"/>
    </xf>
    <xf numFmtId="0" fontId="1" fillId="0" borderId="0" xfId="46"/>
    <xf numFmtId="0" fontId="32" fillId="44" borderId="10" xfId="46" applyFont="1" applyFill="1" applyBorder="1" applyAlignment="1">
      <alignment horizontal="center" vertical="center" wrapText="1"/>
    </xf>
    <xf numFmtId="0" fontId="44" fillId="45" borderId="10" xfId="46" applyFont="1" applyFill="1" applyBorder="1" applyAlignment="1">
      <alignment horizontal="center" vertical="center" wrapText="1"/>
    </xf>
    <xf numFmtId="0" fontId="45" fillId="45" borderId="10" xfId="46" applyFont="1" applyFill="1" applyBorder="1" applyAlignment="1">
      <alignment horizontal="center" vertical="center" wrapText="1"/>
    </xf>
    <xf numFmtId="0" fontId="31" fillId="45" borderId="10" xfId="46" applyFont="1" applyFill="1" applyBorder="1" applyAlignment="1">
      <alignment horizontal="left" vertical="center" wrapText="1"/>
    </xf>
    <xf numFmtId="0" fontId="31" fillId="45" borderId="10" xfId="46" applyFont="1" applyFill="1" applyBorder="1" applyAlignment="1">
      <alignment horizontal="center" vertical="center" wrapText="1"/>
    </xf>
    <xf numFmtId="0" fontId="44" fillId="46" borderId="10" xfId="46" applyFont="1" applyFill="1" applyBorder="1" applyAlignment="1">
      <alignment horizontal="center" vertical="center" wrapText="1"/>
    </xf>
    <xf numFmtId="0" fontId="45" fillId="46" borderId="10" xfId="46" applyFont="1" applyFill="1" applyBorder="1" applyAlignment="1">
      <alignment horizontal="center" vertical="center" wrapText="1"/>
    </xf>
    <xf numFmtId="0" fontId="31" fillId="46" borderId="10" xfId="46" applyFont="1" applyFill="1" applyBorder="1" applyAlignment="1">
      <alignment horizontal="left" vertical="center" wrapText="1"/>
    </xf>
    <xf numFmtId="0" fontId="31" fillId="46" borderId="10" xfId="46" applyFont="1" applyFill="1" applyBorder="1" applyAlignment="1">
      <alignment horizontal="center" vertical="center" wrapText="1"/>
    </xf>
    <xf numFmtId="0" fontId="44" fillId="6" borderId="10" xfId="46" applyFont="1" applyFill="1" applyBorder="1" applyAlignment="1">
      <alignment horizontal="center" vertical="center" wrapText="1"/>
    </xf>
    <xf numFmtId="0" fontId="45" fillId="6" borderId="10" xfId="46" applyFont="1" applyFill="1" applyBorder="1" applyAlignment="1">
      <alignment horizontal="center" vertical="center" wrapText="1"/>
    </xf>
    <xf numFmtId="0" fontId="31" fillId="6" borderId="10" xfId="46" applyFont="1" applyFill="1" applyBorder="1" applyAlignment="1">
      <alignment horizontal="left" vertical="center" wrapText="1"/>
    </xf>
    <xf numFmtId="0" fontId="31" fillId="6" borderId="10" xfId="46" applyFont="1" applyFill="1" applyBorder="1" applyAlignment="1">
      <alignment horizontal="center" vertical="center" wrapText="1"/>
    </xf>
    <xf numFmtId="0" fontId="44" fillId="47" borderId="10" xfId="46" applyFont="1" applyFill="1" applyBorder="1" applyAlignment="1">
      <alignment horizontal="center" vertical="center" wrapText="1"/>
    </xf>
    <xf numFmtId="0" fontId="45" fillId="47" borderId="10" xfId="46" applyFont="1" applyFill="1" applyBorder="1" applyAlignment="1">
      <alignment horizontal="center" vertical="center" wrapText="1"/>
    </xf>
    <xf numFmtId="0" fontId="31" fillId="47" borderId="10" xfId="46" applyFont="1" applyFill="1" applyBorder="1" applyAlignment="1">
      <alignment horizontal="left" vertical="center" wrapText="1"/>
    </xf>
    <xf numFmtId="0" fontId="31" fillId="47" borderId="10" xfId="46" applyFont="1" applyFill="1" applyBorder="1" applyAlignment="1">
      <alignment horizontal="center" vertical="center" wrapText="1"/>
    </xf>
    <xf numFmtId="0" fontId="44" fillId="48" borderId="10" xfId="46" applyFont="1" applyFill="1" applyBorder="1" applyAlignment="1">
      <alignment horizontal="center" vertical="center" wrapText="1"/>
    </xf>
    <xf numFmtId="0" fontId="45" fillId="48" borderId="10" xfId="46" applyFont="1" applyFill="1" applyBorder="1" applyAlignment="1">
      <alignment horizontal="center" vertical="center" wrapText="1"/>
    </xf>
    <xf numFmtId="0" fontId="31" fillId="48" borderId="10" xfId="46" applyFont="1" applyFill="1" applyBorder="1" applyAlignment="1">
      <alignment horizontal="left" vertical="center" wrapText="1"/>
    </xf>
    <xf numFmtId="0" fontId="31" fillId="48" borderId="10" xfId="46" applyFont="1" applyFill="1" applyBorder="1" applyAlignment="1">
      <alignment horizontal="center" vertical="center" wrapText="1"/>
    </xf>
    <xf numFmtId="0" fontId="44" fillId="49" borderId="10" xfId="46" applyFont="1" applyFill="1" applyBorder="1" applyAlignment="1">
      <alignment horizontal="center" vertical="center" wrapText="1"/>
    </xf>
    <xf numFmtId="0" fontId="45" fillId="49" borderId="10" xfId="46" applyFont="1" applyFill="1" applyBorder="1" applyAlignment="1">
      <alignment horizontal="center" vertical="center" wrapText="1"/>
    </xf>
    <xf numFmtId="0" fontId="31" fillId="49" borderId="10" xfId="46" applyFont="1" applyFill="1" applyBorder="1" applyAlignment="1">
      <alignment horizontal="left" vertical="center" wrapText="1"/>
    </xf>
    <xf numFmtId="0" fontId="31" fillId="49" borderId="10" xfId="46" applyFont="1" applyFill="1" applyBorder="1" applyAlignment="1">
      <alignment horizontal="center" vertical="center" wrapText="1"/>
    </xf>
    <xf numFmtId="0" fontId="1" fillId="0" borderId="0" xfId="46" applyAlignment="1">
      <alignment horizontal="center"/>
    </xf>
    <xf numFmtId="0" fontId="16" fillId="33" borderId="0" xfId="0" applyFont="1" applyFill="1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40" borderId="10" xfId="0" applyFill="1" applyBorder="1" applyAlignment="1">
      <alignment vertical="center" wrapText="1"/>
    </xf>
    <xf numFmtId="0" fontId="0" fillId="40" borderId="10" xfId="0" applyFill="1" applyBorder="1" applyAlignment="1">
      <alignment horizontal="center" vertical="center" wrapText="1"/>
    </xf>
    <xf numFmtId="0" fontId="46" fillId="0" borderId="10" xfId="0" applyFont="1" applyBorder="1" applyAlignment="1">
      <alignment horizontal="center" vertical="center" wrapText="1"/>
    </xf>
    <xf numFmtId="0" fontId="46" fillId="0" borderId="10" xfId="0" applyFont="1" applyBorder="1" applyAlignment="1">
      <alignment vertical="center" wrapText="1"/>
    </xf>
    <xf numFmtId="0" fontId="41" fillId="0" borderId="0" xfId="45" applyFont="1" applyAlignment="1">
      <alignment vertical="center"/>
    </xf>
    <xf numFmtId="0" fontId="33" fillId="0" borderId="0" xfId="45" applyAlignment="1">
      <alignment horizontal="center" vertical="center"/>
    </xf>
    <xf numFmtId="0" fontId="33" fillId="0" borderId="10" xfId="45" applyBorder="1" applyAlignment="1">
      <alignment horizontal="center" vertical="center"/>
    </xf>
    <xf numFmtId="0" fontId="33" fillId="0" borderId="0" xfId="45" applyAlignment="1">
      <alignment horizontal="right"/>
    </xf>
    <xf numFmtId="0" fontId="47" fillId="0" borderId="10" xfId="45" applyFont="1" applyBorder="1"/>
    <xf numFmtId="0" fontId="33" fillId="0" borderId="14" xfId="45" applyBorder="1"/>
    <xf numFmtId="0" fontId="33" fillId="0" borderId="28" xfId="45" applyBorder="1"/>
    <xf numFmtId="0" fontId="48" fillId="0" borderId="10" xfId="45" applyFont="1" applyBorder="1" applyAlignment="1">
      <alignment horizontal="center" vertical="center"/>
    </xf>
    <xf numFmtId="0" fontId="0" fillId="36" borderId="10" xfId="0" applyFill="1" applyBorder="1" applyAlignment="1">
      <alignment vertical="center" wrapText="1"/>
    </xf>
    <xf numFmtId="0" fontId="0" fillId="36" borderId="10" xfId="0" applyFill="1" applyBorder="1" applyAlignment="1">
      <alignment horizontal="center" vertical="center" wrapText="1"/>
    </xf>
    <xf numFmtId="0" fontId="0" fillId="38" borderId="10" xfId="0" applyFill="1" applyBorder="1" applyAlignment="1">
      <alignment vertical="center" wrapText="1"/>
    </xf>
    <xf numFmtId="0" fontId="0" fillId="38" borderId="10" xfId="0" applyFill="1" applyBorder="1" applyAlignment="1">
      <alignment horizontal="center" vertical="center" wrapText="1"/>
    </xf>
    <xf numFmtId="0" fontId="0" fillId="50" borderId="10" xfId="0" applyFill="1" applyBorder="1" applyAlignment="1">
      <alignment vertical="center" wrapText="1"/>
    </xf>
    <xf numFmtId="0" fontId="0" fillId="50" borderId="10" xfId="0" applyFill="1" applyBorder="1" applyAlignment="1">
      <alignment horizontal="center" vertical="center" wrapText="1"/>
    </xf>
    <xf numFmtId="0" fontId="0" fillId="51" borderId="10" xfId="0" applyFill="1" applyBorder="1" applyAlignment="1">
      <alignment vertical="center" wrapText="1"/>
    </xf>
    <xf numFmtId="0" fontId="0" fillId="51" borderId="10" xfId="0" applyFill="1" applyBorder="1" applyAlignment="1">
      <alignment horizontal="center" vertical="center" wrapText="1"/>
    </xf>
    <xf numFmtId="0" fontId="0" fillId="51" borderId="10" xfId="0" applyFill="1" applyBorder="1"/>
    <xf numFmtId="0" fontId="0" fillId="52" borderId="10" xfId="0" applyFill="1" applyBorder="1" applyAlignment="1">
      <alignment vertical="center" wrapText="1"/>
    </xf>
    <xf numFmtId="0" fontId="0" fillId="52" borderId="10" xfId="0" applyFill="1" applyBorder="1" applyAlignment="1">
      <alignment horizontal="center" vertical="center" wrapText="1"/>
    </xf>
    <xf numFmtId="0" fontId="0" fillId="53" borderId="10" xfId="0" applyFill="1" applyBorder="1" applyAlignment="1">
      <alignment vertical="center" wrapText="1"/>
    </xf>
    <xf numFmtId="0" fontId="0" fillId="53" borderId="10" xfId="0" applyFill="1" applyBorder="1" applyAlignment="1">
      <alignment horizontal="center" vertical="center" wrapText="1"/>
    </xf>
    <xf numFmtId="0" fontId="0" fillId="54" borderId="10" xfId="0" applyFill="1" applyBorder="1" applyAlignment="1">
      <alignment vertical="center" wrapText="1"/>
    </xf>
    <xf numFmtId="0" fontId="0" fillId="54" borderId="10" xfId="0" applyFill="1" applyBorder="1" applyAlignment="1">
      <alignment horizontal="center" vertical="center" wrapText="1"/>
    </xf>
    <xf numFmtId="0" fontId="0" fillId="55" borderId="10" xfId="0" applyFill="1" applyBorder="1" applyAlignment="1">
      <alignment vertical="center" wrapText="1"/>
    </xf>
    <xf numFmtId="0" fontId="0" fillId="55" borderId="10" xfId="0" applyFill="1" applyBorder="1" applyAlignment="1">
      <alignment horizontal="center" vertical="center" wrapText="1"/>
    </xf>
    <xf numFmtId="0" fontId="0" fillId="55" borderId="10" xfId="0" applyFill="1" applyBorder="1"/>
    <xf numFmtId="0" fontId="0" fillId="56" borderId="10" xfId="0" applyFill="1" applyBorder="1" applyAlignment="1">
      <alignment vertical="center" wrapText="1"/>
    </xf>
    <xf numFmtId="0" fontId="0" fillId="56" borderId="10" xfId="0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49" fillId="57" borderId="0" xfId="0" applyFont="1" applyFill="1"/>
    <xf numFmtId="0" fontId="49" fillId="0" borderId="0" xfId="0" applyFont="1"/>
    <xf numFmtId="10" fontId="49" fillId="0" borderId="0" xfId="0" applyNumberFormat="1" applyFont="1"/>
    <xf numFmtId="0" fontId="20" fillId="58" borderId="0" xfId="0" applyFont="1" applyFill="1"/>
    <xf numFmtId="0" fontId="49" fillId="58" borderId="0" xfId="0" applyFont="1" applyFill="1"/>
    <xf numFmtId="0" fontId="20" fillId="0" borderId="29" xfId="0" applyFont="1" applyBorder="1"/>
    <xf numFmtId="0" fontId="49" fillId="0" borderId="29" xfId="0" applyFont="1" applyBorder="1"/>
    <xf numFmtId="0" fontId="49" fillId="59" borderId="10" xfId="0" applyFont="1" applyFill="1" applyBorder="1"/>
    <xf numFmtId="0" fontId="49" fillId="59" borderId="30" xfId="0" applyFont="1" applyFill="1" applyBorder="1"/>
    <xf numFmtId="0" fontId="16" fillId="33" borderId="10" xfId="0" applyFont="1" applyFill="1" applyBorder="1" applyAlignment="1">
      <alignment horizontal="right"/>
    </xf>
    <xf numFmtId="0" fontId="20" fillId="35" borderId="0" xfId="0" applyFont="1" applyFill="1"/>
    <xf numFmtId="0" fontId="49" fillId="35" borderId="0" xfId="0" applyFont="1" applyFill="1"/>
    <xf numFmtId="0" fontId="20" fillId="0" borderId="0" xfId="0" applyFont="1" applyAlignment="1">
      <alignment wrapText="1"/>
    </xf>
    <xf numFmtId="0" fontId="16" fillId="33" borderId="0" xfId="0" applyFont="1" applyFill="1" applyAlignment="1">
      <alignment horizontal="center"/>
    </xf>
    <xf numFmtId="0" fontId="49" fillId="57" borderId="0" xfId="0" applyFont="1" applyFill="1" applyAlignment="1">
      <alignment horizontal="center"/>
    </xf>
    <xf numFmtId="0" fontId="49" fillId="0" borderId="0" xfId="0" applyFont="1" applyAlignment="1">
      <alignment horizontal="center"/>
    </xf>
    <xf numFmtId="0" fontId="49" fillId="35" borderId="0" xfId="0" applyFont="1" applyFill="1" applyAlignment="1">
      <alignment horizontal="center"/>
    </xf>
    <xf numFmtId="0" fontId="49" fillId="58" borderId="0" xfId="0" applyFont="1" applyFill="1" applyAlignment="1">
      <alignment horizontal="center"/>
    </xf>
    <xf numFmtId="0" fontId="49" fillId="0" borderId="29" xfId="0" applyFont="1" applyBorder="1" applyAlignment="1">
      <alignment horizontal="center"/>
    </xf>
    <xf numFmtId="0" fontId="50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52" fillId="60" borderId="31" xfId="45" applyFont="1" applyFill="1" applyBorder="1" applyAlignment="1">
      <alignment horizontal="center" vertical="center" wrapText="1"/>
    </xf>
    <xf numFmtId="0" fontId="52" fillId="60" borderId="0" xfId="45" applyFont="1" applyFill="1" applyAlignment="1">
      <alignment horizontal="center" vertical="center" wrapText="1"/>
    </xf>
    <xf numFmtId="0" fontId="53" fillId="0" borderId="0" xfId="45" applyFont="1"/>
    <xf numFmtId="0" fontId="54" fillId="0" borderId="31" xfId="45" applyFont="1" applyBorder="1" applyAlignment="1">
      <alignment horizontal="left" vertical="center"/>
    </xf>
    <xf numFmtId="0" fontId="54" fillId="0" borderId="31" xfId="45" applyFont="1" applyBorder="1" applyAlignment="1">
      <alignment horizontal="center" vertical="center"/>
    </xf>
    <xf numFmtId="0" fontId="55" fillId="61" borderId="31" xfId="45" applyFont="1" applyFill="1" applyBorder="1" applyAlignment="1">
      <alignment horizontal="center" vertical="center"/>
    </xf>
    <xf numFmtId="0" fontId="55" fillId="0" borderId="31" xfId="45" applyFont="1" applyBorder="1" applyAlignment="1">
      <alignment horizontal="left" vertical="center"/>
    </xf>
    <xf numFmtId="0" fontId="53" fillId="36" borderId="0" xfId="45" applyFont="1" applyFill="1"/>
    <xf numFmtId="0" fontId="52" fillId="60" borderId="32" xfId="45" applyFont="1" applyFill="1" applyBorder="1" applyAlignment="1">
      <alignment horizontal="right" vertical="center" wrapText="1"/>
    </xf>
    <xf numFmtId="0" fontId="47" fillId="36" borderId="0" xfId="45" applyFont="1" applyFill="1" applyAlignment="1">
      <alignment horizontal="right" indent="1"/>
    </xf>
    <xf numFmtId="0" fontId="52" fillId="60" borderId="32" xfId="45" applyFont="1" applyFill="1" applyBorder="1" applyAlignment="1">
      <alignment vertical="center" wrapText="1"/>
    </xf>
    <xf numFmtId="0" fontId="56" fillId="0" borderId="0" xfId="45" applyFont="1" applyAlignment="1">
      <alignment horizontal="center" wrapText="1"/>
    </xf>
    <xf numFmtId="0" fontId="57" fillId="0" borderId="0" xfId="45" applyFont="1" applyAlignment="1">
      <alignment horizontal="center" vertical="center"/>
    </xf>
    <xf numFmtId="0" fontId="58" fillId="0" borderId="0" xfId="0" applyFont="1"/>
    <xf numFmtId="0" fontId="58" fillId="35" borderId="0" xfId="0" applyFont="1" applyFill="1"/>
    <xf numFmtId="0" fontId="59" fillId="0" borderId="0" xfId="0" applyFont="1"/>
    <xf numFmtId="0" fontId="58" fillId="0" borderId="0" xfId="0" applyFont="1" applyAlignment="1">
      <alignment horizontal="center" vertical="center"/>
    </xf>
    <xf numFmtId="0" fontId="58" fillId="0" borderId="0" xfId="0" applyFont="1" applyAlignment="1">
      <alignment horizontal="center"/>
    </xf>
    <xf numFmtId="0" fontId="0" fillId="0" borderId="33" xfId="0" applyBorder="1" applyAlignment="1">
      <alignment horizontal="center" vertical="center"/>
    </xf>
    <xf numFmtId="49" fontId="52" fillId="60" borderId="31" xfId="45" applyNumberFormat="1" applyFont="1" applyFill="1" applyBorder="1" applyAlignment="1">
      <alignment horizontal="center" vertical="center" wrapText="1"/>
    </xf>
    <xf numFmtId="49" fontId="52" fillId="60" borderId="0" xfId="45" applyNumberFormat="1" applyFont="1" applyFill="1" applyAlignment="1">
      <alignment horizontal="center" vertical="center" wrapText="1"/>
    </xf>
    <xf numFmtId="49" fontId="55" fillId="61" borderId="31" xfId="45" applyNumberFormat="1" applyFont="1" applyFill="1" applyBorder="1" applyAlignment="1">
      <alignment horizontal="center" vertical="center"/>
    </xf>
    <xf numFmtId="0" fontId="33" fillId="0" borderId="0" xfId="45" applyAlignment="1">
      <alignment horizontal="center"/>
    </xf>
    <xf numFmtId="49" fontId="33" fillId="0" borderId="0" xfId="45" applyNumberFormat="1" applyAlignment="1">
      <alignment horizontal="center"/>
    </xf>
    <xf numFmtId="0" fontId="53" fillId="36" borderId="0" xfId="45" applyFont="1" applyFill="1" applyAlignment="1">
      <alignment horizontal="center"/>
    </xf>
    <xf numFmtId="49" fontId="53" fillId="36" borderId="0" xfId="45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60" fillId="0" borderId="31" xfId="45" applyFont="1" applyBorder="1" applyAlignment="1">
      <alignment horizontal="left" vertical="center"/>
    </xf>
    <xf numFmtId="0" fontId="61" fillId="0" borderId="0" xfId="0" applyFont="1"/>
    <xf numFmtId="0" fontId="62" fillId="0" borderId="0" xfId="0" applyFont="1"/>
    <xf numFmtId="49" fontId="33" fillId="0" borderId="0" xfId="45" applyNumberFormat="1"/>
    <xf numFmtId="49" fontId="53" fillId="36" borderId="0" xfId="45" applyNumberFormat="1" applyFont="1" applyFill="1"/>
    <xf numFmtId="49" fontId="0" fillId="0" borderId="0" xfId="0" applyNumberFormat="1"/>
    <xf numFmtId="49" fontId="33" fillId="0" borderId="0" xfId="45" applyNumberFormat="1" applyAlignment="1">
      <alignment horizontal="left"/>
    </xf>
    <xf numFmtId="49" fontId="52" fillId="60" borderId="31" xfId="45" applyNumberFormat="1" applyFont="1" applyFill="1" applyBorder="1" applyAlignment="1">
      <alignment horizontal="left" vertical="center" wrapText="1"/>
    </xf>
    <xf numFmtId="49" fontId="52" fillId="60" borderId="0" xfId="45" applyNumberFormat="1" applyFont="1" applyFill="1" applyAlignment="1">
      <alignment horizontal="left" vertical="center" wrapText="1"/>
    </xf>
    <xf numFmtId="49" fontId="53" fillId="36" borderId="0" xfId="45" applyNumberFormat="1" applyFont="1" applyFill="1" applyAlignment="1">
      <alignment horizontal="left"/>
    </xf>
    <xf numFmtId="49" fontId="55" fillId="61" borderId="31" xfId="45" applyNumberFormat="1" applyFont="1" applyFill="1" applyBorder="1" applyAlignment="1">
      <alignment horizontal="left" vertical="center"/>
    </xf>
    <xf numFmtId="0" fontId="63" fillId="0" borderId="31" xfId="45" applyFont="1" applyBorder="1" applyAlignment="1">
      <alignment horizontal="left" vertical="center"/>
    </xf>
    <xf numFmtId="0" fontId="65" fillId="0" borderId="0" xfId="0" applyFont="1"/>
    <xf numFmtId="49" fontId="64" fillId="61" borderId="31" xfId="45" applyNumberFormat="1" applyFont="1" applyFill="1" applyBorder="1" applyAlignment="1">
      <alignment horizontal="center" vertical="center"/>
    </xf>
    <xf numFmtId="0" fontId="54" fillId="0" borderId="38" xfId="45" applyFont="1" applyBorder="1" applyAlignment="1">
      <alignment horizontal="left" vertical="center"/>
    </xf>
    <xf numFmtId="49" fontId="52" fillId="60" borderId="38" xfId="45" applyNumberFormat="1" applyFont="1" applyFill="1" applyBorder="1" applyAlignment="1">
      <alignment horizontal="center" vertical="center" wrapText="1"/>
    </xf>
    <xf numFmtId="49" fontId="55" fillId="0" borderId="0" xfId="0" applyNumberFormat="1" applyFont="1"/>
    <xf numFmtId="49" fontId="55" fillId="61" borderId="0" xfId="45" applyNumberFormat="1" applyFont="1" applyFill="1" applyAlignment="1">
      <alignment horizontal="center" vertical="center"/>
    </xf>
    <xf numFmtId="49" fontId="55" fillId="61" borderId="39" xfId="45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9" fontId="55" fillId="61" borderId="40" xfId="45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55" fillId="61" borderId="41" xfId="45" applyNumberFormat="1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43" fillId="44" borderId="14" xfId="46" applyFont="1" applyFill="1" applyBorder="1" applyAlignment="1">
      <alignment horizontal="center" vertical="center"/>
    </xf>
    <xf numFmtId="0" fontId="43" fillId="44" borderId="28" xfId="46" applyFont="1" applyFill="1" applyBorder="1" applyAlignment="1">
      <alignment horizontal="center" vertical="center"/>
    </xf>
    <xf numFmtId="0" fontId="41" fillId="0" borderId="0" xfId="45" applyFont="1" applyAlignment="1">
      <alignment horizontal="left" vertical="center"/>
    </xf>
    <xf numFmtId="0" fontId="34" fillId="0" borderId="0" xfId="45" applyFont="1" applyAlignment="1">
      <alignment horizontal="left" vertical="center"/>
    </xf>
    <xf numFmtId="0" fontId="37" fillId="43" borderId="15" xfId="45" applyFont="1" applyFill="1" applyBorder="1" applyAlignment="1">
      <alignment horizontal="center" vertical="center"/>
    </xf>
    <xf numFmtId="0" fontId="37" fillId="43" borderId="16" xfId="45" applyFont="1" applyFill="1" applyBorder="1" applyAlignment="1">
      <alignment horizontal="center" vertical="center"/>
    </xf>
    <xf numFmtId="0" fontId="37" fillId="43" borderId="17" xfId="45" applyFont="1" applyFill="1" applyBorder="1" applyAlignment="1">
      <alignment horizontal="center" vertical="center"/>
    </xf>
    <xf numFmtId="0" fontId="55" fillId="61" borderId="35" xfId="45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53" fillId="36" borderId="34" xfId="45" applyFont="1" applyFill="1" applyBorder="1" applyAlignment="1"/>
    <xf numFmtId="0" fontId="0" fillId="0" borderId="34" xfId="0" applyBorder="1" applyAlignment="1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4" xr:uid="{B4B28E44-0117-422C-A9F4-FBF497C42A88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B5B84D67-4F89-4015-854F-6994667D516A}"/>
    <cellStyle name="Normal 2 2" xfId="46" xr:uid="{307972EE-CA37-4AB3-8FE8-6BC9C2E29EB8}"/>
    <cellStyle name="Normal 3" xfId="45" xr:uid="{90055583-73F6-480B-B67E-86A9ABC4EB1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4">
    <dxf>
      <alignment horizont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(* #,##0.0_);_(* \(#,##0.0\);_(* &quot;-&quot;??_);_(@_)"/>
    </dxf>
    <dxf>
      <numFmt numFmtId="164" formatCode="_(* #,##0.0_);_(* \(#,##0.0\);_(* &quot;-&quot;??_);_(@_)"/>
    </dxf>
    <dxf>
      <numFmt numFmtId="165" formatCode="_(* #,##0_);_(* \(#,##0\);_(* &quot;-&quot;??_);_(@_)"/>
    </dxf>
    <dxf>
      <numFmt numFmtId="164" formatCode="_(* #,##0.0_);_(* \(#,##0.0\);_(* &quot;-&quot;??_);_(@_)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0</xdr:row>
      <xdr:rowOff>66675</xdr:rowOff>
    </xdr:from>
    <xdr:to>
      <xdr:col>22</xdr:col>
      <xdr:colOff>11668</xdr:colOff>
      <xdr:row>11</xdr:row>
      <xdr:rowOff>114614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0E7355-9305-2D18-DBA4-425053DAB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0925" y="66675"/>
          <a:ext cx="15356443" cy="224821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89FC8C-C086-4DC1-9C6B-251D376E6A97}" name="Table334" displayName="Table334" ref="A1:AF76" totalsRowCount="1">
  <autoFilter ref="A1:AF75" xr:uid="{6C338C28-8950-4E2B-80D1-142A006F20E3}"/>
  <sortState xmlns:xlrd2="http://schemas.microsoft.com/office/spreadsheetml/2017/richdata2" ref="A2:AF75">
    <sortCondition ref="A1:A75"/>
  </sortState>
  <tableColumns count="32">
    <tableColumn id="4" xr3:uid="{0A360C4A-B19C-42BC-A7A3-B2E48C278794}" name="Priority Order" dataDxfId="61" totalsRowDxfId="62" totalsRowCellStyle="Normal 2"/>
    <tableColumn id="1" xr3:uid="{BBF1FF8D-56A5-4CD0-B81D-D86DDA4388CF}" name="TableName" dataDxfId="59" totalsRowDxfId="60" totalsRowCellStyle="Normal 2"/>
    <tableColumn id="21" xr3:uid="{8BB6D99F-6CE2-48F6-83EA-C5AA247D66E3}" name="Description" dataDxfId="57" totalsRowDxfId="58" totalsRowCellStyle="Normal 2"/>
    <tableColumn id="34" xr3:uid="{7806729E-9460-4DC5-A600-730C0F248D16}" name="Prefix" dataDxfId="55" totalsRowDxfId="56" totalsRowCellStyle="Normal 2"/>
    <tableColumn id="32" xr3:uid="{49F47F50-2755-4612-81E5-97B106032D72}" name="Last Update Date" dataDxfId="53" totalsRowDxfId="54" totalsRowCellStyle="Normal 2"/>
    <tableColumn id="31" xr3:uid="{55252340-D713-426C-BDF1-8A119FEDF238}" name="Last Update Time" dataDxfId="51" totalsRowDxfId="52" totalsRowCellStyle="Normal 2"/>
    <tableColumn id="33" xr3:uid="{7747C5B0-9862-4C5C-8AC4-C6B659B76645}" name="Merge Keys" dataDxfId="49" totalsRowDxfId="50" totalsRowCellStyle="Normal 2">
      <calculatedColumnFormula array="1">_xlfn.TEXTJOIN(",",TRUE,IF(I2:X2&lt;&gt;"",D2&amp;I2:X2,""))</calculatedColumnFormula>
    </tableColumn>
    <tableColumn id="18" xr3:uid="{8C272582-28B5-46D8-853D-1D02E598CC83}" name="Category" dataDxfId="47" totalsRowDxfId="48" totalsRowCellStyle="Normal 2"/>
    <tableColumn id="15" xr3:uid="{72B522EA-615B-4864-A977-912D564C5624}" name="PK1" dataDxfId="45" totalsRowDxfId="46" totalsRowCellStyle="Normal 2"/>
    <tableColumn id="14" xr3:uid="{7D4DFD3B-CB40-49F7-B582-84D725B6E447}" name="PK2" dataDxfId="43" totalsRowDxfId="44" totalsRowCellStyle="Normal 2"/>
    <tableColumn id="13" xr3:uid="{0C341549-C82C-4F9C-BBB0-1005C1DFBA76}" name="PK3" dataDxfId="41" totalsRowDxfId="42" totalsRowCellStyle="Normal 2"/>
    <tableColumn id="12" xr3:uid="{103158AD-47D6-4D68-A934-A9CF1A8A2283}" name="PK4" dataDxfId="39" totalsRowDxfId="40" totalsRowCellStyle="Normal 2"/>
    <tableColumn id="11" xr3:uid="{66127D39-86A3-47A6-8535-AD73E0F71AA5}" name="PK5" dataDxfId="37" totalsRowDxfId="38" totalsRowCellStyle="Normal 2"/>
    <tableColumn id="17" xr3:uid="{221655DE-736D-4E69-AEC8-436C52D8F26A}" name="PK6" dataDxfId="35" totalsRowDxfId="36" totalsRowCellStyle="Normal 2"/>
    <tableColumn id="16" xr3:uid="{5C2D5588-CC82-4CB2-8BED-3D030358578A}" name="PK7" dataDxfId="33" totalsRowDxfId="34" totalsRowCellStyle="Normal 2"/>
    <tableColumn id="28" xr3:uid="{139BF3CF-01AE-4767-B9C0-FED7F3ED120F}" name="PK8" dataDxfId="31" totalsRowDxfId="32" totalsRowCellStyle="Normal 2"/>
    <tableColumn id="27" xr3:uid="{6C100244-3FBF-4D31-B89C-BD32BC409808}" name="PK9" dataDxfId="29" totalsRowDxfId="30" totalsRowCellStyle="Normal 2"/>
    <tableColumn id="26" xr3:uid="{19839B23-8745-40E2-A617-D4FBA47527FB}" name="PK10" dataDxfId="27" totalsRowDxfId="28" totalsRowCellStyle="Normal 2"/>
    <tableColumn id="25" xr3:uid="{E01BA2F8-FB5C-4457-8C64-81133E286EE9}" name="PK11" dataDxfId="25" totalsRowDxfId="26" totalsRowCellStyle="Normal 2"/>
    <tableColumn id="24" xr3:uid="{0AA78DD9-58B6-4338-AE69-BEFBC656F66D}" name="PK12" dataDxfId="23" totalsRowDxfId="24" totalsRowCellStyle="Normal 2"/>
    <tableColumn id="23" xr3:uid="{AD3B68DA-3EA4-4E86-8BF7-1840127F9699}" name="PK13" dataDxfId="21" totalsRowDxfId="22" totalsRowCellStyle="Normal 2"/>
    <tableColumn id="22" xr3:uid="{C1B3A796-235B-4635-9686-EA5A401431E8}" name="PK14" dataDxfId="19" totalsRowDxfId="20" totalsRowCellStyle="Normal 2"/>
    <tableColumn id="30" xr3:uid="{C5613662-8120-4B28-A492-6E61BC138070}" name="PK15" dataDxfId="17" totalsRowDxfId="18" totalsRowCellStyle="Normal 2"/>
    <tableColumn id="29" xr3:uid="{7CC1BA77-C585-4D49-A413-8D6D6136AB31}" name="PK16" dataDxfId="15" totalsRowDxfId="16" totalsRowCellStyle="Normal 2"/>
    <tableColumn id="2" xr3:uid="{E3E66106-AABA-497C-9F2D-EF23CBCAC65E}" name="Size (MB)" totalsRowLabel=" Total: " dataDxfId="13" totalsRowDxfId="14" totalsRowCellStyle="Normal 2"/>
    <tableColumn id="9" xr3:uid="{BE5E8ECC-BD66-4EBB-9E6E-2BC75A61EFAA}" name="Size (GB)" totalsRowFunction="sum" dataDxfId="11" totalsRowDxfId="12" totalsRowCellStyle="Normal 2">
      <calculatedColumnFormula>+Table334[[#This Row],[Size (MB)]]/1024</calculatedColumnFormula>
    </tableColumn>
    <tableColumn id="3" xr3:uid="{F2A9EC0E-4A7A-4B60-8B1A-C844958D2C30}" name="Owner/Schema" totalsRowCellStyle="Normal 2"/>
    <tableColumn id="5" xr3:uid="{C7CD2D5D-27BC-4ED1-AD5C-58723C43FBB8}" name="Description2" totalsRowCellStyle="Normal 2"/>
    <tableColumn id="8" xr3:uid="{AC3C912F-CFF4-4689-A60F-3D96BFF4F564}" name="Is for POC report" totalsRowCellStyle="Normal 2"/>
    <tableColumn id="6" xr3:uid="{BF7D2D4C-55EA-46B9-AF23-FF78205C2533}" name="Ingestion OCI to Bronze (Mirror, Copy, or Both) for Pilot" totalsRowCellStyle="Normal 2"/>
    <tableColumn id="7" xr3:uid="{E5A6C02D-6EB0-4402-A55D-0F7AB2FEB63F}" name="Transform Bronze to Silver?" totalsRowCellStyle="Normal 2"/>
    <tableColumn id="10" xr3:uid="{452071EF-1A6A-413F-8AD9-C84F1B53A6D7}" name="Bronze to Silver Truncate &amp; Reload vs Delta" totalsRow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1447F6-4025-40C1-B864-7D834FD3DABD}" name="Table14" displayName="Table14" ref="A1:B54" totalsRowShown="0" headerRowDxfId="10" headerRowBorderDxfId="8" tableBorderDxfId="9">
  <autoFilter ref="A1:B54" xr:uid="{EF7BE4DA-3AEA-4D10-8BE6-88140F8EEC6F}"/>
  <tableColumns count="2">
    <tableColumn id="8" xr3:uid="{D8FD4EB3-9575-4743-BEB5-5C1C94CB2261}" name="Tables" dataDxfId="7"/>
    <tableColumn id="13" xr3:uid="{45A54153-E2FB-40EB-B849-9D6F292916A0}" name="Spec 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7BE4DA-3AEA-4D10-8BE6-88140F8EEC6F}" name="Table1" displayName="Table1" ref="A1:N325" totalsRowShown="0" headerRowDxfId="6" headerRowBorderDxfId="4" tableBorderDxfId="5">
  <autoFilter ref="A1:N325" xr:uid="{EF7BE4DA-3AEA-4D10-8BE6-88140F8EEC6F}">
    <filterColumn colId="13">
      <filters>
        <filter val="Extended Master Data 1"/>
        <filter val="Extended Master Data 2"/>
      </filters>
    </filterColumn>
  </autoFilter>
  <sortState xmlns:xlrd2="http://schemas.microsoft.com/office/spreadsheetml/2017/richdata2" ref="A2:N325">
    <sortCondition ref="N1:N325"/>
  </sortState>
  <tableColumns count="14">
    <tableColumn id="1" xr3:uid="{1768EBD2-C884-46D2-AA19-17B32037D776}" name="#"/>
    <tableColumn id="14" xr3:uid="{6AB96EB1-15FE-46BD-B05E-9465104C5548}" name="Last Execution"/>
    <tableColumn id="2" xr3:uid="{7719995F-2430-438A-97C4-924ED7686D10}" name="Report"/>
    <tableColumn id="3" xr3:uid="{5A2BAAED-0911-4E04-9A82-8E331B048887}" name="Executions"/>
    <tableColumn id="4" xr3:uid="{8D5266D7-90E2-4E6E-8918-B1B1D8A03E29}" name="No of Users"/>
    <tableColumn id="5" xr3:uid="{A312FD91-0399-4FC6-9CB7-6CE473FAB1DF}" name="Owner"/>
    <tableColumn id="6" xr3:uid="{6333CC5B-159E-46F5-9553-0AF66FBBE37C}" name="Complexity" dataDxfId="3"/>
    <tableColumn id="7" xr3:uid="{B8B82386-96BC-4EB2-80AF-2D59AA783EB7}" name="Template" dataDxfId="2"/>
    <tableColumn id="8" xr3:uid="{9E36B651-5B9D-4198-8836-807F392A3BD5}" name="Tables" dataDxfId="1"/>
    <tableColumn id="9" xr3:uid="{7536A037-0242-4186-ADD4-E3262516FB2E}" name="Refresh Frequency"/>
    <tableColumn id="10" xr3:uid="{B6D50D1D-49BD-43C4-A546-5CA703DC60CB}" name="Primary Category"/>
    <tableColumn id="11" xr3:uid="{4D4D57F5-07DC-46C4-BD94-C9CAE99E27A9}" name="Secondary Category"/>
    <tableColumn id="12" xr3:uid="{19199C54-46DC-4F37-9F5D-6101287205CC}" name="Spec" dataDxfId="0"/>
    <tableColumn id="13" xr3:uid="{9546EEDB-189A-47F4-AEF7-01B88956B5ED}" name="Spec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../../../../../:w:/s/MSFabricPilot/IQA7eDTRiFVfQJTCNqjJdHBvAQ4nQh6r8p_dqZG7_RmM3ao?e=QudIxP" TargetMode="External"/><Relationship Id="rId21" Type="http://schemas.openxmlformats.org/officeDocument/2006/relationships/hyperlink" Target="../../../../../:w:/s/MSFabricPilot/IQA7eDTRiFVfQJTCNqjJdHBvAQ4nQh6r8p_dqZG7_RmM3ao?e=QudIxP" TargetMode="External"/><Relationship Id="rId42" Type="http://schemas.openxmlformats.org/officeDocument/2006/relationships/hyperlink" Target="../../../../../:w:/s/MSFabricPilot/IQA7eDTRiFVfQJTCNqjJdHBvAQ4nQh6r8p_dqZG7_RmM3ao?e=QudIxP" TargetMode="External"/><Relationship Id="rId47" Type="http://schemas.openxmlformats.org/officeDocument/2006/relationships/hyperlink" Target="../../../../../:w:/s/MSFabricPilot/IQA7eDTRiFVfQJTCNqjJdHBvAQ4nQh6r8p_dqZG7_RmM3ao?e=QudIxP" TargetMode="External"/><Relationship Id="rId63" Type="http://schemas.openxmlformats.org/officeDocument/2006/relationships/hyperlink" Target="../../../../../:w:/s/MSFabricPilot/IQA7eDTRiFVfQJTCNqjJdHBvAQ4nQh6r8p_dqZG7_RmM3ao?e=QudIxP" TargetMode="External"/><Relationship Id="rId68" Type="http://schemas.openxmlformats.org/officeDocument/2006/relationships/hyperlink" Target="../../../../../:w:/s/MSFabricPilot/IQA7eDTRiFVfQJTCNqjJdHBvAQ4nQh6r8p_dqZG7_RmM3ao?e=QudIxP" TargetMode="External"/><Relationship Id="rId84" Type="http://schemas.openxmlformats.org/officeDocument/2006/relationships/hyperlink" Target="../../../../../:w:/s/MSFabricPilot/IQDE81MY1y_7S74VSVpldnSbAZajxokOHp4-T1zvTaFltj0?e=TN8znv" TargetMode="External"/><Relationship Id="rId89" Type="http://schemas.openxmlformats.org/officeDocument/2006/relationships/hyperlink" Target="../../../../../:w:/s/MSFabricPilot/IQDE81MY1y_7S74VSVpldnSbAZajxokOHp4-T1zvTaFltj0?e=TN8znv" TargetMode="External"/><Relationship Id="rId16" Type="http://schemas.openxmlformats.org/officeDocument/2006/relationships/hyperlink" Target="../../../../../:w:/s/MSFabricPilot/IQA7eDTRiFVfQJTCNqjJdHBvAQ4nQh6r8p_dqZG7_RmM3ao?e=QudIxP" TargetMode="External"/><Relationship Id="rId107" Type="http://schemas.openxmlformats.org/officeDocument/2006/relationships/table" Target="../tables/table3.xml"/><Relationship Id="rId11" Type="http://schemas.openxmlformats.org/officeDocument/2006/relationships/hyperlink" Target="../../../../../:w:/s/MSFabricPilot/IQA7eDTRiFVfQJTCNqjJdHBvAQ4nQh6r8p_dqZG7_RmM3ao?e=QudIxP" TargetMode="External"/><Relationship Id="rId32" Type="http://schemas.openxmlformats.org/officeDocument/2006/relationships/hyperlink" Target="../../../../../:w:/s/MSFabricPilot/IQA7eDTRiFVfQJTCNqjJdHBvAQ4nQh6r8p_dqZG7_RmM3ao?e=QudIxP" TargetMode="External"/><Relationship Id="rId37" Type="http://schemas.openxmlformats.org/officeDocument/2006/relationships/hyperlink" Target="../../../../../:w:/s/MSFabricPilot/IQA7eDTRiFVfQJTCNqjJdHBvAQ4nQh6r8p_dqZG7_RmM3ao?e=QudIxP" TargetMode="External"/><Relationship Id="rId53" Type="http://schemas.openxmlformats.org/officeDocument/2006/relationships/hyperlink" Target="../../../../../:w:/s/MSFabricPilot/IQA7eDTRiFVfQJTCNqjJdHBvAQ4nQh6r8p_dqZG7_RmM3ao?e=QudIxP" TargetMode="External"/><Relationship Id="rId58" Type="http://schemas.openxmlformats.org/officeDocument/2006/relationships/hyperlink" Target="../../../../../:w:/s/MSFabricPilot/IQA7eDTRiFVfQJTCNqjJdHBvAQ4nQh6r8p_dqZG7_RmM3ao?e=QudIxP" TargetMode="External"/><Relationship Id="rId74" Type="http://schemas.openxmlformats.org/officeDocument/2006/relationships/hyperlink" Target="../../../../../:w:/s/MSFabricPilot/IQDE81MY1y_7S74VSVpldnSbAZajxokOHp4-T1zvTaFltj0?e=TN8znv" TargetMode="External"/><Relationship Id="rId79" Type="http://schemas.openxmlformats.org/officeDocument/2006/relationships/hyperlink" Target="../../../../../:w:/s/MSFabricPilot/IQDE81MY1y_7S74VSVpldnSbAZajxokOHp4-T1zvTaFltj0?e=TN8znv" TargetMode="External"/><Relationship Id="rId102" Type="http://schemas.openxmlformats.org/officeDocument/2006/relationships/hyperlink" Target="../../../../../:w:/s/MSFabricPilot/IQCzLCjchx3FRrSzIJzu6pNgAXbZKi41hIXtOmo_ZtXblkA?e=DijUqz" TargetMode="External"/><Relationship Id="rId5" Type="http://schemas.openxmlformats.org/officeDocument/2006/relationships/hyperlink" Target="../../../../../:w:/s/MSFabricPilot/IQA7eDTRiFVfQJTCNqjJdHBvAQ4nQh6r8p_dqZG7_RmM3ao?e=QudIxP" TargetMode="External"/><Relationship Id="rId90" Type="http://schemas.openxmlformats.org/officeDocument/2006/relationships/hyperlink" Target="../../../../../:w:/s/MSFabricPilot/IQDE81MY1y_7S74VSVpldnSbAZajxokOHp4-T1zvTaFltj0?e=TN8znv" TargetMode="External"/><Relationship Id="rId95" Type="http://schemas.openxmlformats.org/officeDocument/2006/relationships/hyperlink" Target="../../../../../:w:/s/MSFabricPilot/IQCzLCjchx3FRrSzIJzu6pNgAXbZKi41hIXtOmo_ZtXblkA?e=DijUqz" TargetMode="External"/><Relationship Id="rId22" Type="http://schemas.openxmlformats.org/officeDocument/2006/relationships/hyperlink" Target="../../../../../:w:/s/MSFabricPilot/IQA7eDTRiFVfQJTCNqjJdHBvAQ4nQh6r8p_dqZG7_RmM3ao?e=QudIxP" TargetMode="External"/><Relationship Id="rId27" Type="http://schemas.openxmlformats.org/officeDocument/2006/relationships/hyperlink" Target="../../../../../:w:/s/MSFabricPilot/IQA7eDTRiFVfQJTCNqjJdHBvAQ4nQh6r8p_dqZG7_RmM3ao?e=QudIxP" TargetMode="External"/><Relationship Id="rId43" Type="http://schemas.openxmlformats.org/officeDocument/2006/relationships/hyperlink" Target="../../../../../:w:/s/MSFabricPilot/IQA7eDTRiFVfQJTCNqjJdHBvAQ4nQh6r8p_dqZG7_RmM3ao?e=QudIxP" TargetMode="External"/><Relationship Id="rId48" Type="http://schemas.openxmlformats.org/officeDocument/2006/relationships/hyperlink" Target="../../../../../:w:/s/MSFabricPilot/IQA7eDTRiFVfQJTCNqjJdHBvAQ4nQh6r8p_dqZG7_RmM3ao?e=QudIxP" TargetMode="External"/><Relationship Id="rId64" Type="http://schemas.openxmlformats.org/officeDocument/2006/relationships/hyperlink" Target="../../../../../:w:/s/MSFabricPilot/IQA7eDTRiFVfQJTCNqjJdHBvAQ4nQh6r8p_dqZG7_RmM3ao?e=QudIxP" TargetMode="External"/><Relationship Id="rId69" Type="http://schemas.openxmlformats.org/officeDocument/2006/relationships/hyperlink" Target="../../../../../:w:/s/MSFabricPilot/IQA7eDTRiFVfQJTCNqjJdHBvAQ4nQh6r8p_dqZG7_RmM3ao?e=QudIxP" TargetMode="External"/><Relationship Id="rId80" Type="http://schemas.openxmlformats.org/officeDocument/2006/relationships/hyperlink" Target="../../../../../:w:/s/MSFabricPilot/IQDE81MY1y_7S74VSVpldnSbAZajxokOHp4-T1zvTaFltj0?e=TN8znv" TargetMode="External"/><Relationship Id="rId85" Type="http://schemas.openxmlformats.org/officeDocument/2006/relationships/hyperlink" Target="../../../../../:w:/s/MSFabricPilot/IQDE81MY1y_7S74VSVpldnSbAZajxokOHp4-T1zvTaFltj0?e=TN8znv" TargetMode="External"/><Relationship Id="rId12" Type="http://schemas.openxmlformats.org/officeDocument/2006/relationships/hyperlink" Target="../../../../../:w:/s/MSFabricPilot/IQA7eDTRiFVfQJTCNqjJdHBvAQ4nQh6r8p_dqZG7_RmM3ao?e=QudIxP" TargetMode="External"/><Relationship Id="rId17" Type="http://schemas.openxmlformats.org/officeDocument/2006/relationships/hyperlink" Target="../../../../../:w:/s/MSFabricPilot/IQA7eDTRiFVfQJTCNqjJdHBvAQ4nQh6r8p_dqZG7_RmM3ao?e=QudIxP" TargetMode="External"/><Relationship Id="rId33" Type="http://schemas.openxmlformats.org/officeDocument/2006/relationships/hyperlink" Target="../../../../../:w:/s/MSFabricPilot/IQA7eDTRiFVfQJTCNqjJdHBvAQ4nQh6r8p_dqZG7_RmM3ao?e=QudIxP" TargetMode="External"/><Relationship Id="rId38" Type="http://schemas.openxmlformats.org/officeDocument/2006/relationships/hyperlink" Target="../../../../../:w:/s/MSFabricPilot/IQA7eDTRiFVfQJTCNqjJdHBvAQ4nQh6r8p_dqZG7_RmM3ao?e=QudIxP" TargetMode="External"/><Relationship Id="rId59" Type="http://schemas.openxmlformats.org/officeDocument/2006/relationships/hyperlink" Target="../../../../../:w:/s/MSFabricPilot/IQA7eDTRiFVfQJTCNqjJdHBvAQ4nQh6r8p_dqZG7_RmM3ao?e=QudIxP" TargetMode="External"/><Relationship Id="rId103" Type="http://schemas.openxmlformats.org/officeDocument/2006/relationships/hyperlink" Target="../../../../../:w:/s/MSFabricPilot/IQCzLCjchx3FRrSzIJzu6pNgAXbZKi41hIXtOmo_ZtXblkA?e=DijUqz" TargetMode="External"/><Relationship Id="rId20" Type="http://schemas.openxmlformats.org/officeDocument/2006/relationships/hyperlink" Target="../../../../../:w:/s/MSFabricPilot/IQA7eDTRiFVfQJTCNqjJdHBvAQ4nQh6r8p_dqZG7_RmM3ao?e=QudIxP" TargetMode="External"/><Relationship Id="rId41" Type="http://schemas.openxmlformats.org/officeDocument/2006/relationships/hyperlink" Target="../../../../../:w:/s/MSFabricPilot/IQA7eDTRiFVfQJTCNqjJdHBvAQ4nQh6r8p_dqZG7_RmM3ao?e=QudIxP" TargetMode="External"/><Relationship Id="rId54" Type="http://schemas.openxmlformats.org/officeDocument/2006/relationships/hyperlink" Target="../../../../../:w:/s/MSFabricPilot/IQA7eDTRiFVfQJTCNqjJdHBvAQ4nQh6r8p_dqZG7_RmM3ao?e=QudIxP" TargetMode="External"/><Relationship Id="rId62" Type="http://schemas.openxmlformats.org/officeDocument/2006/relationships/hyperlink" Target="../../../../../:w:/s/MSFabricPilot/IQA7eDTRiFVfQJTCNqjJdHBvAQ4nQh6r8p_dqZG7_RmM3ao?e=QudIxP" TargetMode="External"/><Relationship Id="rId70" Type="http://schemas.openxmlformats.org/officeDocument/2006/relationships/hyperlink" Target="../../../../../:w:/s/MSFabricPilot/IQA7eDTRiFVfQJTCNqjJdHBvAQ4nQh6r8p_dqZG7_RmM3ao?e=QudIxP" TargetMode="External"/><Relationship Id="rId75" Type="http://schemas.openxmlformats.org/officeDocument/2006/relationships/hyperlink" Target="../../../../../:w:/s/MSFabricPilot/IQDE81MY1y_7S74VSVpldnSbAZajxokOHp4-T1zvTaFltj0?e=TN8znv" TargetMode="External"/><Relationship Id="rId83" Type="http://schemas.openxmlformats.org/officeDocument/2006/relationships/hyperlink" Target="../../../../../:w:/s/MSFabricPilot/IQDE81MY1y_7S74VSVpldnSbAZajxokOHp4-T1zvTaFltj0?e=TN8znv" TargetMode="External"/><Relationship Id="rId88" Type="http://schemas.openxmlformats.org/officeDocument/2006/relationships/hyperlink" Target="../../../../../:w:/s/MSFabricPilot/IQDE81MY1y_7S74VSVpldnSbAZajxokOHp4-T1zvTaFltj0?e=TN8znv" TargetMode="External"/><Relationship Id="rId91" Type="http://schemas.openxmlformats.org/officeDocument/2006/relationships/hyperlink" Target="../../../../../:w:/s/MSFabricPilot/IQDE81MY1y_7S74VSVpldnSbAZajxokOHp4-T1zvTaFltj0?e=TN8znv" TargetMode="External"/><Relationship Id="rId96" Type="http://schemas.openxmlformats.org/officeDocument/2006/relationships/hyperlink" Target="../../../../../:w:/s/MSFabricPilot/IQCzLCjchx3FRrSzIJzu6pNgAXbZKi41hIXtOmo_ZtXblkA?e=DijUqz" TargetMode="External"/><Relationship Id="rId1" Type="http://schemas.openxmlformats.org/officeDocument/2006/relationships/hyperlink" Target="../../../../../:w:/s/MSFabricPilot/IQA7eDTRiFVfQJTCNqjJdHBvAQ4nQh6r8p_dqZG7_RmM3ao?e=QudIxP" TargetMode="External"/><Relationship Id="rId6" Type="http://schemas.openxmlformats.org/officeDocument/2006/relationships/hyperlink" Target="../../../../../:w:/s/MSFabricPilot/IQA7eDTRiFVfQJTCNqjJdHBvAQ4nQh6r8p_dqZG7_RmM3ao?e=QudIxP" TargetMode="External"/><Relationship Id="rId15" Type="http://schemas.openxmlformats.org/officeDocument/2006/relationships/hyperlink" Target="../../../../../:w:/s/MSFabricPilot/IQA7eDTRiFVfQJTCNqjJdHBvAQ4nQh6r8p_dqZG7_RmM3ao?e=QudIxP" TargetMode="External"/><Relationship Id="rId23" Type="http://schemas.openxmlformats.org/officeDocument/2006/relationships/hyperlink" Target="../../../../../:w:/s/MSFabricPilot/IQA7eDTRiFVfQJTCNqjJdHBvAQ4nQh6r8p_dqZG7_RmM3ao?e=QudIxP" TargetMode="External"/><Relationship Id="rId28" Type="http://schemas.openxmlformats.org/officeDocument/2006/relationships/hyperlink" Target="../../../../../:w:/s/MSFabricPilot/IQA7eDTRiFVfQJTCNqjJdHBvAQ4nQh6r8p_dqZG7_RmM3ao?e=QudIxP" TargetMode="External"/><Relationship Id="rId36" Type="http://schemas.openxmlformats.org/officeDocument/2006/relationships/hyperlink" Target="../../../../../:w:/s/MSFabricPilot/IQA7eDTRiFVfQJTCNqjJdHBvAQ4nQh6r8p_dqZG7_RmM3ao?e=QudIxP" TargetMode="External"/><Relationship Id="rId49" Type="http://schemas.openxmlformats.org/officeDocument/2006/relationships/hyperlink" Target="../../../../../:w:/s/MSFabricPilot/IQA7eDTRiFVfQJTCNqjJdHBvAQ4nQh6r8p_dqZG7_RmM3ao?e=QudIxP" TargetMode="External"/><Relationship Id="rId57" Type="http://schemas.openxmlformats.org/officeDocument/2006/relationships/hyperlink" Target="../../../../../:w:/s/MSFabricPilot/IQA7eDTRiFVfQJTCNqjJdHBvAQ4nQh6r8p_dqZG7_RmM3ao?e=QudIxP" TargetMode="External"/><Relationship Id="rId106" Type="http://schemas.openxmlformats.org/officeDocument/2006/relationships/printerSettings" Target="../printerSettings/printerSettings4.bin"/><Relationship Id="rId10" Type="http://schemas.openxmlformats.org/officeDocument/2006/relationships/hyperlink" Target="../../../../../:w:/s/MSFabricPilot/IQA7eDTRiFVfQJTCNqjJdHBvAQ4nQh6r8p_dqZG7_RmM3ao?e=QudIxP" TargetMode="External"/><Relationship Id="rId31" Type="http://schemas.openxmlformats.org/officeDocument/2006/relationships/hyperlink" Target="../../../../../:w:/s/MSFabricPilot/IQA7eDTRiFVfQJTCNqjJdHBvAQ4nQh6r8p_dqZG7_RmM3ao?e=QudIxP" TargetMode="External"/><Relationship Id="rId44" Type="http://schemas.openxmlformats.org/officeDocument/2006/relationships/hyperlink" Target="../../../../../:w:/s/MSFabricPilot/IQA7eDTRiFVfQJTCNqjJdHBvAQ4nQh6r8p_dqZG7_RmM3ao?e=QudIxP" TargetMode="External"/><Relationship Id="rId52" Type="http://schemas.openxmlformats.org/officeDocument/2006/relationships/hyperlink" Target="../../../../../:w:/s/MSFabricPilot/IQA7eDTRiFVfQJTCNqjJdHBvAQ4nQh6r8p_dqZG7_RmM3ao?e=QudIxP" TargetMode="External"/><Relationship Id="rId60" Type="http://schemas.openxmlformats.org/officeDocument/2006/relationships/hyperlink" Target="../../../../../:w:/s/MSFabricPilot/IQA7eDTRiFVfQJTCNqjJdHBvAQ4nQh6r8p_dqZG7_RmM3ao?e=QudIxP" TargetMode="External"/><Relationship Id="rId65" Type="http://schemas.openxmlformats.org/officeDocument/2006/relationships/hyperlink" Target="../../../../../:w:/s/MSFabricPilot/IQA7eDTRiFVfQJTCNqjJdHBvAQ4nQh6r8p_dqZG7_RmM3ao?e=QudIxP" TargetMode="External"/><Relationship Id="rId73" Type="http://schemas.openxmlformats.org/officeDocument/2006/relationships/hyperlink" Target="../../../../../:w:/s/MSFabricPilot/IQDE81MY1y_7S74VSVpldnSbAZajxokOHp4-T1zvTaFltj0?e=TN8znv" TargetMode="External"/><Relationship Id="rId78" Type="http://schemas.openxmlformats.org/officeDocument/2006/relationships/hyperlink" Target="../../../../../:w:/s/MSFabricPilot/IQDE81MY1y_7S74VSVpldnSbAZajxokOHp4-T1zvTaFltj0?e=TN8znv" TargetMode="External"/><Relationship Id="rId81" Type="http://schemas.openxmlformats.org/officeDocument/2006/relationships/hyperlink" Target="../../../../../:w:/s/MSFabricPilot/IQDE81MY1y_7S74VSVpldnSbAZajxokOHp4-T1zvTaFltj0?e=TN8znv" TargetMode="External"/><Relationship Id="rId86" Type="http://schemas.openxmlformats.org/officeDocument/2006/relationships/hyperlink" Target="../../../../../:w:/s/MSFabricPilot/IQDE81MY1y_7S74VSVpldnSbAZajxokOHp4-T1zvTaFltj0?e=TN8znv" TargetMode="External"/><Relationship Id="rId94" Type="http://schemas.openxmlformats.org/officeDocument/2006/relationships/hyperlink" Target="../../../../../:w:/s/MSFabricPilot/IQDE81MY1y_7S74VSVpldnSbAZajxokOHp4-T1zvTaFltj0?e=TN8znv" TargetMode="External"/><Relationship Id="rId99" Type="http://schemas.openxmlformats.org/officeDocument/2006/relationships/hyperlink" Target="../../../../../:w:/s/MSFabricPilot/IQCzLCjchx3FRrSzIJzu6pNgAXbZKi41hIXtOmo_ZtXblkA?e=DijUqz" TargetMode="External"/><Relationship Id="rId101" Type="http://schemas.openxmlformats.org/officeDocument/2006/relationships/hyperlink" Target="../../../../../:w:/s/MSFabricPilot/IQCzLCjchx3FRrSzIJzu6pNgAXbZKi41hIXtOmo_ZtXblkA?e=DijUqz" TargetMode="External"/><Relationship Id="rId4" Type="http://schemas.openxmlformats.org/officeDocument/2006/relationships/hyperlink" Target="../../../../../:w:/s/MSFabricPilot/IQA7eDTRiFVfQJTCNqjJdHBvAQ4nQh6r8p_dqZG7_RmM3ao?e=QudIxP" TargetMode="External"/><Relationship Id="rId9" Type="http://schemas.openxmlformats.org/officeDocument/2006/relationships/hyperlink" Target="../../../../../:w:/s/MSFabricPilot/IQA7eDTRiFVfQJTCNqjJdHBvAQ4nQh6r8p_dqZG7_RmM3ao?e=QudIxP" TargetMode="External"/><Relationship Id="rId13" Type="http://schemas.openxmlformats.org/officeDocument/2006/relationships/hyperlink" Target="../../../../../:w:/s/MSFabricPilot/IQA7eDTRiFVfQJTCNqjJdHBvAQ4nQh6r8p_dqZG7_RmM3ao?e=QudIxP" TargetMode="External"/><Relationship Id="rId18" Type="http://schemas.openxmlformats.org/officeDocument/2006/relationships/hyperlink" Target="../../../../../:w:/s/MSFabricPilot/IQA7eDTRiFVfQJTCNqjJdHBvAQ4nQh6r8p_dqZG7_RmM3ao?e=QudIxP" TargetMode="External"/><Relationship Id="rId39" Type="http://schemas.openxmlformats.org/officeDocument/2006/relationships/hyperlink" Target="../../../../../:w:/s/MSFabricPilot/IQA7eDTRiFVfQJTCNqjJdHBvAQ4nQh6r8p_dqZG7_RmM3ao?e=QudIxP" TargetMode="External"/><Relationship Id="rId34" Type="http://schemas.openxmlformats.org/officeDocument/2006/relationships/hyperlink" Target="../../../../../:w:/s/MSFabricPilot/IQA7eDTRiFVfQJTCNqjJdHBvAQ4nQh6r8p_dqZG7_RmM3ao?e=QudIxP" TargetMode="External"/><Relationship Id="rId50" Type="http://schemas.openxmlformats.org/officeDocument/2006/relationships/hyperlink" Target="../../../../../:w:/s/MSFabricPilot/IQA7eDTRiFVfQJTCNqjJdHBvAQ4nQh6r8p_dqZG7_RmM3ao?e=QudIxP" TargetMode="External"/><Relationship Id="rId55" Type="http://schemas.openxmlformats.org/officeDocument/2006/relationships/hyperlink" Target="../../../../../:w:/s/MSFabricPilot/IQA7eDTRiFVfQJTCNqjJdHBvAQ4nQh6r8p_dqZG7_RmM3ao?e=QudIxP" TargetMode="External"/><Relationship Id="rId76" Type="http://schemas.openxmlformats.org/officeDocument/2006/relationships/hyperlink" Target="../../../../../:w:/s/MSFabricPilot/IQDE81MY1y_7S74VSVpldnSbAZajxokOHp4-T1zvTaFltj0?e=TN8znv" TargetMode="External"/><Relationship Id="rId97" Type="http://schemas.openxmlformats.org/officeDocument/2006/relationships/hyperlink" Target="../../../../../:w:/s/MSFabricPilot/IQCzLCjchx3FRrSzIJzu6pNgAXbZKi41hIXtOmo_ZtXblkA?e=DijUqz" TargetMode="External"/><Relationship Id="rId104" Type="http://schemas.openxmlformats.org/officeDocument/2006/relationships/hyperlink" Target="../../../../../:w:/s/MSFabricPilot/IQCzLCjchx3FRrSzIJzu6pNgAXbZKi41hIXtOmo_ZtXblkA?e=DijUqz" TargetMode="External"/><Relationship Id="rId7" Type="http://schemas.openxmlformats.org/officeDocument/2006/relationships/hyperlink" Target="../../../../../:w:/s/MSFabricPilot/IQA7eDTRiFVfQJTCNqjJdHBvAQ4nQh6r8p_dqZG7_RmM3ao?e=QudIxP" TargetMode="External"/><Relationship Id="rId71" Type="http://schemas.openxmlformats.org/officeDocument/2006/relationships/hyperlink" Target="../../../../../:w:/s/MSFabricPilot/IQA7eDTRiFVfQJTCNqjJdHBvAQ4nQh6r8p_dqZG7_RmM3ao?e=QudIxP" TargetMode="External"/><Relationship Id="rId92" Type="http://schemas.openxmlformats.org/officeDocument/2006/relationships/hyperlink" Target="../../../../../:w:/s/MSFabricPilot/IQDE81MY1y_7S74VSVpldnSbAZajxokOHp4-T1zvTaFltj0?e=TN8znv" TargetMode="External"/><Relationship Id="rId2" Type="http://schemas.openxmlformats.org/officeDocument/2006/relationships/hyperlink" Target="../../../../../:w:/s/MSFabricPilot/IQA7eDTRiFVfQJTCNqjJdHBvAQ4nQh6r8p_dqZG7_RmM3ao?e=QudIxP" TargetMode="External"/><Relationship Id="rId29" Type="http://schemas.openxmlformats.org/officeDocument/2006/relationships/hyperlink" Target="../../../../../:w:/s/MSFabricPilot/IQA7eDTRiFVfQJTCNqjJdHBvAQ4nQh6r8p_dqZG7_RmM3ao?e=QudIxP" TargetMode="External"/><Relationship Id="rId24" Type="http://schemas.openxmlformats.org/officeDocument/2006/relationships/hyperlink" Target="../../../../../:w:/s/MSFabricPilot/IQA7eDTRiFVfQJTCNqjJdHBvAQ4nQh6r8p_dqZG7_RmM3ao?e=QudIxP" TargetMode="External"/><Relationship Id="rId40" Type="http://schemas.openxmlformats.org/officeDocument/2006/relationships/hyperlink" Target="../../../../../:w:/s/MSFabricPilot/IQA7eDTRiFVfQJTCNqjJdHBvAQ4nQh6r8p_dqZG7_RmM3ao?e=QudIxP" TargetMode="External"/><Relationship Id="rId45" Type="http://schemas.openxmlformats.org/officeDocument/2006/relationships/hyperlink" Target="../../../../../:w:/s/MSFabricPilot/IQA7eDTRiFVfQJTCNqjJdHBvAQ4nQh6r8p_dqZG7_RmM3ao?e=QudIxP" TargetMode="External"/><Relationship Id="rId66" Type="http://schemas.openxmlformats.org/officeDocument/2006/relationships/hyperlink" Target="../../../../../:w:/s/MSFabricPilot/IQA7eDTRiFVfQJTCNqjJdHBvAQ4nQh6r8p_dqZG7_RmM3ao?e=QudIxP" TargetMode="External"/><Relationship Id="rId87" Type="http://schemas.openxmlformats.org/officeDocument/2006/relationships/hyperlink" Target="../../../../../:w:/s/MSFabricPilot/IQDE81MY1y_7S74VSVpldnSbAZajxokOHp4-T1zvTaFltj0?e=TN8znv" TargetMode="External"/><Relationship Id="rId61" Type="http://schemas.openxmlformats.org/officeDocument/2006/relationships/hyperlink" Target="../../../../../:w:/s/MSFabricPilot/IQA7eDTRiFVfQJTCNqjJdHBvAQ4nQh6r8p_dqZG7_RmM3ao?e=QudIxP" TargetMode="External"/><Relationship Id="rId82" Type="http://schemas.openxmlformats.org/officeDocument/2006/relationships/hyperlink" Target="../../../../../:w:/s/MSFabricPilot/IQDE81MY1y_7S74VSVpldnSbAZajxokOHp4-T1zvTaFltj0?e=TN8znv" TargetMode="External"/><Relationship Id="rId19" Type="http://schemas.openxmlformats.org/officeDocument/2006/relationships/hyperlink" Target="../../../../../:w:/s/MSFabricPilot/IQA7eDTRiFVfQJTCNqjJdHBvAQ4nQh6r8p_dqZG7_RmM3ao?e=QudIxP" TargetMode="External"/><Relationship Id="rId14" Type="http://schemas.openxmlformats.org/officeDocument/2006/relationships/hyperlink" Target="../../../../../:w:/s/MSFabricPilot/IQA7eDTRiFVfQJTCNqjJdHBvAQ4nQh6r8p_dqZG7_RmM3ao?e=QudIxP" TargetMode="External"/><Relationship Id="rId30" Type="http://schemas.openxmlformats.org/officeDocument/2006/relationships/hyperlink" Target="../../../../../:w:/s/MSFabricPilot/IQA7eDTRiFVfQJTCNqjJdHBvAQ4nQh6r8p_dqZG7_RmM3ao?e=QudIxP" TargetMode="External"/><Relationship Id="rId35" Type="http://schemas.openxmlformats.org/officeDocument/2006/relationships/hyperlink" Target="../../../../../:w:/s/MSFabricPilot/IQA7eDTRiFVfQJTCNqjJdHBvAQ4nQh6r8p_dqZG7_RmM3ao?e=QudIxP" TargetMode="External"/><Relationship Id="rId56" Type="http://schemas.openxmlformats.org/officeDocument/2006/relationships/hyperlink" Target="../../../../../:w:/s/MSFabricPilot/IQA7eDTRiFVfQJTCNqjJdHBvAQ4nQh6r8p_dqZG7_RmM3ao?e=QudIxP" TargetMode="External"/><Relationship Id="rId77" Type="http://schemas.openxmlformats.org/officeDocument/2006/relationships/hyperlink" Target="../../../../../:w:/s/MSFabricPilot/IQDE81MY1y_7S74VSVpldnSbAZajxokOHp4-T1zvTaFltj0?e=TN8znv" TargetMode="External"/><Relationship Id="rId100" Type="http://schemas.openxmlformats.org/officeDocument/2006/relationships/hyperlink" Target="../../../../../:w:/s/MSFabricPilot/IQCzLCjchx3FRrSzIJzu6pNgAXbZKi41hIXtOmo_ZtXblkA?e=DijUqz" TargetMode="External"/><Relationship Id="rId105" Type="http://schemas.openxmlformats.org/officeDocument/2006/relationships/hyperlink" Target="../../../../../:w:/s/MSFabricPilot/IQCzLCjchx3FRrSzIJzu6pNgAXbZKi41hIXtOmo_ZtXblkA?e=DijUqz" TargetMode="External"/><Relationship Id="rId8" Type="http://schemas.openxmlformats.org/officeDocument/2006/relationships/hyperlink" Target="../../../../../:w:/s/MSFabricPilot/IQA7eDTRiFVfQJTCNqjJdHBvAQ4nQh6r8p_dqZG7_RmM3ao?e=QudIxP" TargetMode="External"/><Relationship Id="rId51" Type="http://schemas.openxmlformats.org/officeDocument/2006/relationships/hyperlink" Target="../../../../../:w:/s/MSFabricPilot/IQA7eDTRiFVfQJTCNqjJdHBvAQ4nQh6r8p_dqZG7_RmM3ao?e=QudIxP" TargetMode="External"/><Relationship Id="rId72" Type="http://schemas.openxmlformats.org/officeDocument/2006/relationships/hyperlink" Target="../../../../../:w:/s/MSFabricPilot/IQA7eDTRiFVfQJTCNqjJdHBvAQ4nQh6r8p_dqZG7_RmM3ao?e=QudIxP" TargetMode="External"/><Relationship Id="rId93" Type="http://schemas.openxmlformats.org/officeDocument/2006/relationships/hyperlink" Target="../../../../../:w:/s/MSFabricPilot/IQDE81MY1y_7S74VSVpldnSbAZajxokOHp4-T1zvTaFltj0?e=TN8znv" TargetMode="External"/><Relationship Id="rId98" Type="http://schemas.openxmlformats.org/officeDocument/2006/relationships/hyperlink" Target="../../../../../:w:/s/MSFabricPilot/IQCzLCjchx3FRrSzIJzu6pNgAXbZKi41hIXtOmo_ZtXblkA?e=DijUqz" TargetMode="External"/><Relationship Id="rId3" Type="http://schemas.openxmlformats.org/officeDocument/2006/relationships/hyperlink" Target="../../../../../:w:/s/MSFabricPilot/IQA7eDTRiFVfQJTCNqjJdHBvAQ4nQh6r8p_dqZG7_RmM3ao?e=QudIxP" TargetMode="External"/><Relationship Id="rId25" Type="http://schemas.openxmlformats.org/officeDocument/2006/relationships/hyperlink" Target="../../../../../:w:/s/MSFabricPilot/IQA7eDTRiFVfQJTCNqjJdHBvAQ4nQh6r8p_dqZG7_RmM3ao?e=QudIxP" TargetMode="External"/><Relationship Id="rId46" Type="http://schemas.openxmlformats.org/officeDocument/2006/relationships/hyperlink" Target="../../../../../:w:/s/MSFabricPilot/IQA7eDTRiFVfQJTCNqjJdHBvAQ4nQh6r8p_dqZG7_RmM3ao?e=QudIxP" TargetMode="External"/><Relationship Id="rId67" Type="http://schemas.openxmlformats.org/officeDocument/2006/relationships/hyperlink" Target="../../../../../:w:/s/MSFabricPilot/IQA7eDTRiFVfQJTCNqjJdHBvAQ4nQh6r8p_dqZG7_RmM3ao?e=QudIxP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4151C-EB15-4D5D-B509-CF7FA0552FB1}">
  <dimension ref="A1:F1869"/>
  <sheetViews>
    <sheetView workbookViewId="0">
      <selection activeCell="D972" sqref="D972"/>
    </sheetView>
  </sheetViews>
  <sheetFormatPr defaultRowHeight="15"/>
  <cols>
    <col min="1" max="1" width="7.140625" bestFit="1" customWidth="1"/>
    <col min="2" max="2" width="15.85546875" bestFit="1" customWidth="1"/>
    <col min="3" max="3" width="5.85546875" bestFit="1" customWidth="1"/>
    <col min="4" max="4" width="71.140625" bestFit="1" customWidth="1"/>
    <col min="5" max="5" width="89.42578125" bestFit="1" customWidth="1"/>
    <col min="6" max="6" width="12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45860.363182870373</v>
      </c>
      <c r="C2">
        <v>30002</v>
      </c>
      <c r="D2" t="s">
        <v>7</v>
      </c>
      <c r="E2" t="s">
        <v>8</v>
      </c>
      <c r="F2" t="s">
        <v>9</v>
      </c>
    </row>
    <row r="3" spans="1:6">
      <c r="A3" t="s">
        <v>6</v>
      </c>
      <c r="B3" s="1">
        <v>45860.325613425928</v>
      </c>
      <c r="C3">
        <v>30002</v>
      </c>
      <c r="D3" t="s">
        <v>7</v>
      </c>
      <c r="E3" t="s">
        <v>8</v>
      </c>
      <c r="F3" t="s">
        <v>9</v>
      </c>
    </row>
    <row r="4" spans="1:6">
      <c r="A4" t="s">
        <v>6</v>
      </c>
      <c r="B4" s="1">
        <v>45860.322928240741</v>
      </c>
      <c r="C4">
        <v>30002</v>
      </c>
      <c r="D4" t="s">
        <v>7</v>
      </c>
      <c r="E4" t="s">
        <v>8</v>
      </c>
      <c r="F4" t="s">
        <v>9</v>
      </c>
    </row>
    <row r="5" spans="1:6">
      <c r="A5" t="s">
        <v>6</v>
      </c>
      <c r="B5" s="1">
        <v>45840.324502314812</v>
      </c>
      <c r="C5">
        <v>30002</v>
      </c>
      <c r="D5" t="s">
        <v>7</v>
      </c>
      <c r="E5" t="s">
        <v>10</v>
      </c>
      <c r="F5" t="s">
        <v>11</v>
      </c>
    </row>
    <row r="6" spans="1:6">
      <c r="A6" t="s">
        <v>6</v>
      </c>
      <c r="B6" s="1">
        <v>45840.31962962963</v>
      </c>
      <c r="C6">
        <v>30002</v>
      </c>
      <c r="D6" t="s">
        <v>7</v>
      </c>
      <c r="E6" t="s">
        <v>10</v>
      </c>
      <c r="F6" t="s">
        <v>11</v>
      </c>
    </row>
    <row r="7" spans="1:6">
      <c r="A7" t="s">
        <v>6</v>
      </c>
      <c r="B7" s="1">
        <v>45840.318333333336</v>
      </c>
      <c r="C7">
        <v>30002</v>
      </c>
      <c r="D7" t="s">
        <v>7</v>
      </c>
      <c r="E7" t="s">
        <v>10</v>
      </c>
      <c r="F7" t="s">
        <v>11</v>
      </c>
    </row>
    <row r="8" spans="1:6">
      <c r="A8" t="s">
        <v>6</v>
      </c>
      <c r="B8" s="1">
        <v>45840.315289351849</v>
      </c>
      <c r="C8">
        <v>30002</v>
      </c>
      <c r="D8" t="s">
        <v>7</v>
      </c>
      <c r="E8" t="s">
        <v>10</v>
      </c>
      <c r="F8" t="s">
        <v>11</v>
      </c>
    </row>
    <row r="9" spans="1:6">
      <c r="A9" t="s">
        <v>6</v>
      </c>
      <c r="B9" s="1">
        <v>45840.315023148149</v>
      </c>
      <c r="C9">
        <v>30002</v>
      </c>
      <c r="D9" t="s">
        <v>7</v>
      </c>
      <c r="E9" t="s">
        <v>10</v>
      </c>
      <c r="F9" t="s">
        <v>11</v>
      </c>
    </row>
    <row r="10" spans="1:6">
      <c r="A10" t="s">
        <v>6</v>
      </c>
      <c r="B10" s="1">
        <v>45840.313356481478</v>
      </c>
      <c r="C10">
        <v>30002</v>
      </c>
      <c r="D10" t="s">
        <v>7</v>
      </c>
      <c r="E10" t="s">
        <v>10</v>
      </c>
      <c r="F10" t="s">
        <v>11</v>
      </c>
    </row>
    <row r="11" spans="1:6">
      <c r="A11" t="s">
        <v>6</v>
      </c>
      <c r="B11" s="1">
        <v>45840.312048611115</v>
      </c>
      <c r="C11">
        <v>30002</v>
      </c>
      <c r="D11" t="s">
        <v>7</v>
      </c>
      <c r="E11" t="s">
        <v>10</v>
      </c>
      <c r="F11" t="s">
        <v>11</v>
      </c>
    </row>
    <row r="12" spans="1:6">
      <c r="A12" t="s">
        <v>6</v>
      </c>
      <c r="B12" s="1">
        <v>45840.311782407407</v>
      </c>
      <c r="C12">
        <v>30002</v>
      </c>
      <c r="D12" t="s">
        <v>7</v>
      </c>
      <c r="E12" t="s">
        <v>10</v>
      </c>
      <c r="F12" t="s">
        <v>11</v>
      </c>
    </row>
    <row r="13" spans="1:6">
      <c r="A13" t="s">
        <v>6</v>
      </c>
      <c r="B13" s="1">
        <v>45840.309814814813</v>
      </c>
      <c r="C13">
        <v>30002</v>
      </c>
      <c r="D13" t="s">
        <v>7</v>
      </c>
      <c r="E13" t="s">
        <v>10</v>
      </c>
      <c r="F13" t="s">
        <v>11</v>
      </c>
    </row>
    <row r="14" spans="1:6">
      <c r="A14" t="s">
        <v>6</v>
      </c>
      <c r="B14" s="1">
        <v>45840.309236111112</v>
      </c>
      <c r="C14">
        <v>30002</v>
      </c>
      <c r="D14" t="s">
        <v>7</v>
      </c>
      <c r="E14" t="s">
        <v>10</v>
      </c>
      <c r="F14" t="s">
        <v>11</v>
      </c>
    </row>
    <row r="15" spans="1:6">
      <c r="A15" t="s">
        <v>6</v>
      </c>
      <c r="B15" s="1">
        <v>45855.583564814813</v>
      </c>
      <c r="C15">
        <v>30002</v>
      </c>
      <c r="D15" t="s">
        <v>7</v>
      </c>
      <c r="E15" t="s">
        <v>12</v>
      </c>
      <c r="F15" t="s">
        <v>13</v>
      </c>
    </row>
    <row r="16" spans="1:6">
      <c r="A16" t="s">
        <v>6</v>
      </c>
      <c r="B16" s="1">
        <v>45848.484826388885</v>
      </c>
      <c r="C16">
        <v>30002</v>
      </c>
      <c r="D16" t="s">
        <v>7</v>
      </c>
      <c r="E16" t="s">
        <v>12</v>
      </c>
      <c r="F16" t="s">
        <v>13</v>
      </c>
    </row>
    <row r="17" spans="1:6">
      <c r="A17" t="s">
        <v>6</v>
      </c>
      <c r="B17" s="1">
        <v>45847.450879629629</v>
      </c>
      <c r="C17">
        <v>30002</v>
      </c>
      <c r="D17" t="s">
        <v>7</v>
      </c>
      <c r="E17" t="s">
        <v>14</v>
      </c>
      <c r="F17" t="s">
        <v>15</v>
      </c>
    </row>
    <row r="18" spans="1:6">
      <c r="A18" t="s">
        <v>6</v>
      </c>
      <c r="B18" s="1">
        <v>45846.446053240739</v>
      </c>
      <c r="C18">
        <v>30002</v>
      </c>
      <c r="D18" t="s">
        <v>7</v>
      </c>
      <c r="E18" t="s">
        <v>14</v>
      </c>
      <c r="F18" t="s">
        <v>15</v>
      </c>
    </row>
    <row r="19" spans="1:6">
      <c r="A19" t="s">
        <v>6</v>
      </c>
      <c r="B19" s="1">
        <v>45845.386990740742</v>
      </c>
      <c r="C19">
        <v>30002</v>
      </c>
      <c r="D19" t="s">
        <v>7</v>
      </c>
      <c r="E19" t="s">
        <v>14</v>
      </c>
      <c r="F19" t="s">
        <v>15</v>
      </c>
    </row>
    <row r="20" spans="1:6">
      <c r="A20" t="s">
        <v>6</v>
      </c>
      <c r="B20" s="1">
        <v>45841.385509259257</v>
      </c>
      <c r="C20">
        <v>30002</v>
      </c>
      <c r="D20" t="s">
        <v>7</v>
      </c>
      <c r="E20" t="s">
        <v>14</v>
      </c>
      <c r="F20" t="s">
        <v>15</v>
      </c>
    </row>
    <row r="21" spans="1:6">
      <c r="A21" t="s">
        <v>6</v>
      </c>
      <c r="B21" s="1">
        <v>45840.420671296299</v>
      </c>
      <c r="C21">
        <v>30002</v>
      </c>
      <c r="D21" t="s">
        <v>7</v>
      </c>
      <c r="E21" t="s">
        <v>16</v>
      </c>
      <c r="F21" t="s">
        <v>17</v>
      </c>
    </row>
    <row r="22" spans="1:6">
      <c r="A22" t="s">
        <v>6</v>
      </c>
      <c r="B22" s="1">
        <v>45859.604930555557</v>
      </c>
      <c r="C22">
        <v>30002</v>
      </c>
      <c r="D22" t="s">
        <v>7</v>
      </c>
      <c r="E22" t="s">
        <v>16</v>
      </c>
      <c r="F22" t="s">
        <v>13</v>
      </c>
    </row>
    <row r="23" spans="1:6">
      <c r="A23" t="s">
        <v>6</v>
      </c>
      <c r="B23" s="1">
        <v>45859.603750000002</v>
      </c>
      <c r="C23">
        <v>30002</v>
      </c>
      <c r="D23" t="s">
        <v>7</v>
      </c>
      <c r="E23" t="s">
        <v>16</v>
      </c>
      <c r="F23" t="s">
        <v>13</v>
      </c>
    </row>
    <row r="24" spans="1:6">
      <c r="A24" t="s">
        <v>6</v>
      </c>
      <c r="B24" s="1">
        <v>45859.603472222225</v>
      </c>
      <c r="C24">
        <v>30002</v>
      </c>
      <c r="D24" t="s">
        <v>7</v>
      </c>
      <c r="E24" t="s">
        <v>16</v>
      </c>
      <c r="F24" t="s">
        <v>13</v>
      </c>
    </row>
    <row r="25" spans="1:6">
      <c r="A25" t="s">
        <v>6</v>
      </c>
      <c r="B25" s="1">
        <v>45859.602986111109</v>
      </c>
      <c r="C25">
        <v>30002</v>
      </c>
      <c r="D25" t="s">
        <v>7</v>
      </c>
      <c r="E25" t="s">
        <v>16</v>
      </c>
      <c r="F25" t="s">
        <v>13</v>
      </c>
    </row>
    <row r="26" spans="1:6">
      <c r="A26" t="s">
        <v>6</v>
      </c>
      <c r="B26" s="1">
        <v>45848.483622685184</v>
      </c>
      <c r="C26">
        <v>30002</v>
      </c>
      <c r="D26" t="s">
        <v>7</v>
      </c>
      <c r="E26" t="s">
        <v>16</v>
      </c>
      <c r="F26" t="s">
        <v>13</v>
      </c>
    </row>
    <row r="27" spans="1:6">
      <c r="A27" t="s">
        <v>6</v>
      </c>
      <c r="B27" s="1">
        <v>45866.305787037039</v>
      </c>
      <c r="C27">
        <v>30002</v>
      </c>
      <c r="D27" t="s">
        <v>7</v>
      </c>
      <c r="E27" t="s">
        <v>16</v>
      </c>
      <c r="F27" t="s">
        <v>18</v>
      </c>
    </row>
    <row r="28" spans="1:6">
      <c r="A28" t="s">
        <v>6</v>
      </c>
      <c r="B28" s="1">
        <v>45867.266597222224</v>
      </c>
      <c r="C28">
        <v>30002</v>
      </c>
      <c r="D28" t="s">
        <v>7</v>
      </c>
      <c r="E28" t="s">
        <v>16</v>
      </c>
      <c r="F28" t="s">
        <v>19</v>
      </c>
    </row>
    <row r="29" spans="1:6">
      <c r="A29" t="s">
        <v>6</v>
      </c>
      <c r="B29" s="1">
        <v>45866.285729166666</v>
      </c>
      <c r="C29">
        <v>30002</v>
      </c>
      <c r="D29" t="s">
        <v>7</v>
      </c>
      <c r="E29" t="s">
        <v>16</v>
      </c>
      <c r="F29" t="s">
        <v>19</v>
      </c>
    </row>
    <row r="30" spans="1:6">
      <c r="A30" t="s">
        <v>6</v>
      </c>
      <c r="B30" s="1">
        <v>45847.667361111111</v>
      </c>
      <c r="C30">
        <v>30002</v>
      </c>
      <c r="D30" t="s">
        <v>7</v>
      </c>
      <c r="E30" t="s">
        <v>16</v>
      </c>
      <c r="F30" t="s">
        <v>19</v>
      </c>
    </row>
    <row r="31" spans="1:6">
      <c r="A31" t="s">
        <v>6</v>
      </c>
      <c r="B31" s="1">
        <v>45847.667048611111</v>
      </c>
      <c r="C31">
        <v>30002</v>
      </c>
      <c r="D31" t="s">
        <v>7</v>
      </c>
      <c r="E31" t="s">
        <v>16</v>
      </c>
      <c r="F31" t="s">
        <v>19</v>
      </c>
    </row>
    <row r="32" spans="1:6">
      <c r="A32" t="s">
        <v>6</v>
      </c>
      <c r="B32" s="1">
        <v>45847.664050925923</v>
      </c>
      <c r="C32">
        <v>30002</v>
      </c>
      <c r="D32" t="s">
        <v>7</v>
      </c>
      <c r="E32" t="s">
        <v>16</v>
      </c>
      <c r="F32" t="s">
        <v>19</v>
      </c>
    </row>
    <row r="33" spans="1:6">
      <c r="A33" t="s">
        <v>6</v>
      </c>
      <c r="B33" s="1">
        <v>45847.65792824074</v>
      </c>
      <c r="C33">
        <v>30002</v>
      </c>
      <c r="D33" t="s">
        <v>7</v>
      </c>
      <c r="E33" t="s">
        <v>16</v>
      </c>
      <c r="F33" t="s">
        <v>19</v>
      </c>
    </row>
    <row r="34" spans="1:6">
      <c r="A34" t="s">
        <v>6</v>
      </c>
      <c r="B34" s="1">
        <v>45841.252638888887</v>
      </c>
      <c r="C34">
        <v>30002</v>
      </c>
      <c r="D34" t="s">
        <v>7</v>
      </c>
      <c r="E34" t="s">
        <v>16</v>
      </c>
      <c r="F34" t="s">
        <v>19</v>
      </c>
    </row>
    <row r="35" spans="1:6">
      <c r="A35" t="s">
        <v>6</v>
      </c>
      <c r="B35" s="1">
        <v>45839.565555555557</v>
      </c>
      <c r="C35">
        <v>30002</v>
      </c>
      <c r="D35" t="s">
        <v>7</v>
      </c>
      <c r="E35" t="s">
        <v>16</v>
      </c>
      <c r="F35" t="s">
        <v>20</v>
      </c>
    </row>
    <row r="36" spans="1:6">
      <c r="A36" t="s">
        <v>6</v>
      </c>
      <c r="B36" s="1">
        <v>45841.352337962962</v>
      </c>
      <c r="C36">
        <v>30002</v>
      </c>
      <c r="D36" t="s">
        <v>7</v>
      </c>
      <c r="E36" t="s">
        <v>16</v>
      </c>
      <c r="F36" t="s">
        <v>21</v>
      </c>
    </row>
    <row r="37" spans="1:6">
      <c r="A37" t="s">
        <v>6</v>
      </c>
      <c r="B37" s="1">
        <v>45841.351261574076</v>
      </c>
      <c r="C37">
        <v>30002</v>
      </c>
      <c r="D37" t="s">
        <v>7</v>
      </c>
      <c r="E37" t="s">
        <v>16</v>
      </c>
      <c r="F37" t="s">
        <v>21</v>
      </c>
    </row>
    <row r="38" spans="1:6">
      <c r="A38" t="s">
        <v>6</v>
      </c>
      <c r="B38" s="1">
        <v>45845.329189814816</v>
      </c>
      <c r="C38">
        <v>30002</v>
      </c>
      <c r="D38" t="s">
        <v>7</v>
      </c>
      <c r="E38" t="s">
        <v>16</v>
      </c>
      <c r="F38" t="s">
        <v>9</v>
      </c>
    </row>
    <row r="39" spans="1:6">
      <c r="A39" t="s">
        <v>6</v>
      </c>
      <c r="B39" s="1">
        <v>45841.580046296294</v>
      </c>
      <c r="C39">
        <v>30002</v>
      </c>
      <c r="D39" t="s">
        <v>7</v>
      </c>
      <c r="E39" t="s">
        <v>16</v>
      </c>
      <c r="F39" t="s">
        <v>9</v>
      </c>
    </row>
    <row r="40" spans="1:6">
      <c r="A40" t="s">
        <v>6</v>
      </c>
      <c r="B40" s="1">
        <v>45841.579837962963</v>
      </c>
      <c r="C40">
        <v>30002</v>
      </c>
      <c r="D40" t="s">
        <v>7</v>
      </c>
      <c r="E40" t="s">
        <v>16</v>
      </c>
      <c r="F40" t="s">
        <v>9</v>
      </c>
    </row>
    <row r="41" spans="1:6">
      <c r="A41" t="s">
        <v>6</v>
      </c>
      <c r="B41" s="1">
        <v>45841.579641203702</v>
      </c>
      <c r="C41">
        <v>30002</v>
      </c>
      <c r="D41" t="s">
        <v>7</v>
      </c>
      <c r="E41" t="s">
        <v>16</v>
      </c>
      <c r="F41" t="s">
        <v>9</v>
      </c>
    </row>
    <row r="42" spans="1:6">
      <c r="A42" t="s">
        <v>6</v>
      </c>
      <c r="B42" s="1">
        <v>45841.579467592594</v>
      </c>
      <c r="C42">
        <v>30002</v>
      </c>
      <c r="D42" t="s">
        <v>7</v>
      </c>
      <c r="E42" t="s">
        <v>16</v>
      </c>
      <c r="F42" t="s">
        <v>9</v>
      </c>
    </row>
    <row r="43" spans="1:6">
      <c r="A43" t="s">
        <v>6</v>
      </c>
      <c r="B43" s="1">
        <v>45841.295057870368</v>
      </c>
      <c r="C43">
        <v>30002</v>
      </c>
      <c r="D43" t="s">
        <v>7</v>
      </c>
      <c r="E43" t="s">
        <v>16</v>
      </c>
      <c r="F43" t="s">
        <v>22</v>
      </c>
    </row>
    <row r="44" spans="1:6">
      <c r="A44" t="s">
        <v>6</v>
      </c>
      <c r="B44" s="1">
        <v>45867.525902777779</v>
      </c>
      <c r="C44">
        <v>30002</v>
      </c>
      <c r="D44" t="s">
        <v>7</v>
      </c>
      <c r="E44" t="s">
        <v>16</v>
      </c>
      <c r="F44" t="s">
        <v>23</v>
      </c>
    </row>
    <row r="45" spans="1:6">
      <c r="A45" t="s">
        <v>6</v>
      </c>
      <c r="B45" s="1">
        <v>45867.381423611114</v>
      </c>
      <c r="C45">
        <v>30002</v>
      </c>
      <c r="D45" t="s">
        <v>7</v>
      </c>
      <c r="E45" t="s">
        <v>16</v>
      </c>
      <c r="F45" t="s">
        <v>23</v>
      </c>
    </row>
    <row r="46" spans="1:6">
      <c r="A46" t="s">
        <v>6</v>
      </c>
      <c r="B46" s="1">
        <v>45867.369780092595</v>
      </c>
      <c r="C46">
        <v>30002</v>
      </c>
      <c r="D46" t="s">
        <v>7</v>
      </c>
      <c r="E46" t="s">
        <v>16</v>
      </c>
      <c r="F46" t="s">
        <v>23</v>
      </c>
    </row>
    <row r="47" spans="1:6">
      <c r="A47" t="s">
        <v>6</v>
      </c>
      <c r="B47" s="1">
        <v>45866.385949074072</v>
      </c>
      <c r="C47">
        <v>30002</v>
      </c>
      <c r="D47" t="s">
        <v>7</v>
      </c>
      <c r="E47" t="s">
        <v>16</v>
      </c>
      <c r="F47" t="s">
        <v>23</v>
      </c>
    </row>
    <row r="48" spans="1:6">
      <c r="A48" t="s">
        <v>6</v>
      </c>
      <c r="B48" s="1">
        <v>45866.385243055556</v>
      </c>
      <c r="C48">
        <v>30002</v>
      </c>
      <c r="D48" t="s">
        <v>7</v>
      </c>
      <c r="E48" t="s">
        <v>16</v>
      </c>
      <c r="F48" t="s">
        <v>23</v>
      </c>
    </row>
    <row r="49" spans="1:6">
      <c r="A49" t="s">
        <v>6</v>
      </c>
      <c r="B49" s="1">
        <v>45861.546956018516</v>
      </c>
      <c r="C49">
        <v>30002</v>
      </c>
      <c r="D49" t="s">
        <v>7</v>
      </c>
      <c r="E49" t="s">
        <v>16</v>
      </c>
      <c r="F49" t="s">
        <v>23</v>
      </c>
    </row>
    <row r="50" spans="1:6">
      <c r="A50" t="s">
        <v>6</v>
      </c>
      <c r="B50" s="1">
        <v>45859.607905092591</v>
      </c>
      <c r="C50">
        <v>30002</v>
      </c>
      <c r="D50" t="s">
        <v>7</v>
      </c>
      <c r="E50" t="s">
        <v>16</v>
      </c>
      <c r="F50" t="s">
        <v>23</v>
      </c>
    </row>
    <row r="51" spans="1:6">
      <c r="A51" t="s">
        <v>6</v>
      </c>
      <c r="B51" s="1">
        <v>45859.400983796295</v>
      </c>
      <c r="C51">
        <v>30002</v>
      </c>
      <c r="D51" t="s">
        <v>7</v>
      </c>
      <c r="E51" t="s">
        <v>16</v>
      </c>
      <c r="F51" t="s">
        <v>23</v>
      </c>
    </row>
    <row r="52" spans="1:6">
      <c r="A52" t="s">
        <v>6</v>
      </c>
      <c r="B52" s="1">
        <v>45856.436527777776</v>
      </c>
      <c r="C52">
        <v>30002</v>
      </c>
      <c r="D52" t="s">
        <v>7</v>
      </c>
      <c r="E52" t="s">
        <v>16</v>
      </c>
      <c r="F52" t="s">
        <v>23</v>
      </c>
    </row>
    <row r="53" spans="1:6">
      <c r="A53" t="s">
        <v>6</v>
      </c>
      <c r="B53" s="1">
        <v>45845.349560185183</v>
      </c>
      <c r="C53">
        <v>30002</v>
      </c>
      <c r="D53" t="s">
        <v>7</v>
      </c>
      <c r="E53" t="s">
        <v>16</v>
      </c>
      <c r="F53" t="s">
        <v>23</v>
      </c>
    </row>
    <row r="54" spans="1:6">
      <c r="A54" t="s">
        <v>6</v>
      </c>
      <c r="B54" s="1">
        <v>45845.341770833336</v>
      </c>
      <c r="C54">
        <v>30002</v>
      </c>
      <c r="D54" t="s">
        <v>7</v>
      </c>
      <c r="E54" t="s">
        <v>16</v>
      </c>
      <c r="F54" t="s">
        <v>23</v>
      </c>
    </row>
    <row r="55" spans="1:6">
      <c r="A55" t="s">
        <v>6</v>
      </c>
      <c r="B55" s="1">
        <v>45855.385949074072</v>
      </c>
      <c r="C55">
        <v>30002</v>
      </c>
      <c r="D55" t="s">
        <v>7</v>
      </c>
      <c r="E55" t="s">
        <v>16</v>
      </c>
      <c r="F55" t="s">
        <v>24</v>
      </c>
    </row>
    <row r="56" spans="1:6">
      <c r="A56" t="s">
        <v>6</v>
      </c>
      <c r="B56" s="1">
        <v>45854.606516203705</v>
      </c>
      <c r="C56">
        <v>30002</v>
      </c>
      <c r="D56" t="s">
        <v>7</v>
      </c>
      <c r="E56" t="s">
        <v>16</v>
      </c>
      <c r="F56" t="s">
        <v>24</v>
      </c>
    </row>
    <row r="57" spans="1:6">
      <c r="A57" t="s">
        <v>6</v>
      </c>
      <c r="B57" s="1">
        <v>45854.606307870374</v>
      </c>
      <c r="C57">
        <v>30002</v>
      </c>
      <c r="D57" t="s">
        <v>7</v>
      </c>
      <c r="E57" t="s">
        <v>16</v>
      </c>
      <c r="F57" t="s">
        <v>24</v>
      </c>
    </row>
    <row r="58" spans="1:6">
      <c r="A58" t="s">
        <v>6</v>
      </c>
      <c r="B58" s="1">
        <v>45848.569675925923</v>
      </c>
      <c r="C58">
        <v>30002</v>
      </c>
      <c r="D58" t="s">
        <v>7</v>
      </c>
      <c r="E58" t="s">
        <v>16</v>
      </c>
      <c r="F58" t="s">
        <v>25</v>
      </c>
    </row>
    <row r="59" spans="1:6">
      <c r="A59" t="s">
        <v>6</v>
      </c>
      <c r="B59" s="1">
        <v>45848.56449074074</v>
      </c>
      <c r="C59">
        <v>30002</v>
      </c>
      <c r="D59" t="s">
        <v>7</v>
      </c>
      <c r="E59" t="s">
        <v>16</v>
      </c>
      <c r="F59" t="s">
        <v>25</v>
      </c>
    </row>
    <row r="60" spans="1:6">
      <c r="A60" t="s">
        <v>6</v>
      </c>
      <c r="B60" s="1">
        <v>45840.352372685185</v>
      </c>
      <c r="C60">
        <v>30002</v>
      </c>
      <c r="D60" t="s">
        <v>7</v>
      </c>
      <c r="E60" t="s">
        <v>16</v>
      </c>
      <c r="F60" t="s">
        <v>25</v>
      </c>
    </row>
    <row r="61" spans="1:6">
      <c r="A61" t="s">
        <v>6</v>
      </c>
      <c r="B61" s="1">
        <v>45840.344849537039</v>
      </c>
      <c r="C61">
        <v>30002</v>
      </c>
      <c r="D61" t="s">
        <v>7</v>
      </c>
      <c r="E61" t="s">
        <v>16</v>
      </c>
      <c r="F61" t="s">
        <v>25</v>
      </c>
    </row>
    <row r="62" spans="1:6">
      <c r="A62" t="s">
        <v>6</v>
      </c>
      <c r="B62" s="1">
        <v>45839.608912037038</v>
      </c>
      <c r="C62">
        <v>30002</v>
      </c>
      <c r="D62" t="s">
        <v>7</v>
      </c>
      <c r="E62" t="s">
        <v>26</v>
      </c>
      <c r="F62" t="s">
        <v>27</v>
      </c>
    </row>
    <row r="63" spans="1:6">
      <c r="A63" t="s">
        <v>6</v>
      </c>
      <c r="B63" s="1">
        <v>45839.337500000001</v>
      </c>
      <c r="C63">
        <v>30002</v>
      </c>
      <c r="D63" t="s">
        <v>7</v>
      </c>
      <c r="E63" t="s">
        <v>26</v>
      </c>
      <c r="F63" t="s">
        <v>27</v>
      </c>
    </row>
    <row r="64" spans="1:6">
      <c r="A64" t="s">
        <v>6</v>
      </c>
      <c r="B64" s="1">
        <v>45849.343622685185</v>
      </c>
      <c r="C64">
        <v>30002</v>
      </c>
      <c r="D64" t="s">
        <v>7</v>
      </c>
      <c r="E64" t="s">
        <v>28</v>
      </c>
      <c r="F64" t="s">
        <v>27</v>
      </c>
    </row>
    <row r="65" spans="1:6">
      <c r="A65" t="s">
        <v>6</v>
      </c>
      <c r="B65" s="1">
        <v>45869.671574074076</v>
      </c>
      <c r="C65">
        <v>30002</v>
      </c>
      <c r="D65" t="s">
        <v>7</v>
      </c>
      <c r="E65" t="s">
        <v>29</v>
      </c>
      <c r="F65" t="s">
        <v>27</v>
      </c>
    </row>
    <row r="66" spans="1:6">
      <c r="A66" t="s">
        <v>6</v>
      </c>
      <c r="B66" s="1">
        <v>45839.345393518517</v>
      </c>
      <c r="C66">
        <v>30002</v>
      </c>
      <c r="D66" t="s">
        <v>7</v>
      </c>
      <c r="E66" t="s">
        <v>30</v>
      </c>
      <c r="F66" t="s">
        <v>31</v>
      </c>
    </row>
    <row r="67" spans="1:6">
      <c r="A67" t="s">
        <v>6</v>
      </c>
      <c r="B67" s="1">
        <v>45854.369745370372</v>
      </c>
      <c r="C67">
        <v>30002</v>
      </c>
      <c r="D67" t="s">
        <v>7</v>
      </c>
      <c r="E67" t="s">
        <v>32</v>
      </c>
      <c r="F67" t="s">
        <v>33</v>
      </c>
    </row>
    <row r="68" spans="1:6">
      <c r="A68" t="s">
        <v>6</v>
      </c>
      <c r="B68" s="1">
        <v>45847.695069444446</v>
      </c>
      <c r="C68">
        <v>30002</v>
      </c>
      <c r="D68" t="s">
        <v>7</v>
      </c>
      <c r="E68" t="s">
        <v>32</v>
      </c>
      <c r="F68" t="s">
        <v>34</v>
      </c>
    </row>
    <row r="69" spans="1:6">
      <c r="A69" t="s">
        <v>6</v>
      </c>
      <c r="B69" s="1">
        <v>45847.683865740742</v>
      </c>
      <c r="C69">
        <v>30002</v>
      </c>
      <c r="D69" t="s">
        <v>7</v>
      </c>
      <c r="E69" t="s">
        <v>32</v>
      </c>
      <c r="F69" t="s">
        <v>34</v>
      </c>
    </row>
    <row r="70" spans="1:6">
      <c r="A70" t="s">
        <v>6</v>
      </c>
      <c r="B70" s="1">
        <v>45847.68377314815</v>
      </c>
      <c r="C70">
        <v>30002</v>
      </c>
      <c r="D70" t="s">
        <v>7</v>
      </c>
      <c r="E70" t="s">
        <v>32</v>
      </c>
      <c r="F70" t="s">
        <v>34</v>
      </c>
    </row>
    <row r="71" spans="1:6">
      <c r="A71" t="s">
        <v>6</v>
      </c>
      <c r="B71" s="1">
        <v>45847.683668981481</v>
      </c>
      <c r="C71">
        <v>30002</v>
      </c>
      <c r="D71" t="s">
        <v>7</v>
      </c>
      <c r="E71" t="s">
        <v>32</v>
      </c>
      <c r="F71" t="s">
        <v>34</v>
      </c>
    </row>
    <row r="72" spans="1:6">
      <c r="A72" t="s">
        <v>6</v>
      </c>
      <c r="B72" s="1">
        <v>45847.678888888891</v>
      </c>
      <c r="C72">
        <v>30002</v>
      </c>
      <c r="D72" t="s">
        <v>7</v>
      </c>
      <c r="E72" t="s">
        <v>32</v>
      </c>
      <c r="F72" t="s">
        <v>34</v>
      </c>
    </row>
    <row r="73" spans="1:6">
      <c r="A73" t="s">
        <v>6</v>
      </c>
      <c r="B73" s="1">
        <v>45853.537453703706</v>
      </c>
      <c r="C73">
        <v>30002</v>
      </c>
      <c r="D73" t="s">
        <v>7</v>
      </c>
      <c r="E73" t="s">
        <v>35</v>
      </c>
      <c r="F73" t="s">
        <v>36</v>
      </c>
    </row>
    <row r="74" spans="1:6">
      <c r="A74" t="s">
        <v>6</v>
      </c>
      <c r="B74" s="1">
        <v>45846.83011574074</v>
      </c>
      <c r="C74">
        <v>30002</v>
      </c>
      <c r="D74" t="s">
        <v>7</v>
      </c>
      <c r="E74" t="s">
        <v>37</v>
      </c>
      <c r="F74" t="s">
        <v>38</v>
      </c>
    </row>
    <row r="75" spans="1:6">
      <c r="A75" t="s">
        <v>6</v>
      </c>
      <c r="B75" s="1">
        <v>45846.833981481483</v>
      </c>
      <c r="C75">
        <v>30002</v>
      </c>
      <c r="D75" t="s">
        <v>7</v>
      </c>
      <c r="E75" t="s">
        <v>39</v>
      </c>
      <c r="F75" t="s">
        <v>38</v>
      </c>
    </row>
    <row r="76" spans="1:6">
      <c r="A76" t="s">
        <v>6</v>
      </c>
      <c r="B76" s="1">
        <v>45846.837777777779</v>
      </c>
      <c r="C76">
        <v>30002</v>
      </c>
      <c r="D76" t="s">
        <v>7</v>
      </c>
      <c r="E76" t="s">
        <v>40</v>
      </c>
      <c r="F76" t="s">
        <v>38</v>
      </c>
    </row>
    <row r="77" spans="1:6">
      <c r="A77" t="s">
        <v>6</v>
      </c>
      <c r="B77" s="1">
        <v>45854.402372685188</v>
      </c>
      <c r="C77">
        <v>30002</v>
      </c>
      <c r="D77" t="s">
        <v>7</v>
      </c>
      <c r="E77" t="s">
        <v>41</v>
      </c>
      <c r="F77" t="s">
        <v>42</v>
      </c>
    </row>
    <row r="78" spans="1:6">
      <c r="A78" t="s">
        <v>6</v>
      </c>
      <c r="B78" s="1">
        <v>45854.399652777778</v>
      </c>
      <c r="C78">
        <v>30002</v>
      </c>
      <c r="D78" t="s">
        <v>7</v>
      </c>
      <c r="E78" t="s">
        <v>41</v>
      </c>
      <c r="F78" t="s">
        <v>42</v>
      </c>
    </row>
    <row r="79" spans="1:6">
      <c r="A79" t="s">
        <v>6</v>
      </c>
      <c r="B79" s="1">
        <v>45854.391631944447</v>
      </c>
      <c r="C79">
        <v>30002</v>
      </c>
      <c r="D79" t="s">
        <v>7</v>
      </c>
      <c r="E79" t="s">
        <v>41</v>
      </c>
      <c r="F79" t="s">
        <v>42</v>
      </c>
    </row>
    <row r="80" spans="1:6">
      <c r="A80" t="s">
        <v>6</v>
      </c>
      <c r="B80" s="1">
        <v>45839.713402777779</v>
      </c>
      <c r="C80">
        <v>30002</v>
      </c>
      <c r="D80" t="s">
        <v>7</v>
      </c>
      <c r="E80" t="s">
        <v>41</v>
      </c>
      <c r="F80" t="s">
        <v>42</v>
      </c>
    </row>
    <row r="81" spans="1:6">
      <c r="A81" t="s">
        <v>6</v>
      </c>
      <c r="B81" s="1">
        <v>45849.360069444447</v>
      </c>
      <c r="C81">
        <v>30002</v>
      </c>
      <c r="D81" t="s">
        <v>7</v>
      </c>
      <c r="E81" t="s">
        <v>43</v>
      </c>
      <c r="F81" t="s">
        <v>27</v>
      </c>
    </row>
    <row r="82" spans="1:6">
      <c r="A82" t="s">
        <v>6</v>
      </c>
      <c r="B82" s="1">
        <v>45866.565613425926</v>
      </c>
      <c r="C82">
        <v>30002</v>
      </c>
      <c r="D82" t="s">
        <v>7</v>
      </c>
      <c r="E82" t="s">
        <v>44</v>
      </c>
      <c r="F82" t="s">
        <v>42</v>
      </c>
    </row>
    <row r="83" spans="1:6">
      <c r="A83" t="s">
        <v>6</v>
      </c>
      <c r="B83" s="1">
        <v>45846.374884259261</v>
      </c>
      <c r="C83">
        <v>30002</v>
      </c>
      <c r="D83" t="s">
        <v>7</v>
      </c>
      <c r="E83" t="s">
        <v>45</v>
      </c>
      <c r="F83" t="s">
        <v>46</v>
      </c>
    </row>
    <row r="84" spans="1:6">
      <c r="A84" t="s">
        <v>6</v>
      </c>
      <c r="B84" s="1">
        <v>45854.515011574076</v>
      </c>
      <c r="C84">
        <v>30002</v>
      </c>
      <c r="D84" t="s">
        <v>7</v>
      </c>
      <c r="E84" t="s">
        <v>45</v>
      </c>
      <c r="F84" t="s">
        <v>47</v>
      </c>
    </row>
    <row r="85" spans="1:6">
      <c r="A85" t="s">
        <v>6</v>
      </c>
      <c r="B85" s="1">
        <v>45841.359085648146</v>
      </c>
      <c r="C85">
        <v>30002</v>
      </c>
      <c r="D85" t="s">
        <v>7</v>
      </c>
      <c r="E85" t="s">
        <v>45</v>
      </c>
      <c r="F85" t="s">
        <v>47</v>
      </c>
    </row>
    <row r="86" spans="1:6">
      <c r="A86" t="s">
        <v>6</v>
      </c>
      <c r="B86" s="1">
        <v>45869.526504629626</v>
      </c>
      <c r="C86">
        <v>30002</v>
      </c>
      <c r="D86" t="s">
        <v>7</v>
      </c>
      <c r="E86" t="s">
        <v>48</v>
      </c>
      <c r="F86" t="s">
        <v>49</v>
      </c>
    </row>
    <row r="87" spans="1:6">
      <c r="A87" t="s">
        <v>6</v>
      </c>
      <c r="B87" s="1">
        <v>45860.524571759262</v>
      </c>
      <c r="C87">
        <v>30002</v>
      </c>
      <c r="D87" t="s">
        <v>7</v>
      </c>
      <c r="E87" t="s">
        <v>48</v>
      </c>
      <c r="F87" t="s">
        <v>50</v>
      </c>
    </row>
    <row r="88" spans="1:6">
      <c r="A88" t="s">
        <v>6</v>
      </c>
      <c r="B88" s="1">
        <v>45855.479189814818</v>
      </c>
      <c r="C88">
        <v>30002</v>
      </c>
      <c r="D88" t="s">
        <v>7</v>
      </c>
      <c r="E88" t="s">
        <v>48</v>
      </c>
      <c r="F88" t="s">
        <v>50</v>
      </c>
    </row>
    <row r="89" spans="1:6">
      <c r="A89" t="s">
        <v>6</v>
      </c>
      <c r="B89" s="1">
        <v>45855.476793981485</v>
      </c>
      <c r="C89">
        <v>30002</v>
      </c>
      <c r="D89" t="s">
        <v>7</v>
      </c>
      <c r="E89" t="s">
        <v>48</v>
      </c>
      <c r="F89" t="s">
        <v>50</v>
      </c>
    </row>
    <row r="90" spans="1:6">
      <c r="A90" t="s">
        <v>6</v>
      </c>
      <c r="B90" s="1">
        <v>45853.487303240741</v>
      </c>
      <c r="C90">
        <v>30002</v>
      </c>
      <c r="D90" t="s">
        <v>7</v>
      </c>
      <c r="E90" t="s">
        <v>48</v>
      </c>
      <c r="F90" t="s">
        <v>50</v>
      </c>
    </row>
    <row r="91" spans="1:6">
      <c r="A91" t="s">
        <v>6</v>
      </c>
      <c r="B91" s="1">
        <v>45869.518530092595</v>
      </c>
      <c r="C91">
        <v>30002</v>
      </c>
      <c r="D91" t="s">
        <v>7</v>
      </c>
      <c r="E91" t="s">
        <v>51</v>
      </c>
      <c r="F91" t="s">
        <v>49</v>
      </c>
    </row>
    <row r="92" spans="1:6">
      <c r="A92" t="s">
        <v>6</v>
      </c>
      <c r="B92" s="1">
        <v>45867.557476851849</v>
      </c>
      <c r="C92">
        <v>30002</v>
      </c>
      <c r="D92" t="s">
        <v>7</v>
      </c>
      <c r="E92" t="s">
        <v>51</v>
      </c>
      <c r="F92" t="s">
        <v>50</v>
      </c>
    </row>
    <row r="93" spans="1:6">
      <c r="A93" t="s">
        <v>6</v>
      </c>
      <c r="B93" s="1">
        <v>45862.50849537037</v>
      </c>
      <c r="C93">
        <v>30002</v>
      </c>
      <c r="D93" t="s">
        <v>7</v>
      </c>
      <c r="E93" t="s">
        <v>51</v>
      </c>
      <c r="F93" t="s">
        <v>50</v>
      </c>
    </row>
    <row r="94" spans="1:6">
      <c r="A94" t="s">
        <v>6</v>
      </c>
      <c r="B94" s="1">
        <v>45859.495798611111</v>
      </c>
      <c r="C94">
        <v>30002</v>
      </c>
      <c r="D94" t="s">
        <v>7</v>
      </c>
      <c r="E94" t="s">
        <v>51</v>
      </c>
      <c r="F94" t="s">
        <v>50</v>
      </c>
    </row>
    <row r="95" spans="1:6">
      <c r="A95" t="s">
        <v>6</v>
      </c>
      <c r="B95" s="1">
        <v>45848.518912037034</v>
      </c>
      <c r="C95">
        <v>30002</v>
      </c>
      <c r="D95" t="s">
        <v>7</v>
      </c>
      <c r="E95" t="s">
        <v>51</v>
      </c>
      <c r="F95" t="s">
        <v>50</v>
      </c>
    </row>
    <row r="96" spans="1:6">
      <c r="A96" t="s">
        <v>6</v>
      </c>
      <c r="B96" s="1">
        <v>45847.421967592592</v>
      </c>
      <c r="C96">
        <v>30002</v>
      </c>
      <c r="D96" t="s">
        <v>7</v>
      </c>
      <c r="E96" t="s">
        <v>51</v>
      </c>
      <c r="F96" t="s">
        <v>50</v>
      </c>
    </row>
    <row r="97" spans="1:6">
      <c r="A97" t="s">
        <v>6</v>
      </c>
      <c r="B97" s="1">
        <v>45846.48170138889</v>
      </c>
      <c r="C97">
        <v>30002</v>
      </c>
      <c r="D97" t="s">
        <v>7</v>
      </c>
      <c r="E97" t="s">
        <v>51</v>
      </c>
      <c r="F97" t="s">
        <v>50</v>
      </c>
    </row>
    <row r="98" spans="1:6">
      <c r="A98" t="s">
        <v>6</v>
      </c>
      <c r="B98" s="1">
        <v>45841.503634259258</v>
      </c>
      <c r="C98">
        <v>30002</v>
      </c>
      <c r="D98" t="s">
        <v>7</v>
      </c>
      <c r="E98" t="s">
        <v>51</v>
      </c>
      <c r="F98" t="s">
        <v>50</v>
      </c>
    </row>
    <row r="99" spans="1:6">
      <c r="A99" t="s">
        <v>6</v>
      </c>
      <c r="B99" s="1">
        <v>45839.505509259259</v>
      </c>
      <c r="C99">
        <v>30002</v>
      </c>
      <c r="D99" t="s">
        <v>7</v>
      </c>
      <c r="E99" t="s">
        <v>51</v>
      </c>
      <c r="F99" t="s">
        <v>50</v>
      </c>
    </row>
    <row r="100" spans="1:6">
      <c r="A100" t="s">
        <v>6</v>
      </c>
      <c r="B100" s="1">
        <v>45839.594317129631</v>
      </c>
      <c r="C100">
        <v>30002</v>
      </c>
      <c r="D100" t="s">
        <v>7</v>
      </c>
      <c r="E100" t="s">
        <v>52</v>
      </c>
      <c r="F100" t="s">
        <v>27</v>
      </c>
    </row>
    <row r="101" spans="1:6">
      <c r="A101" t="s">
        <v>6</v>
      </c>
      <c r="B101" s="1">
        <v>45855.426261574074</v>
      </c>
      <c r="C101">
        <v>30002</v>
      </c>
      <c r="D101" t="s">
        <v>7</v>
      </c>
      <c r="E101" t="s">
        <v>53</v>
      </c>
      <c r="F101" t="s">
        <v>46</v>
      </c>
    </row>
    <row r="102" spans="1:6">
      <c r="A102" t="s">
        <v>6</v>
      </c>
      <c r="B102" s="1">
        <v>45855.358726851853</v>
      </c>
      <c r="C102">
        <v>30002</v>
      </c>
      <c r="D102" t="s">
        <v>7</v>
      </c>
      <c r="E102" t="s">
        <v>53</v>
      </c>
      <c r="F102" t="s">
        <v>46</v>
      </c>
    </row>
    <row r="103" spans="1:6">
      <c r="A103" t="s">
        <v>6</v>
      </c>
      <c r="B103" s="1">
        <v>45853.357708333337</v>
      </c>
      <c r="C103">
        <v>30002</v>
      </c>
      <c r="D103" t="s">
        <v>7</v>
      </c>
      <c r="E103" t="s">
        <v>53</v>
      </c>
      <c r="F103" t="s">
        <v>46</v>
      </c>
    </row>
    <row r="104" spans="1:6">
      <c r="A104" t="s">
        <v>6</v>
      </c>
      <c r="B104" s="1">
        <v>45847.371782407405</v>
      </c>
      <c r="C104">
        <v>30002</v>
      </c>
      <c r="D104" t="s">
        <v>7</v>
      </c>
      <c r="E104" t="s">
        <v>53</v>
      </c>
      <c r="F104" t="s">
        <v>46</v>
      </c>
    </row>
    <row r="105" spans="1:6">
      <c r="A105" t="s">
        <v>6</v>
      </c>
      <c r="B105" s="1">
        <v>45846.360115740739</v>
      </c>
      <c r="C105">
        <v>30002</v>
      </c>
      <c r="D105" t="s">
        <v>7</v>
      </c>
      <c r="E105" t="s">
        <v>53</v>
      </c>
      <c r="F105" t="s">
        <v>46</v>
      </c>
    </row>
    <row r="106" spans="1:6">
      <c r="A106" t="s">
        <v>6</v>
      </c>
      <c r="B106" s="1">
        <v>45839.38753472222</v>
      </c>
      <c r="C106">
        <v>30002</v>
      </c>
      <c r="D106" t="s">
        <v>7</v>
      </c>
      <c r="E106" t="s">
        <v>53</v>
      </c>
      <c r="F106" t="s">
        <v>15</v>
      </c>
    </row>
    <row r="107" spans="1:6">
      <c r="A107" t="s">
        <v>6</v>
      </c>
      <c r="B107" s="1">
        <v>45841.56212962963</v>
      </c>
      <c r="C107">
        <v>30002</v>
      </c>
      <c r="D107" t="s">
        <v>7</v>
      </c>
      <c r="E107" t="s">
        <v>53</v>
      </c>
      <c r="F107" t="s">
        <v>54</v>
      </c>
    </row>
    <row r="108" spans="1:6">
      <c r="A108" t="s">
        <v>6</v>
      </c>
      <c r="B108" s="1">
        <v>45841.561435185184</v>
      </c>
      <c r="C108">
        <v>30002</v>
      </c>
      <c r="D108" t="s">
        <v>7</v>
      </c>
      <c r="E108" t="s">
        <v>53</v>
      </c>
      <c r="F108" t="s">
        <v>54</v>
      </c>
    </row>
    <row r="109" spans="1:6">
      <c r="A109" t="s">
        <v>6</v>
      </c>
      <c r="B109" s="1">
        <v>45869.540648148148</v>
      </c>
      <c r="C109">
        <v>30002</v>
      </c>
      <c r="D109" t="s">
        <v>7</v>
      </c>
      <c r="E109" t="s">
        <v>53</v>
      </c>
      <c r="F109" t="s">
        <v>55</v>
      </c>
    </row>
    <row r="110" spans="1:6">
      <c r="A110" t="s">
        <v>6</v>
      </c>
      <c r="B110" s="1">
        <v>45869.540300925924</v>
      </c>
      <c r="C110">
        <v>30002</v>
      </c>
      <c r="D110" t="s">
        <v>7</v>
      </c>
      <c r="E110" t="s">
        <v>53</v>
      </c>
      <c r="F110" t="s">
        <v>55</v>
      </c>
    </row>
    <row r="111" spans="1:6">
      <c r="A111" t="s">
        <v>6</v>
      </c>
      <c r="B111" s="1">
        <v>45869.540069444447</v>
      </c>
      <c r="C111">
        <v>30002</v>
      </c>
      <c r="D111" t="s">
        <v>7</v>
      </c>
      <c r="E111" t="s">
        <v>53</v>
      </c>
      <c r="F111" t="s">
        <v>55</v>
      </c>
    </row>
    <row r="112" spans="1:6">
      <c r="A112" t="s">
        <v>6</v>
      </c>
      <c r="B112" s="1">
        <v>45869.539629629631</v>
      </c>
      <c r="C112">
        <v>30002</v>
      </c>
      <c r="D112" t="s">
        <v>7</v>
      </c>
      <c r="E112" t="s">
        <v>53</v>
      </c>
      <c r="F112" t="s">
        <v>55</v>
      </c>
    </row>
    <row r="113" spans="1:6">
      <c r="A113" t="s">
        <v>6</v>
      </c>
      <c r="B113" s="1">
        <v>45869.539548611108</v>
      </c>
      <c r="C113">
        <v>30002</v>
      </c>
      <c r="D113" t="s">
        <v>7</v>
      </c>
      <c r="E113" t="s">
        <v>53</v>
      </c>
      <c r="F113" t="s">
        <v>55</v>
      </c>
    </row>
    <row r="114" spans="1:6">
      <c r="A114" t="s">
        <v>6</v>
      </c>
      <c r="B114" s="1">
        <v>45869.539467592593</v>
      </c>
      <c r="C114">
        <v>30002</v>
      </c>
      <c r="D114" t="s">
        <v>7</v>
      </c>
      <c r="E114" t="s">
        <v>53</v>
      </c>
      <c r="F114" t="s">
        <v>55</v>
      </c>
    </row>
    <row r="115" spans="1:6">
      <c r="A115" t="s">
        <v>6</v>
      </c>
      <c r="B115" s="1">
        <v>45869.539375</v>
      </c>
      <c r="C115">
        <v>30002</v>
      </c>
      <c r="D115" t="s">
        <v>7</v>
      </c>
      <c r="E115" t="s">
        <v>53</v>
      </c>
      <c r="F115" t="s">
        <v>55</v>
      </c>
    </row>
    <row r="116" spans="1:6">
      <c r="A116" t="s">
        <v>6</v>
      </c>
      <c r="B116" s="1">
        <v>45869.539293981485</v>
      </c>
      <c r="C116">
        <v>30002</v>
      </c>
      <c r="D116" t="s">
        <v>7</v>
      </c>
      <c r="E116" t="s">
        <v>53</v>
      </c>
      <c r="F116" t="s">
        <v>55</v>
      </c>
    </row>
    <row r="117" spans="1:6">
      <c r="A117" t="s">
        <v>6</v>
      </c>
      <c r="B117" s="1">
        <v>45869.538958333331</v>
      </c>
      <c r="C117">
        <v>30002</v>
      </c>
      <c r="D117" t="s">
        <v>7</v>
      </c>
      <c r="E117" t="s">
        <v>53</v>
      </c>
      <c r="F117" t="s">
        <v>55</v>
      </c>
    </row>
    <row r="118" spans="1:6">
      <c r="A118" t="s">
        <v>6</v>
      </c>
      <c r="B118" s="1">
        <v>45869.538784722223</v>
      </c>
      <c r="C118">
        <v>30002</v>
      </c>
      <c r="D118" t="s">
        <v>7</v>
      </c>
      <c r="E118" t="s">
        <v>53</v>
      </c>
      <c r="F118" t="s">
        <v>55</v>
      </c>
    </row>
    <row r="119" spans="1:6">
      <c r="A119" t="s">
        <v>6</v>
      </c>
      <c r="B119" s="1">
        <v>45869.538599537038</v>
      </c>
      <c r="C119">
        <v>30002</v>
      </c>
      <c r="D119" t="s">
        <v>7</v>
      </c>
      <c r="E119" t="s">
        <v>53</v>
      </c>
      <c r="F119" t="s">
        <v>55</v>
      </c>
    </row>
    <row r="120" spans="1:6">
      <c r="A120" t="s">
        <v>6</v>
      </c>
      <c r="B120" s="1">
        <v>45869.53802083333</v>
      </c>
      <c r="C120">
        <v>30002</v>
      </c>
      <c r="D120" t="s">
        <v>7</v>
      </c>
      <c r="E120" t="s">
        <v>53</v>
      </c>
      <c r="F120" t="s">
        <v>55</v>
      </c>
    </row>
    <row r="121" spans="1:6">
      <c r="A121" t="s">
        <v>6</v>
      </c>
      <c r="B121" s="1">
        <v>45869.537546296298</v>
      </c>
      <c r="C121">
        <v>30002</v>
      </c>
      <c r="D121" t="s">
        <v>7</v>
      </c>
      <c r="E121" t="s">
        <v>53</v>
      </c>
      <c r="F121" t="s">
        <v>55</v>
      </c>
    </row>
    <row r="122" spans="1:6">
      <c r="A122" t="s">
        <v>6</v>
      </c>
      <c r="B122" s="1">
        <v>45869.537407407406</v>
      </c>
      <c r="C122">
        <v>30002</v>
      </c>
      <c r="D122" t="s">
        <v>7</v>
      </c>
      <c r="E122" t="s">
        <v>53</v>
      </c>
      <c r="F122" t="s">
        <v>55</v>
      </c>
    </row>
    <row r="123" spans="1:6">
      <c r="A123" t="s">
        <v>6</v>
      </c>
      <c r="B123" s="1">
        <v>45869.535601851851</v>
      </c>
      <c r="C123">
        <v>30002</v>
      </c>
      <c r="D123" t="s">
        <v>7</v>
      </c>
      <c r="E123" t="s">
        <v>53</v>
      </c>
      <c r="F123" t="s">
        <v>55</v>
      </c>
    </row>
    <row r="124" spans="1:6">
      <c r="A124" t="s">
        <v>6</v>
      </c>
      <c r="B124" s="1">
        <v>45869.518437500003</v>
      </c>
      <c r="C124">
        <v>30002</v>
      </c>
      <c r="D124" t="s">
        <v>7</v>
      </c>
      <c r="E124" t="s">
        <v>53</v>
      </c>
      <c r="F124" t="s">
        <v>55</v>
      </c>
    </row>
    <row r="125" spans="1:6">
      <c r="A125" t="s">
        <v>6</v>
      </c>
      <c r="B125" s="1">
        <v>45869.518113425926</v>
      </c>
      <c r="C125">
        <v>30002</v>
      </c>
      <c r="D125" t="s">
        <v>7</v>
      </c>
      <c r="E125" t="s">
        <v>53</v>
      </c>
      <c r="F125" t="s">
        <v>55</v>
      </c>
    </row>
    <row r="126" spans="1:6">
      <c r="A126" t="s">
        <v>6</v>
      </c>
      <c r="B126" s="1">
        <v>45845.593842592592</v>
      </c>
      <c r="C126">
        <v>30002</v>
      </c>
      <c r="D126" t="s">
        <v>7</v>
      </c>
      <c r="E126" t="s">
        <v>53</v>
      </c>
      <c r="F126" t="s">
        <v>55</v>
      </c>
    </row>
    <row r="127" spans="1:6">
      <c r="A127" t="s">
        <v>6</v>
      </c>
      <c r="B127" s="1">
        <v>45840.528831018521</v>
      </c>
      <c r="C127">
        <v>30002</v>
      </c>
      <c r="D127" t="s">
        <v>7</v>
      </c>
      <c r="E127" t="s">
        <v>53</v>
      </c>
      <c r="F127" t="s">
        <v>55</v>
      </c>
    </row>
    <row r="128" spans="1:6">
      <c r="A128" t="s">
        <v>6</v>
      </c>
      <c r="B128" s="1">
        <v>45845.613229166665</v>
      </c>
      <c r="C128">
        <v>30002</v>
      </c>
      <c r="D128" t="s">
        <v>7</v>
      </c>
      <c r="E128" t="s">
        <v>56</v>
      </c>
      <c r="F128" t="s">
        <v>57</v>
      </c>
    </row>
    <row r="129" spans="1:6">
      <c r="A129" t="s">
        <v>6</v>
      </c>
      <c r="B129" s="1">
        <v>45861.436319444445</v>
      </c>
      <c r="C129">
        <v>30002</v>
      </c>
      <c r="D129" t="s">
        <v>7</v>
      </c>
      <c r="E129" t="s">
        <v>58</v>
      </c>
      <c r="F129" t="s">
        <v>59</v>
      </c>
    </row>
    <row r="130" spans="1:6">
      <c r="A130" t="s">
        <v>6</v>
      </c>
      <c r="B130" s="1">
        <v>45852.590474537035</v>
      </c>
      <c r="C130">
        <v>30002</v>
      </c>
      <c r="D130" t="s">
        <v>7</v>
      </c>
      <c r="E130" t="s">
        <v>60</v>
      </c>
      <c r="F130" t="s">
        <v>13</v>
      </c>
    </row>
    <row r="131" spans="1:6">
      <c r="A131" t="s">
        <v>6</v>
      </c>
      <c r="B131" s="1">
        <v>45869.542002314818</v>
      </c>
      <c r="C131">
        <v>30002</v>
      </c>
      <c r="D131" t="s">
        <v>7</v>
      </c>
      <c r="E131" t="s">
        <v>61</v>
      </c>
      <c r="F131" t="s">
        <v>55</v>
      </c>
    </row>
    <row r="132" spans="1:6">
      <c r="A132" t="s">
        <v>6</v>
      </c>
      <c r="B132" s="1">
        <v>45839.430277777778</v>
      </c>
      <c r="C132">
        <v>30002</v>
      </c>
      <c r="D132" t="s">
        <v>7</v>
      </c>
      <c r="E132" t="s">
        <v>62</v>
      </c>
      <c r="F132" t="s">
        <v>63</v>
      </c>
    </row>
    <row r="133" spans="1:6">
      <c r="A133" t="s">
        <v>6</v>
      </c>
      <c r="B133" s="1">
        <v>45855.478958333333</v>
      </c>
      <c r="C133">
        <v>30002</v>
      </c>
      <c r="D133" t="s">
        <v>7</v>
      </c>
      <c r="E133" t="s">
        <v>62</v>
      </c>
      <c r="F133" t="s">
        <v>64</v>
      </c>
    </row>
    <row r="134" spans="1:6">
      <c r="A134" t="s">
        <v>6</v>
      </c>
      <c r="B134" s="1">
        <v>45859.528715277775</v>
      </c>
      <c r="C134">
        <v>30002</v>
      </c>
      <c r="D134" t="s">
        <v>7</v>
      </c>
      <c r="E134" t="s">
        <v>4</v>
      </c>
      <c r="F134" t="s">
        <v>65</v>
      </c>
    </row>
    <row r="135" spans="1:6">
      <c r="A135" t="s">
        <v>6</v>
      </c>
      <c r="B135" s="1">
        <v>45868.394652777781</v>
      </c>
      <c r="C135">
        <v>30002</v>
      </c>
      <c r="D135" t="s">
        <v>7</v>
      </c>
      <c r="E135" t="s">
        <v>4</v>
      </c>
      <c r="F135" t="s">
        <v>66</v>
      </c>
    </row>
    <row r="136" spans="1:6">
      <c r="A136" t="s">
        <v>6</v>
      </c>
      <c r="B136" s="1">
        <v>45860.237337962964</v>
      </c>
      <c r="C136">
        <v>30002</v>
      </c>
      <c r="D136" t="s">
        <v>7</v>
      </c>
      <c r="E136" t="s">
        <v>67</v>
      </c>
      <c r="F136" t="s">
        <v>38</v>
      </c>
    </row>
    <row r="137" spans="1:6">
      <c r="A137" t="s">
        <v>6</v>
      </c>
      <c r="B137" s="1">
        <v>45860.232662037037</v>
      </c>
      <c r="C137">
        <v>30002</v>
      </c>
      <c r="D137" t="s">
        <v>7</v>
      </c>
      <c r="E137" t="s">
        <v>67</v>
      </c>
      <c r="F137" t="s">
        <v>38</v>
      </c>
    </row>
    <row r="138" spans="1:6">
      <c r="A138" t="s">
        <v>6</v>
      </c>
      <c r="B138" s="1">
        <v>45860.235972222225</v>
      </c>
      <c r="C138">
        <v>30002</v>
      </c>
      <c r="D138" t="s">
        <v>7</v>
      </c>
      <c r="E138" t="s">
        <v>68</v>
      </c>
      <c r="F138" t="s">
        <v>38</v>
      </c>
    </row>
    <row r="139" spans="1:6">
      <c r="A139" t="s">
        <v>6</v>
      </c>
      <c r="B139" s="1">
        <v>45860.234629629631</v>
      </c>
      <c r="C139">
        <v>30002</v>
      </c>
      <c r="D139" t="s">
        <v>7</v>
      </c>
      <c r="E139" t="s">
        <v>68</v>
      </c>
      <c r="F139" t="s">
        <v>38</v>
      </c>
    </row>
    <row r="140" spans="1:6">
      <c r="A140" t="s">
        <v>6</v>
      </c>
      <c r="B140" s="1">
        <v>45860.233599537038</v>
      </c>
      <c r="C140">
        <v>30002</v>
      </c>
      <c r="D140" t="s">
        <v>7</v>
      </c>
      <c r="E140" t="s">
        <v>68</v>
      </c>
      <c r="F140" t="s">
        <v>38</v>
      </c>
    </row>
    <row r="141" spans="1:6">
      <c r="A141" t="s">
        <v>6</v>
      </c>
      <c r="B141" s="1">
        <v>45855.383738425924</v>
      </c>
      <c r="C141">
        <v>30002</v>
      </c>
      <c r="D141" t="s">
        <v>7</v>
      </c>
      <c r="E141" t="s">
        <v>68</v>
      </c>
      <c r="F141" t="s">
        <v>38</v>
      </c>
    </row>
    <row r="142" spans="1:6">
      <c r="A142" t="s">
        <v>6</v>
      </c>
      <c r="B142" s="1">
        <v>45840.508356481485</v>
      </c>
      <c r="C142">
        <v>30002</v>
      </c>
      <c r="D142" t="s">
        <v>7</v>
      </c>
      <c r="E142" t="s">
        <v>68</v>
      </c>
      <c r="F142" t="s">
        <v>38</v>
      </c>
    </row>
    <row r="143" spans="1:6">
      <c r="A143" t="s">
        <v>6</v>
      </c>
      <c r="B143" s="1">
        <v>45869.482442129629</v>
      </c>
      <c r="C143">
        <v>30002</v>
      </c>
      <c r="D143" t="s">
        <v>7</v>
      </c>
      <c r="E143" t="s">
        <v>69</v>
      </c>
      <c r="F143" t="s">
        <v>54</v>
      </c>
    </row>
    <row r="144" spans="1:6">
      <c r="A144" t="s">
        <v>6</v>
      </c>
      <c r="B144" s="1">
        <v>45862.50371527778</v>
      </c>
      <c r="C144">
        <v>30002</v>
      </c>
      <c r="D144" t="s">
        <v>7</v>
      </c>
      <c r="E144" t="s">
        <v>69</v>
      </c>
      <c r="F144" t="s">
        <v>54</v>
      </c>
    </row>
    <row r="145" spans="1:6">
      <c r="A145" t="s">
        <v>6</v>
      </c>
      <c r="B145" s="1">
        <v>45848.398125</v>
      </c>
      <c r="C145">
        <v>30002</v>
      </c>
      <c r="D145" t="s">
        <v>7</v>
      </c>
      <c r="E145" t="s">
        <v>69</v>
      </c>
      <c r="F145" t="s">
        <v>54</v>
      </c>
    </row>
    <row r="146" spans="1:6">
      <c r="A146" t="s">
        <v>6</v>
      </c>
      <c r="B146" s="1">
        <v>45841.519328703704</v>
      </c>
      <c r="C146">
        <v>30002</v>
      </c>
      <c r="D146" t="s">
        <v>7</v>
      </c>
      <c r="E146" t="s">
        <v>69</v>
      </c>
      <c r="F146" t="s">
        <v>54</v>
      </c>
    </row>
    <row r="147" spans="1:6">
      <c r="A147" t="s">
        <v>6</v>
      </c>
      <c r="B147" s="1">
        <v>45854.510335648149</v>
      </c>
      <c r="C147">
        <v>30002</v>
      </c>
      <c r="D147" t="s">
        <v>7</v>
      </c>
      <c r="E147" t="s">
        <v>70</v>
      </c>
      <c r="F147" t="s">
        <v>36</v>
      </c>
    </row>
    <row r="148" spans="1:6">
      <c r="A148" t="s">
        <v>6</v>
      </c>
      <c r="B148" s="1">
        <v>45854.487361111111</v>
      </c>
      <c r="C148">
        <v>30002</v>
      </c>
      <c r="D148" t="s">
        <v>7</v>
      </c>
      <c r="E148" t="s">
        <v>71</v>
      </c>
      <c r="F148" t="s">
        <v>36</v>
      </c>
    </row>
    <row r="149" spans="1:6">
      <c r="A149" t="s">
        <v>6</v>
      </c>
      <c r="B149" s="1">
        <v>45854.482893518521</v>
      </c>
      <c r="C149">
        <v>30002</v>
      </c>
      <c r="D149" t="s">
        <v>7</v>
      </c>
      <c r="E149" t="s">
        <v>71</v>
      </c>
      <c r="F149" t="s">
        <v>36</v>
      </c>
    </row>
    <row r="150" spans="1:6">
      <c r="A150" t="s">
        <v>6</v>
      </c>
      <c r="B150" s="1">
        <v>45854.482395833336</v>
      </c>
      <c r="C150">
        <v>30002</v>
      </c>
      <c r="D150" t="s">
        <v>7</v>
      </c>
      <c r="E150" t="s">
        <v>71</v>
      </c>
      <c r="F150" t="s">
        <v>36</v>
      </c>
    </row>
    <row r="151" spans="1:6">
      <c r="A151" t="s">
        <v>6</v>
      </c>
      <c r="B151" s="1">
        <v>45854.482314814813</v>
      </c>
      <c r="C151">
        <v>30002</v>
      </c>
      <c r="D151" t="s">
        <v>7</v>
      </c>
      <c r="E151" t="s">
        <v>71</v>
      </c>
      <c r="F151" t="s">
        <v>36</v>
      </c>
    </row>
    <row r="152" spans="1:6">
      <c r="A152" t="s">
        <v>6</v>
      </c>
      <c r="B152" s="1">
        <v>45854.481898148151</v>
      </c>
      <c r="C152">
        <v>30002</v>
      </c>
      <c r="D152" t="s">
        <v>7</v>
      </c>
      <c r="E152" t="s">
        <v>71</v>
      </c>
      <c r="F152" t="s">
        <v>36</v>
      </c>
    </row>
    <row r="153" spans="1:6">
      <c r="A153" t="s">
        <v>6</v>
      </c>
      <c r="B153" s="1">
        <v>45854.480219907404</v>
      </c>
      <c r="C153">
        <v>30002</v>
      </c>
      <c r="D153" t="s">
        <v>7</v>
      </c>
      <c r="E153" t="s">
        <v>71</v>
      </c>
      <c r="F153" t="s">
        <v>36</v>
      </c>
    </row>
    <row r="154" spans="1:6">
      <c r="A154" t="s">
        <v>6</v>
      </c>
      <c r="B154" s="1">
        <v>45854.506886574076</v>
      </c>
      <c r="C154">
        <v>30002</v>
      </c>
      <c r="D154" t="s">
        <v>7</v>
      </c>
      <c r="E154" t="s">
        <v>72</v>
      </c>
      <c r="F154" t="s">
        <v>36</v>
      </c>
    </row>
    <row r="155" spans="1:6">
      <c r="A155" t="s">
        <v>6</v>
      </c>
      <c r="B155" s="1">
        <v>45854.497418981482</v>
      </c>
      <c r="C155">
        <v>30002</v>
      </c>
      <c r="D155" t="s">
        <v>7</v>
      </c>
      <c r="E155" t="s">
        <v>72</v>
      </c>
      <c r="F155" t="s">
        <v>36</v>
      </c>
    </row>
    <row r="156" spans="1:6">
      <c r="A156" t="s">
        <v>6</v>
      </c>
      <c r="B156" s="1">
        <v>45854.488668981481</v>
      </c>
      <c r="C156">
        <v>30002</v>
      </c>
      <c r="D156" t="s">
        <v>7</v>
      </c>
      <c r="E156" t="s">
        <v>72</v>
      </c>
      <c r="F156" t="s">
        <v>36</v>
      </c>
    </row>
    <row r="157" spans="1:6">
      <c r="A157" t="s">
        <v>6</v>
      </c>
      <c r="B157" s="1">
        <v>45840.611377314817</v>
      </c>
      <c r="C157">
        <v>30002</v>
      </c>
      <c r="D157" t="s">
        <v>7</v>
      </c>
      <c r="E157" t="s">
        <v>73</v>
      </c>
      <c r="F157" t="s">
        <v>27</v>
      </c>
    </row>
    <row r="158" spans="1:6">
      <c r="A158" t="s">
        <v>6</v>
      </c>
      <c r="B158" s="1">
        <v>45840.600069444445</v>
      </c>
      <c r="C158">
        <v>30002</v>
      </c>
      <c r="D158" t="s">
        <v>7</v>
      </c>
      <c r="E158" t="s">
        <v>73</v>
      </c>
      <c r="F158" t="s">
        <v>27</v>
      </c>
    </row>
    <row r="159" spans="1:6">
      <c r="A159" t="s">
        <v>6</v>
      </c>
      <c r="B159" s="1">
        <v>45840.592222222222</v>
      </c>
      <c r="C159">
        <v>30002</v>
      </c>
      <c r="D159" t="s">
        <v>7</v>
      </c>
      <c r="E159" t="s">
        <v>73</v>
      </c>
      <c r="F159" t="s">
        <v>27</v>
      </c>
    </row>
    <row r="160" spans="1:6">
      <c r="A160" t="s">
        <v>6</v>
      </c>
      <c r="B160" s="1">
        <v>45840.591365740744</v>
      </c>
      <c r="C160">
        <v>30002</v>
      </c>
      <c r="D160" t="s">
        <v>7</v>
      </c>
      <c r="E160" t="s">
        <v>73</v>
      </c>
      <c r="F160" t="s">
        <v>27</v>
      </c>
    </row>
    <row r="161" spans="1:6">
      <c r="A161" t="s">
        <v>6</v>
      </c>
      <c r="B161" s="1">
        <v>45840.59134259259</v>
      </c>
      <c r="C161">
        <v>30002</v>
      </c>
      <c r="D161" t="s">
        <v>7</v>
      </c>
      <c r="E161" t="s">
        <v>73</v>
      </c>
      <c r="F161" t="s">
        <v>27</v>
      </c>
    </row>
    <row r="162" spans="1:6">
      <c r="A162" t="s">
        <v>6</v>
      </c>
      <c r="B162" s="1">
        <v>45840.587152777778</v>
      </c>
      <c r="C162">
        <v>30002</v>
      </c>
      <c r="D162" t="s">
        <v>7</v>
      </c>
      <c r="E162" t="s">
        <v>73</v>
      </c>
      <c r="F162" t="s">
        <v>27</v>
      </c>
    </row>
    <row r="163" spans="1:6">
      <c r="A163" t="s">
        <v>6</v>
      </c>
      <c r="B163" s="1">
        <v>45839.614074074074</v>
      </c>
      <c r="C163">
        <v>30002</v>
      </c>
      <c r="D163" t="s">
        <v>7</v>
      </c>
      <c r="E163" t="s">
        <v>73</v>
      </c>
      <c r="F163" t="s">
        <v>27</v>
      </c>
    </row>
    <row r="164" spans="1:6">
      <c r="A164" t="s">
        <v>6</v>
      </c>
      <c r="B164" s="1">
        <v>45839.339745370373</v>
      </c>
      <c r="C164">
        <v>30002</v>
      </c>
      <c r="D164" t="s">
        <v>7</v>
      </c>
      <c r="E164" t="s">
        <v>73</v>
      </c>
      <c r="F164" t="s">
        <v>27</v>
      </c>
    </row>
    <row r="165" spans="1:6">
      <c r="A165" t="s">
        <v>6</v>
      </c>
      <c r="B165" s="1">
        <v>45839.337835648148</v>
      </c>
      <c r="C165">
        <v>30002</v>
      </c>
      <c r="D165" t="s">
        <v>7</v>
      </c>
      <c r="E165" t="s">
        <v>73</v>
      </c>
      <c r="F165" t="s">
        <v>27</v>
      </c>
    </row>
    <row r="166" spans="1:6">
      <c r="A166" t="s">
        <v>6</v>
      </c>
      <c r="B166" s="1">
        <v>45845.408587962964</v>
      </c>
      <c r="C166">
        <v>30002</v>
      </c>
      <c r="D166" t="s">
        <v>7</v>
      </c>
      <c r="E166" t="s">
        <v>74</v>
      </c>
      <c r="F166" t="s">
        <v>75</v>
      </c>
    </row>
    <row r="167" spans="1:6">
      <c r="A167" t="s">
        <v>6</v>
      </c>
      <c r="B167" s="1">
        <v>45846.369537037041</v>
      </c>
      <c r="C167">
        <v>30002</v>
      </c>
      <c r="D167" t="s">
        <v>7</v>
      </c>
      <c r="E167" t="s">
        <v>76</v>
      </c>
      <c r="F167" t="s">
        <v>18</v>
      </c>
    </row>
    <row r="168" spans="1:6">
      <c r="A168" t="s">
        <v>6</v>
      </c>
      <c r="B168" s="1">
        <v>45846.367037037038</v>
      </c>
      <c r="C168">
        <v>30002</v>
      </c>
      <c r="D168" t="s">
        <v>7</v>
      </c>
      <c r="E168" t="s">
        <v>76</v>
      </c>
      <c r="F168" t="s">
        <v>18</v>
      </c>
    </row>
    <row r="169" spans="1:6">
      <c r="A169" t="s">
        <v>6</v>
      </c>
      <c r="B169" s="1">
        <v>45846.358576388891</v>
      </c>
      <c r="C169">
        <v>30002</v>
      </c>
      <c r="D169" t="s">
        <v>7</v>
      </c>
      <c r="E169" t="s">
        <v>76</v>
      </c>
      <c r="F169" t="s">
        <v>18</v>
      </c>
    </row>
    <row r="170" spans="1:6">
      <c r="A170" t="s">
        <v>6</v>
      </c>
      <c r="B170" s="1">
        <v>45846.353576388887</v>
      </c>
      <c r="C170">
        <v>30002</v>
      </c>
      <c r="D170" t="s">
        <v>7</v>
      </c>
      <c r="E170" t="s">
        <v>76</v>
      </c>
      <c r="F170" t="s">
        <v>18</v>
      </c>
    </row>
    <row r="171" spans="1:6">
      <c r="A171" t="s">
        <v>6</v>
      </c>
      <c r="B171" s="1">
        <v>45863.55097222222</v>
      </c>
      <c r="C171">
        <v>30002</v>
      </c>
      <c r="D171" t="s">
        <v>7</v>
      </c>
      <c r="E171" t="s">
        <v>77</v>
      </c>
      <c r="F171" t="s">
        <v>27</v>
      </c>
    </row>
    <row r="172" spans="1:6">
      <c r="A172" t="s">
        <v>6</v>
      </c>
      <c r="B172" s="1">
        <v>45849.455960648149</v>
      </c>
      <c r="C172">
        <v>30002</v>
      </c>
      <c r="D172" t="s">
        <v>7</v>
      </c>
      <c r="E172" t="s">
        <v>77</v>
      </c>
      <c r="F172" t="s">
        <v>27</v>
      </c>
    </row>
    <row r="173" spans="1:6">
      <c r="A173" t="s">
        <v>6</v>
      </c>
      <c r="B173" s="1">
        <v>45852.380740740744</v>
      </c>
      <c r="C173">
        <v>30002</v>
      </c>
      <c r="D173" t="s">
        <v>7</v>
      </c>
      <c r="E173" t="s">
        <v>78</v>
      </c>
      <c r="F173" t="s">
        <v>27</v>
      </c>
    </row>
    <row r="174" spans="1:6">
      <c r="A174" t="s">
        <v>6</v>
      </c>
      <c r="B174" s="1">
        <v>45852.373414351852</v>
      </c>
      <c r="C174">
        <v>30002</v>
      </c>
      <c r="D174" t="s">
        <v>7</v>
      </c>
      <c r="E174" t="s">
        <v>78</v>
      </c>
      <c r="F174" t="s">
        <v>27</v>
      </c>
    </row>
    <row r="175" spans="1:6">
      <c r="A175" t="s">
        <v>6</v>
      </c>
      <c r="B175" s="1">
        <v>45852.372476851851</v>
      </c>
      <c r="C175">
        <v>30002</v>
      </c>
      <c r="D175" t="s">
        <v>7</v>
      </c>
      <c r="E175" t="s">
        <v>78</v>
      </c>
      <c r="F175" t="s">
        <v>27</v>
      </c>
    </row>
    <row r="176" spans="1:6">
      <c r="A176" t="s">
        <v>6</v>
      </c>
      <c r="B176" s="1">
        <v>45849.603854166664</v>
      </c>
      <c r="C176">
        <v>30002</v>
      </c>
      <c r="D176" t="s">
        <v>7</v>
      </c>
      <c r="E176" t="s">
        <v>78</v>
      </c>
      <c r="F176" t="s">
        <v>27</v>
      </c>
    </row>
    <row r="177" spans="1:6">
      <c r="A177" t="s">
        <v>6</v>
      </c>
      <c r="B177" s="1">
        <v>45846.664097222223</v>
      </c>
      <c r="C177">
        <v>30002</v>
      </c>
      <c r="D177" t="s">
        <v>7</v>
      </c>
      <c r="E177" t="s">
        <v>79</v>
      </c>
      <c r="F177" t="s">
        <v>27</v>
      </c>
    </row>
    <row r="178" spans="1:6">
      <c r="A178" t="s">
        <v>6</v>
      </c>
      <c r="B178" s="1">
        <v>45839.433981481481</v>
      </c>
      <c r="C178">
        <v>30002</v>
      </c>
      <c r="D178" t="s">
        <v>7</v>
      </c>
      <c r="E178" t="s">
        <v>80</v>
      </c>
      <c r="F178" t="s">
        <v>27</v>
      </c>
    </row>
    <row r="179" spans="1:6">
      <c r="A179" t="s">
        <v>6</v>
      </c>
      <c r="B179" s="1">
        <v>45839.411851851852</v>
      </c>
      <c r="C179">
        <v>30002</v>
      </c>
      <c r="D179" t="s">
        <v>7</v>
      </c>
      <c r="E179" t="s">
        <v>80</v>
      </c>
      <c r="F179" t="s">
        <v>27</v>
      </c>
    </row>
    <row r="180" spans="1:6">
      <c r="A180" t="s">
        <v>6</v>
      </c>
      <c r="B180" s="1">
        <v>45839.411458333336</v>
      </c>
      <c r="C180">
        <v>30002</v>
      </c>
      <c r="D180" t="s">
        <v>7</v>
      </c>
      <c r="E180" t="s">
        <v>80</v>
      </c>
      <c r="F180" t="s">
        <v>27</v>
      </c>
    </row>
    <row r="181" spans="1:6">
      <c r="A181" t="s">
        <v>6</v>
      </c>
      <c r="B181" s="1">
        <v>45839.41101851852</v>
      </c>
      <c r="C181">
        <v>30002</v>
      </c>
      <c r="D181" t="s">
        <v>7</v>
      </c>
      <c r="E181" t="s">
        <v>80</v>
      </c>
      <c r="F181" t="s">
        <v>27</v>
      </c>
    </row>
    <row r="182" spans="1:6">
      <c r="A182" t="s">
        <v>6</v>
      </c>
      <c r="B182" s="1">
        <v>45839.410949074074</v>
      </c>
      <c r="C182">
        <v>30002</v>
      </c>
      <c r="D182" t="s">
        <v>7</v>
      </c>
      <c r="E182" t="s">
        <v>80</v>
      </c>
      <c r="F182" t="s">
        <v>27</v>
      </c>
    </row>
    <row r="183" spans="1:6">
      <c r="A183" t="s">
        <v>6</v>
      </c>
      <c r="B183" s="1">
        <v>45839.608703703707</v>
      </c>
      <c r="C183">
        <v>30002</v>
      </c>
      <c r="D183" t="s">
        <v>7</v>
      </c>
      <c r="E183" t="s">
        <v>81</v>
      </c>
      <c r="F183" t="s">
        <v>27</v>
      </c>
    </row>
    <row r="184" spans="1:6">
      <c r="A184" t="s">
        <v>6</v>
      </c>
      <c r="B184" s="1">
        <v>45848.460717592592</v>
      </c>
      <c r="C184">
        <v>30002</v>
      </c>
      <c r="D184" t="s">
        <v>7</v>
      </c>
      <c r="E184" t="s">
        <v>82</v>
      </c>
      <c r="F184" t="s">
        <v>27</v>
      </c>
    </row>
    <row r="185" spans="1:6">
      <c r="A185" t="s">
        <v>6</v>
      </c>
      <c r="B185" s="1">
        <v>45848.46025462963</v>
      </c>
      <c r="C185">
        <v>30002</v>
      </c>
      <c r="D185" t="s">
        <v>7</v>
      </c>
      <c r="E185" t="s">
        <v>82</v>
      </c>
      <c r="F185" t="s">
        <v>27</v>
      </c>
    </row>
    <row r="186" spans="1:6">
      <c r="A186" t="s">
        <v>6</v>
      </c>
      <c r="B186" s="1">
        <v>45848.420763888891</v>
      </c>
      <c r="C186">
        <v>30002</v>
      </c>
      <c r="D186" t="s">
        <v>7</v>
      </c>
      <c r="E186" t="s">
        <v>82</v>
      </c>
      <c r="F186" t="s">
        <v>27</v>
      </c>
    </row>
    <row r="187" spans="1:6">
      <c r="A187" t="s">
        <v>6</v>
      </c>
      <c r="B187" s="1">
        <v>45847.414664351854</v>
      </c>
      <c r="C187">
        <v>30002</v>
      </c>
      <c r="D187" t="s">
        <v>7</v>
      </c>
      <c r="E187" t="s">
        <v>82</v>
      </c>
      <c r="F187" t="s">
        <v>27</v>
      </c>
    </row>
    <row r="188" spans="1:6">
      <c r="A188" t="s">
        <v>6</v>
      </c>
      <c r="B188" s="1">
        <v>45846.638865740744</v>
      </c>
      <c r="C188">
        <v>30002</v>
      </c>
      <c r="D188" t="s">
        <v>7</v>
      </c>
      <c r="E188" t="s">
        <v>82</v>
      </c>
      <c r="F188" t="s">
        <v>27</v>
      </c>
    </row>
    <row r="189" spans="1:6">
      <c r="A189" t="s">
        <v>6</v>
      </c>
      <c r="B189" s="1">
        <v>45848.489421296297</v>
      </c>
      <c r="C189">
        <v>30002</v>
      </c>
      <c r="D189" t="s">
        <v>7</v>
      </c>
      <c r="E189" t="s">
        <v>83</v>
      </c>
      <c r="F189" t="s">
        <v>27</v>
      </c>
    </row>
    <row r="190" spans="1:6">
      <c r="A190" t="s">
        <v>6</v>
      </c>
      <c r="B190" s="1">
        <v>45848.48233796296</v>
      </c>
      <c r="C190">
        <v>30002</v>
      </c>
      <c r="D190" t="s">
        <v>7</v>
      </c>
      <c r="E190" t="s">
        <v>83</v>
      </c>
      <c r="F190" t="s">
        <v>27</v>
      </c>
    </row>
    <row r="191" spans="1:6">
      <c r="A191" t="s">
        <v>6</v>
      </c>
      <c r="B191" s="1">
        <v>45848.462384259263</v>
      </c>
      <c r="C191">
        <v>30002</v>
      </c>
      <c r="D191" t="s">
        <v>7</v>
      </c>
      <c r="E191" t="s">
        <v>83</v>
      </c>
      <c r="F191" t="s">
        <v>27</v>
      </c>
    </row>
    <row r="192" spans="1:6">
      <c r="A192" t="s">
        <v>6</v>
      </c>
      <c r="B192" s="1">
        <v>45847.415162037039</v>
      </c>
      <c r="C192">
        <v>30002</v>
      </c>
      <c r="D192" t="s">
        <v>7</v>
      </c>
      <c r="E192" t="s">
        <v>83</v>
      </c>
      <c r="F192" t="s">
        <v>27</v>
      </c>
    </row>
    <row r="193" spans="1:6">
      <c r="A193" t="s">
        <v>6</v>
      </c>
      <c r="B193" s="1">
        <v>45848.463194444441</v>
      </c>
      <c r="C193">
        <v>30002</v>
      </c>
      <c r="D193" t="s">
        <v>7</v>
      </c>
      <c r="E193" t="s">
        <v>84</v>
      </c>
      <c r="F193" t="s">
        <v>27</v>
      </c>
    </row>
    <row r="194" spans="1:6">
      <c r="A194" t="s">
        <v>6</v>
      </c>
      <c r="B194" s="1">
        <v>45847.416365740741</v>
      </c>
      <c r="C194">
        <v>30002</v>
      </c>
      <c r="D194" t="s">
        <v>7</v>
      </c>
      <c r="E194" t="s">
        <v>84</v>
      </c>
      <c r="F194" t="s">
        <v>27</v>
      </c>
    </row>
    <row r="195" spans="1:6">
      <c r="A195" t="s">
        <v>6</v>
      </c>
      <c r="B195" s="1">
        <v>45848.490532407406</v>
      </c>
      <c r="C195">
        <v>30002</v>
      </c>
      <c r="D195" t="s">
        <v>7</v>
      </c>
      <c r="E195" t="s">
        <v>85</v>
      </c>
      <c r="F195" t="s">
        <v>27</v>
      </c>
    </row>
    <row r="196" spans="1:6">
      <c r="A196" t="s">
        <v>6</v>
      </c>
      <c r="B196" s="1">
        <v>45848.4684837963</v>
      </c>
      <c r="C196">
        <v>30002</v>
      </c>
      <c r="D196" t="s">
        <v>7</v>
      </c>
      <c r="E196" t="s">
        <v>85</v>
      </c>
      <c r="F196" t="s">
        <v>27</v>
      </c>
    </row>
    <row r="197" spans="1:6">
      <c r="A197" t="s">
        <v>6</v>
      </c>
      <c r="B197" s="1">
        <v>45847.415590277778</v>
      </c>
      <c r="C197">
        <v>30002</v>
      </c>
      <c r="D197" t="s">
        <v>7</v>
      </c>
      <c r="E197" t="s">
        <v>85</v>
      </c>
      <c r="F197" t="s">
        <v>27</v>
      </c>
    </row>
    <row r="198" spans="1:6">
      <c r="A198" t="s">
        <v>6</v>
      </c>
      <c r="B198" s="1">
        <v>45847.417384259257</v>
      </c>
      <c r="C198">
        <v>30002</v>
      </c>
      <c r="D198" t="s">
        <v>7</v>
      </c>
      <c r="E198" t="s">
        <v>86</v>
      </c>
      <c r="F198" t="s">
        <v>27</v>
      </c>
    </row>
    <row r="199" spans="1:6">
      <c r="A199" t="s">
        <v>6</v>
      </c>
      <c r="B199" s="1">
        <v>45848.469039351854</v>
      </c>
      <c r="C199">
        <v>30002</v>
      </c>
      <c r="D199" t="s">
        <v>7</v>
      </c>
      <c r="E199" t="s">
        <v>87</v>
      </c>
      <c r="F199" t="s">
        <v>27</v>
      </c>
    </row>
    <row r="200" spans="1:6">
      <c r="A200" t="s">
        <v>6</v>
      </c>
      <c r="B200" s="1">
        <v>45847.666458333333</v>
      </c>
      <c r="C200">
        <v>30002</v>
      </c>
      <c r="D200" t="s">
        <v>7</v>
      </c>
      <c r="E200" t="s">
        <v>87</v>
      </c>
      <c r="F200" t="s">
        <v>27</v>
      </c>
    </row>
    <row r="201" spans="1:6">
      <c r="A201" t="s">
        <v>6</v>
      </c>
      <c r="B201" s="1">
        <v>45848.469375000001</v>
      </c>
      <c r="C201">
        <v>30002</v>
      </c>
      <c r="D201" t="s">
        <v>7</v>
      </c>
      <c r="E201" t="s">
        <v>88</v>
      </c>
      <c r="F201" t="s">
        <v>27</v>
      </c>
    </row>
    <row r="202" spans="1:6">
      <c r="A202" t="s">
        <v>6</v>
      </c>
      <c r="B202" s="1">
        <v>45848.489629629628</v>
      </c>
      <c r="C202">
        <v>30002</v>
      </c>
      <c r="D202" t="s">
        <v>7</v>
      </c>
      <c r="E202" t="s">
        <v>89</v>
      </c>
      <c r="F202" t="s">
        <v>27</v>
      </c>
    </row>
    <row r="203" spans="1:6">
      <c r="A203" t="s">
        <v>6</v>
      </c>
      <c r="B203" s="1">
        <v>45848.478159722225</v>
      </c>
      <c r="C203">
        <v>30002</v>
      </c>
      <c r="D203" t="s">
        <v>7</v>
      </c>
      <c r="E203" t="s">
        <v>89</v>
      </c>
      <c r="F203" t="s">
        <v>27</v>
      </c>
    </row>
    <row r="204" spans="1:6">
      <c r="A204" t="s">
        <v>6</v>
      </c>
      <c r="B204" s="1">
        <v>45848.459965277776</v>
      </c>
      <c r="C204">
        <v>30002</v>
      </c>
      <c r="D204" t="s">
        <v>7</v>
      </c>
      <c r="E204" t="s">
        <v>90</v>
      </c>
      <c r="F204" t="s">
        <v>27</v>
      </c>
    </row>
    <row r="205" spans="1:6">
      <c r="A205" t="s">
        <v>6</v>
      </c>
      <c r="B205" s="1">
        <v>45848.449120370373</v>
      </c>
      <c r="C205">
        <v>30002</v>
      </c>
      <c r="D205" t="s">
        <v>7</v>
      </c>
      <c r="E205" t="s">
        <v>90</v>
      </c>
      <c r="F205" t="s">
        <v>27</v>
      </c>
    </row>
    <row r="206" spans="1:6">
      <c r="A206" t="s">
        <v>6</v>
      </c>
      <c r="B206" s="1">
        <v>45848.427685185183</v>
      </c>
      <c r="C206">
        <v>30002</v>
      </c>
      <c r="D206" t="s">
        <v>7</v>
      </c>
      <c r="E206" t="s">
        <v>90</v>
      </c>
      <c r="F206" t="s">
        <v>27</v>
      </c>
    </row>
    <row r="207" spans="1:6">
      <c r="A207" t="s">
        <v>6</v>
      </c>
      <c r="B207" s="1">
        <v>45848.425763888888</v>
      </c>
      <c r="C207">
        <v>30002</v>
      </c>
      <c r="D207" t="s">
        <v>7</v>
      </c>
      <c r="E207" t="s">
        <v>91</v>
      </c>
      <c r="F207" t="s">
        <v>27</v>
      </c>
    </row>
    <row r="208" spans="1:6">
      <c r="A208" t="s">
        <v>6</v>
      </c>
      <c r="B208" s="1">
        <v>45845.662997685184</v>
      </c>
      <c r="C208">
        <v>30002</v>
      </c>
      <c r="D208" t="s">
        <v>7</v>
      </c>
      <c r="E208" t="s">
        <v>92</v>
      </c>
      <c r="F208" t="s">
        <v>27</v>
      </c>
    </row>
    <row r="209" spans="1:6">
      <c r="A209" t="s">
        <v>6</v>
      </c>
      <c r="B209" s="1">
        <v>45845.662141203706</v>
      </c>
      <c r="C209">
        <v>30002</v>
      </c>
      <c r="D209" t="s">
        <v>7</v>
      </c>
      <c r="E209" t="s">
        <v>92</v>
      </c>
      <c r="F209" t="s">
        <v>27</v>
      </c>
    </row>
    <row r="210" spans="1:6">
      <c r="A210" t="s">
        <v>6</v>
      </c>
      <c r="B210" s="1">
        <v>45845.661689814813</v>
      </c>
      <c r="C210">
        <v>30002</v>
      </c>
      <c r="D210" t="s">
        <v>7</v>
      </c>
      <c r="E210" t="s">
        <v>92</v>
      </c>
      <c r="F210" t="s">
        <v>27</v>
      </c>
    </row>
    <row r="211" spans="1:6">
      <c r="A211" t="s">
        <v>6</v>
      </c>
      <c r="B211" s="1">
        <v>45845.661122685182</v>
      </c>
      <c r="C211">
        <v>30002</v>
      </c>
      <c r="D211" t="s">
        <v>7</v>
      </c>
      <c r="E211" t="s">
        <v>92</v>
      </c>
      <c r="F211" t="s">
        <v>27</v>
      </c>
    </row>
    <row r="212" spans="1:6">
      <c r="A212" t="s">
        <v>6</v>
      </c>
      <c r="B212" s="1">
        <v>45866.313310185185</v>
      </c>
      <c r="C212">
        <v>30002</v>
      </c>
      <c r="D212" t="s">
        <v>7</v>
      </c>
      <c r="E212" t="s">
        <v>93</v>
      </c>
      <c r="F212" t="s">
        <v>94</v>
      </c>
    </row>
    <row r="213" spans="1:6">
      <c r="A213" t="s">
        <v>6</v>
      </c>
      <c r="B213" s="1">
        <v>45861.430937500001</v>
      </c>
      <c r="C213">
        <v>30002</v>
      </c>
      <c r="D213" t="s">
        <v>7</v>
      </c>
      <c r="E213" t="s">
        <v>93</v>
      </c>
      <c r="F213" t="s">
        <v>94</v>
      </c>
    </row>
    <row r="214" spans="1:6">
      <c r="A214" t="s">
        <v>6</v>
      </c>
      <c r="B214" s="1">
        <v>45840.48233796296</v>
      </c>
      <c r="C214">
        <v>30002</v>
      </c>
      <c r="D214" t="s">
        <v>7</v>
      </c>
      <c r="E214" t="s">
        <v>93</v>
      </c>
      <c r="F214" t="s">
        <v>94</v>
      </c>
    </row>
    <row r="215" spans="1:6">
      <c r="A215" t="s">
        <v>6</v>
      </c>
      <c r="B215" s="1">
        <v>45861.380127314813</v>
      </c>
      <c r="C215">
        <v>30002</v>
      </c>
      <c r="D215" t="s">
        <v>7</v>
      </c>
      <c r="E215" t="s">
        <v>93</v>
      </c>
      <c r="F215" t="s">
        <v>95</v>
      </c>
    </row>
    <row r="216" spans="1:6">
      <c r="A216" t="s">
        <v>6</v>
      </c>
      <c r="B216" s="1">
        <v>45861.378495370373</v>
      </c>
      <c r="C216">
        <v>30002</v>
      </c>
      <c r="D216" t="s">
        <v>7</v>
      </c>
      <c r="E216" t="s">
        <v>93</v>
      </c>
      <c r="F216" t="s">
        <v>95</v>
      </c>
    </row>
    <row r="217" spans="1:6">
      <c r="A217" t="s">
        <v>6</v>
      </c>
      <c r="B217" s="1">
        <v>45861.37462962963</v>
      </c>
      <c r="C217">
        <v>30002</v>
      </c>
      <c r="D217" t="s">
        <v>7</v>
      </c>
      <c r="E217" t="s">
        <v>93</v>
      </c>
      <c r="F217" t="s">
        <v>95</v>
      </c>
    </row>
    <row r="218" spans="1:6">
      <c r="A218" t="s">
        <v>6</v>
      </c>
      <c r="B218" s="1">
        <v>45862.38690972222</v>
      </c>
      <c r="C218">
        <v>30002</v>
      </c>
      <c r="D218" t="s">
        <v>7</v>
      </c>
      <c r="E218" t="s">
        <v>93</v>
      </c>
      <c r="F218" t="s">
        <v>96</v>
      </c>
    </row>
    <row r="219" spans="1:6">
      <c r="A219" t="s">
        <v>6</v>
      </c>
      <c r="B219" s="1">
        <v>45862.386782407404</v>
      </c>
      <c r="C219">
        <v>30002</v>
      </c>
      <c r="D219" t="s">
        <v>7</v>
      </c>
      <c r="E219" t="s">
        <v>93</v>
      </c>
      <c r="F219" t="s">
        <v>96</v>
      </c>
    </row>
    <row r="220" spans="1:6">
      <c r="A220" t="s">
        <v>6</v>
      </c>
      <c r="B220" s="1">
        <v>45842.631527777776</v>
      </c>
      <c r="C220">
        <v>30002</v>
      </c>
      <c r="D220" t="s">
        <v>7</v>
      </c>
      <c r="E220" t="s">
        <v>93</v>
      </c>
      <c r="F220" t="s">
        <v>19</v>
      </c>
    </row>
    <row r="221" spans="1:6">
      <c r="A221" t="s">
        <v>6</v>
      </c>
      <c r="B221" s="1">
        <v>45842.630509259259</v>
      </c>
      <c r="C221">
        <v>30002</v>
      </c>
      <c r="D221" t="s">
        <v>7</v>
      </c>
      <c r="E221" t="s">
        <v>93</v>
      </c>
      <c r="F221" t="s">
        <v>19</v>
      </c>
    </row>
    <row r="222" spans="1:6">
      <c r="A222" t="s">
        <v>6</v>
      </c>
      <c r="B222" s="1">
        <v>45842.630335648151</v>
      </c>
      <c r="C222">
        <v>30002</v>
      </c>
      <c r="D222" t="s">
        <v>7</v>
      </c>
      <c r="E222" t="s">
        <v>93</v>
      </c>
      <c r="F222" t="s">
        <v>19</v>
      </c>
    </row>
    <row r="223" spans="1:6">
      <c r="A223" t="s">
        <v>6</v>
      </c>
      <c r="B223" s="1">
        <v>45842.630254629628</v>
      </c>
      <c r="C223">
        <v>30002</v>
      </c>
      <c r="D223" t="s">
        <v>7</v>
      </c>
      <c r="E223" t="s">
        <v>93</v>
      </c>
      <c r="F223" t="s">
        <v>19</v>
      </c>
    </row>
    <row r="224" spans="1:6">
      <c r="A224" t="s">
        <v>6</v>
      </c>
      <c r="B224" s="1">
        <v>45860.266562500001</v>
      </c>
      <c r="C224">
        <v>30002</v>
      </c>
      <c r="D224" t="s">
        <v>7</v>
      </c>
      <c r="E224" t="s">
        <v>93</v>
      </c>
      <c r="F224" t="s">
        <v>21</v>
      </c>
    </row>
    <row r="225" spans="1:6">
      <c r="A225" t="s">
        <v>6</v>
      </c>
      <c r="B225" s="1">
        <v>45849.340636574074</v>
      </c>
      <c r="C225">
        <v>30002</v>
      </c>
      <c r="D225" t="s">
        <v>7</v>
      </c>
      <c r="E225" t="s">
        <v>93</v>
      </c>
      <c r="F225" t="s">
        <v>97</v>
      </c>
    </row>
    <row r="226" spans="1:6">
      <c r="A226" t="s">
        <v>6</v>
      </c>
      <c r="B226" s="1">
        <v>45840.484166666669</v>
      </c>
      <c r="C226">
        <v>30002</v>
      </c>
      <c r="D226" t="s">
        <v>7</v>
      </c>
      <c r="E226" t="s">
        <v>98</v>
      </c>
      <c r="F226" t="s">
        <v>94</v>
      </c>
    </row>
    <row r="227" spans="1:6">
      <c r="A227" t="s">
        <v>6</v>
      </c>
      <c r="B227" s="1">
        <v>45840.482835648145</v>
      </c>
      <c r="C227">
        <v>30002</v>
      </c>
      <c r="D227" t="s">
        <v>7</v>
      </c>
      <c r="E227" t="s">
        <v>98</v>
      </c>
      <c r="F227" t="s">
        <v>94</v>
      </c>
    </row>
    <row r="228" spans="1:6">
      <c r="A228" t="s">
        <v>6</v>
      </c>
      <c r="B228" s="1">
        <v>45861.377546296295</v>
      </c>
      <c r="C228">
        <v>30002</v>
      </c>
      <c r="D228" t="s">
        <v>7</v>
      </c>
      <c r="E228" t="s">
        <v>98</v>
      </c>
      <c r="F228" t="s">
        <v>95</v>
      </c>
    </row>
    <row r="229" spans="1:6">
      <c r="A229" t="s">
        <v>6</v>
      </c>
      <c r="B229" s="1">
        <v>45861.659305555557</v>
      </c>
      <c r="C229">
        <v>30002</v>
      </c>
      <c r="D229" t="s">
        <v>7</v>
      </c>
      <c r="E229" t="s">
        <v>98</v>
      </c>
      <c r="F229" t="s">
        <v>24</v>
      </c>
    </row>
    <row r="230" spans="1:6">
      <c r="A230" t="s">
        <v>6</v>
      </c>
      <c r="B230" s="1">
        <v>45842.635034722225</v>
      </c>
      <c r="C230">
        <v>30002</v>
      </c>
      <c r="D230" t="s">
        <v>7</v>
      </c>
      <c r="E230" t="s">
        <v>99</v>
      </c>
      <c r="F230" t="s">
        <v>19</v>
      </c>
    </row>
    <row r="231" spans="1:6">
      <c r="A231" t="s">
        <v>6</v>
      </c>
      <c r="B231" s="1">
        <v>45839.348240740743</v>
      </c>
      <c r="C231">
        <v>30002</v>
      </c>
      <c r="D231" t="s">
        <v>7</v>
      </c>
      <c r="E231" t="s">
        <v>99</v>
      </c>
      <c r="F231" t="s">
        <v>31</v>
      </c>
    </row>
    <row r="232" spans="1:6">
      <c r="A232" t="s">
        <v>6</v>
      </c>
      <c r="B232" s="1">
        <v>45840.525949074072</v>
      </c>
      <c r="C232">
        <v>30002</v>
      </c>
      <c r="D232" t="s">
        <v>7</v>
      </c>
      <c r="E232" t="s">
        <v>100</v>
      </c>
      <c r="F232" t="s">
        <v>101</v>
      </c>
    </row>
    <row r="233" spans="1:6">
      <c r="A233" t="s">
        <v>6</v>
      </c>
      <c r="B233" s="1">
        <v>45840.523275462961</v>
      </c>
      <c r="C233">
        <v>30002</v>
      </c>
      <c r="D233" t="s">
        <v>7</v>
      </c>
      <c r="E233" t="s">
        <v>100</v>
      </c>
      <c r="F233" t="s">
        <v>101</v>
      </c>
    </row>
    <row r="234" spans="1:6">
      <c r="A234" t="s">
        <v>6</v>
      </c>
      <c r="B234" s="1">
        <v>45840.522511574076</v>
      </c>
      <c r="C234">
        <v>30002</v>
      </c>
      <c r="D234" t="s">
        <v>7</v>
      </c>
      <c r="E234" t="s">
        <v>100</v>
      </c>
      <c r="F234" t="s">
        <v>101</v>
      </c>
    </row>
    <row r="235" spans="1:6">
      <c r="A235" t="s">
        <v>6</v>
      </c>
      <c r="B235" s="1">
        <v>45845.918356481481</v>
      </c>
      <c r="C235">
        <v>30002</v>
      </c>
      <c r="D235" t="s">
        <v>7</v>
      </c>
      <c r="E235" t="s">
        <v>100</v>
      </c>
      <c r="F235" t="s">
        <v>102</v>
      </c>
    </row>
    <row r="236" spans="1:6">
      <c r="A236" t="s">
        <v>6</v>
      </c>
      <c r="B236" s="1">
        <v>45868.351180555554</v>
      </c>
      <c r="C236">
        <v>30002</v>
      </c>
      <c r="D236" t="s">
        <v>7</v>
      </c>
      <c r="E236" t="s">
        <v>100</v>
      </c>
      <c r="F236" t="s">
        <v>13</v>
      </c>
    </row>
    <row r="237" spans="1:6">
      <c r="A237" t="s">
        <v>6</v>
      </c>
      <c r="B237" s="1">
        <v>45867.504710648151</v>
      </c>
      <c r="C237">
        <v>30002</v>
      </c>
      <c r="D237" t="s">
        <v>7</v>
      </c>
      <c r="E237" t="s">
        <v>100</v>
      </c>
      <c r="F237" t="s">
        <v>13</v>
      </c>
    </row>
    <row r="238" spans="1:6">
      <c r="A238" t="s">
        <v>6</v>
      </c>
      <c r="B238" s="1">
        <v>45867.458622685182</v>
      </c>
      <c r="C238">
        <v>30002</v>
      </c>
      <c r="D238" t="s">
        <v>7</v>
      </c>
      <c r="E238" t="s">
        <v>100</v>
      </c>
      <c r="F238" t="s">
        <v>13</v>
      </c>
    </row>
    <row r="239" spans="1:6">
      <c r="A239" t="s">
        <v>6</v>
      </c>
      <c r="B239" s="1">
        <v>45866.410856481481</v>
      </c>
      <c r="C239">
        <v>30002</v>
      </c>
      <c r="D239" t="s">
        <v>7</v>
      </c>
      <c r="E239" t="s">
        <v>100</v>
      </c>
      <c r="F239" t="s">
        <v>13</v>
      </c>
    </row>
    <row r="240" spans="1:6">
      <c r="A240" t="s">
        <v>6</v>
      </c>
      <c r="B240" s="1">
        <v>45861.454270833332</v>
      </c>
      <c r="C240">
        <v>30002</v>
      </c>
      <c r="D240" t="s">
        <v>7</v>
      </c>
      <c r="E240" t="s">
        <v>100</v>
      </c>
      <c r="F240" t="s">
        <v>13</v>
      </c>
    </row>
    <row r="241" spans="1:6">
      <c r="A241" t="s">
        <v>6</v>
      </c>
      <c r="B241" s="1">
        <v>45856.4528587963</v>
      </c>
      <c r="C241">
        <v>30002</v>
      </c>
      <c r="D241" t="s">
        <v>7</v>
      </c>
      <c r="E241" t="s">
        <v>100</v>
      </c>
      <c r="F241" t="s">
        <v>13</v>
      </c>
    </row>
    <row r="242" spans="1:6">
      <c r="A242" t="s">
        <v>6</v>
      </c>
      <c r="B242" s="1">
        <v>45856.450624999998</v>
      </c>
      <c r="C242">
        <v>30002</v>
      </c>
      <c r="D242" t="s">
        <v>7</v>
      </c>
      <c r="E242" t="s">
        <v>100</v>
      </c>
      <c r="F242" t="s">
        <v>13</v>
      </c>
    </row>
    <row r="243" spans="1:6">
      <c r="A243" t="s">
        <v>6</v>
      </c>
      <c r="B243" s="1">
        <v>45854.472581018519</v>
      </c>
      <c r="C243">
        <v>30002</v>
      </c>
      <c r="D243" t="s">
        <v>7</v>
      </c>
      <c r="E243" t="s">
        <v>100</v>
      </c>
      <c r="F243" t="s">
        <v>13</v>
      </c>
    </row>
    <row r="244" spans="1:6">
      <c r="A244" t="s">
        <v>6</v>
      </c>
      <c r="B244" s="1">
        <v>45848.482199074075</v>
      </c>
      <c r="C244">
        <v>30002</v>
      </c>
      <c r="D244" t="s">
        <v>7</v>
      </c>
      <c r="E244" t="s">
        <v>100</v>
      </c>
      <c r="F244" t="s">
        <v>13</v>
      </c>
    </row>
    <row r="245" spans="1:6">
      <c r="A245" t="s">
        <v>6</v>
      </c>
      <c r="B245" s="1">
        <v>45848.465543981481</v>
      </c>
      <c r="C245">
        <v>30002</v>
      </c>
      <c r="D245" t="s">
        <v>7</v>
      </c>
      <c r="E245" t="s">
        <v>100</v>
      </c>
      <c r="F245" t="s">
        <v>13</v>
      </c>
    </row>
    <row r="246" spans="1:6">
      <c r="A246" t="s">
        <v>6</v>
      </c>
      <c r="B246" s="1">
        <v>45848.442893518521</v>
      </c>
      <c r="C246">
        <v>30002</v>
      </c>
      <c r="D246" t="s">
        <v>7</v>
      </c>
      <c r="E246" t="s">
        <v>100</v>
      </c>
      <c r="F246" t="s">
        <v>13</v>
      </c>
    </row>
    <row r="247" spans="1:6">
      <c r="A247" t="s">
        <v>6</v>
      </c>
      <c r="B247" s="1">
        <v>45847.356342592589</v>
      </c>
      <c r="C247">
        <v>30002</v>
      </c>
      <c r="D247" t="s">
        <v>7</v>
      </c>
      <c r="E247" t="s">
        <v>100</v>
      </c>
      <c r="F247" t="s">
        <v>13</v>
      </c>
    </row>
    <row r="248" spans="1:6">
      <c r="A248" t="s">
        <v>6</v>
      </c>
      <c r="B248" s="1">
        <v>45847.355868055558</v>
      </c>
      <c r="C248">
        <v>30002</v>
      </c>
      <c r="D248" t="s">
        <v>7</v>
      </c>
      <c r="E248" t="s">
        <v>100</v>
      </c>
      <c r="F248" t="s">
        <v>13</v>
      </c>
    </row>
    <row r="249" spans="1:6">
      <c r="A249" t="s">
        <v>6</v>
      </c>
      <c r="B249" s="1">
        <v>45847.349351851852</v>
      </c>
      <c r="C249">
        <v>30002</v>
      </c>
      <c r="D249" t="s">
        <v>7</v>
      </c>
      <c r="E249" t="s">
        <v>100</v>
      </c>
      <c r="F249" t="s">
        <v>13</v>
      </c>
    </row>
    <row r="250" spans="1:6">
      <c r="A250" t="s">
        <v>6</v>
      </c>
      <c r="B250" s="1">
        <v>45862.3596412037</v>
      </c>
      <c r="C250">
        <v>30002</v>
      </c>
      <c r="D250" t="s">
        <v>7</v>
      </c>
      <c r="E250" t="s">
        <v>100</v>
      </c>
      <c r="F250" t="s">
        <v>18</v>
      </c>
    </row>
    <row r="251" spans="1:6">
      <c r="A251" t="s">
        <v>6</v>
      </c>
      <c r="B251" s="1">
        <v>45846.337337962963</v>
      </c>
      <c r="C251">
        <v>30002</v>
      </c>
      <c r="D251" t="s">
        <v>7</v>
      </c>
      <c r="E251" t="s">
        <v>100</v>
      </c>
      <c r="F251" t="s">
        <v>18</v>
      </c>
    </row>
    <row r="252" spans="1:6">
      <c r="A252" t="s">
        <v>6</v>
      </c>
      <c r="B252" s="1">
        <v>45845.923344907409</v>
      </c>
      <c r="C252">
        <v>30002</v>
      </c>
      <c r="D252" t="s">
        <v>7</v>
      </c>
      <c r="E252" t="s">
        <v>100</v>
      </c>
      <c r="F252" t="s">
        <v>18</v>
      </c>
    </row>
    <row r="253" spans="1:6">
      <c r="A253" t="s">
        <v>6</v>
      </c>
      <c r="B253" s="1">
        <v>45845.851122685184</v>
      </c>
      <c r="C253">
        <v>30002</v>
      </c>
      <c r="D253" t="s">
        <v>7</v>
      </c>
      <c r="E253" t="s">
        <v>100</v>
      </c>
      <c r="F253" t="s">
        <v>18</v>
      </c>
    </row>
    <row r="254" spans="1:6">
      <c r="A254" t="s">
        <v>6</v>
      </c>
      <c r="B254" s="1">
        <v>45845.833240740743</v>
      </c>
      <c r="C254">
        <v>30002</v>
      </c>
      <c r="D254" t="s">
        <v>7</v>
      </c>
      <c r="E254" t="s">
        <v>100</v>
      </c>
      <c r="F254" t="s">
        <v>18</v>
      </c>
    </row>
    <row r="255" spans="1:6">
      <c r="A255" t="s">
        <v>6</v>
      </c>
      <c r="B255" s="1">
        <v>45845.60056712963</v>
      </c>
      <c r="C255">
        <v>30002</v>
      </c>
      <c r="D255" t="s">
        <v>7</v>
      </c>
      <c r="E255" t="s">
        <v>100</v>
      </c>
      <c r="F255" t="s">
        <v>18</v>
      </c>
    </row>
    <row r="256" spans="1:6">
      <c r="A256" t="s">
        <v>6</v>
      </c>
      <c r="B256" s="1">
        <v>45845.60015046296</v>
      </c>
      <c r="C256">
        <v>30002</v>
      </c>
      <c r="D256" t="s">
        <v>7</v>
      </c>
      <c r="E256" t="s">
        <v>100</v>
      </c>
      <c r="F256" t="s">
        <v>18</v>
      </c>
    </row>
    <row r="257" spans="1:6">
      <c r="A257" t="s">
        <v>6</v>
      </c>
      <c r="B257" s="1">
        <v>45845.493298611109</v>
      </c>
      <c r="C257">
        <v>30002</v>
      </c>
      <c r="D257" t="s">
        <v>7</v>
      </c>
      <c r="E257" t="s">
        <v>100</v>
      </c>
      <c r="F257" t="s">
        <v>18</v>
      </c>
    </row>
    <row r="258" spans="1:6">
      <c r="A258" t="s">
        <v>6</v>
      </c>
      <c r="B258" s="1">
        <v>45845.474317129629</v>
      </c>
      <c r="C258">
        <v>30002</v>
      </c>
      <c r="D258" t="s">
        <v>7</v>
      </c>
      <c r="E258" t="s">
        <v>100</v>
      </c>
      <c r="F258" t="s">
        <v>18</v>
      </c>
    </row>
    <row r="259" spans="1:6">
      <c r="A259" t="s">
        <v>6</v>
      </c>
      <c r="B259" s="1">
        <v>45845.471655092595</v>
      </c>
      <c r="C259">
        <v>30002</v>
      </c>
      <c r="D259" t="s">
        <v>7</v>
      </c>
      <c r="E259" t="s">
        <v>100</v>
      </c>
      <c r="F259" t="s">
        <v>18</v>
      </c>
    </row>
    <row r="260" spans="1:6">
      <c r="A260" t="s">
        <v>6</v>
      </c>
      <c r="B260" s="1">
        <v>45845.43172453704</v>
      </c>
      <c r="C260">
        <v>30002</v>
      </c>
      <c r="D260" t="s">
        <v>7</v>
      </c>
      <c r="E260" t="s">
        <v>100</v>
      </c>
      <c r="F260" t="s">
        <v>18</v>
      </c>
    </row>
    <row r="261" spans="1:6">
      <c r="A261" t="s">
        <v>6</v>
      </c>
      <c r="B261" s="1">
        <v>45845.410995370374</v>
      </c>
      <c r="C261">
        <v>30002</v>
      </c>
      <c r="D261" t="s">
        <v>7</v>
      </c>
      <c r="E261" t="s">
        <v>100</v>
      </c>
      <c r="F261" t="s">
        <v>18</v>
      </c>
    </row>
    <row r="262" spans="1:6">
      <c r="A262" t="s">
        <v>6</v>
      </c>
      <c r="B262" s="1">
        <v>45869.758912037039</v>
      </c>
      <c r="C262">
        <v>30002</v>
      </c>
      <c r="D262" t="s">
        <v>7</v>
      </c>
      <c r="E262" t="s">
        <v>100</v>
      </c>
      <c r="F262" t="s">
        <v>103</v>
      </c>
    </row>
    <row r="263" spans="1:6">
      <c r="A263" t="s">
        <v>6</v>
      </c>
      <c r="B263" s="1">
        <v>45869.751261574071</v>
      </c>
      <c r="C263">
        <v>30002</v>
      </c>
      <c r="D263" t="s">
        <v>7</v>
      </c>
      <c r="E263" t="s">
        <v>100</v>
      </c>
      <c r="F263" t="s">
        <v>103</v>
      </c>
    </row>
    <row r="264" spans="1:6">
      <c r="A264" t="s">
        <v>6</v>
      </c>
      <c r="B264" s="1">
        <v>45868.347743055558</v>
      </c>
      <c r="C264">
        <v>30002</v>
      </c>
      <c r="D264" t="s">
        <v>7</v>
      </c>
      <c r="E264" t="s">
        <v>100</v>
      </c>
      <c r="F264" t="s">
        <v>103</v>
      </c>
    </row>
    <row r="265" spans="1:6">
      <c r="A265" t="s">
        <v>6</v>
      </c>
      <c r="B265" s="1">
        <v>45866.465115740742</v>
      </c>
      <c r="C265">
        <v>30002</v>
      </c>
      <c r="D265" t="s">
        <v>7</v>
      </c>
      <c r="E265" t="s">
        <v>100</v>
      </c>
      <c r="F265" t="s">
        <v>103</v>
      </c>
    </row>
    <row r="266" spans="1:6">
      <c r="A266" t="s">
        <v>6</v>
      </c>
      <c r="B266" s="1">
        <v>45861.242106481484</v>
      </c>
      <c r="C266">
        <v>30002</v>
      </c>
      <c r="D266" t="s">
        <v>7</v>
      </c>
      <c r="E266" t="s">
        <v>100</v>
      </c>
      <c r="F266" t="s">
        <v>103</v>
      </c>
    </row>
    <row r="267" spans="1:6">
      <c r="A267" t="s">
        <v>6</v>
      </c>
      <c r="B267" s="1">
        <v>45861.240555555552</v>
      </c>
      <c r="C267">
        <v>30002</v>
      </c>
      <c r="D267" t="s">
        <v>7</v>
      </c>
      <c r="E267" t="s">
        <v>100</v>
      </c>
      <c r="F267" t="s">
        <v>103</v>
      </c>
    </row>
    <row r="268" spans="1:6">
      <c r="A268" t="s">
        <v>6</v>
      </c>
      <c r="B268" s="1">
        <v>45859.229317129626</v>
      </c>
      <c r="C268">
        <v>30002</v>
      </c>
      <c r="D268" t="s">
        <v>7</v>
      </c>
      <c r="E268" t="s">
        <v>100</v>
      </c>
      <c r="F268" t="s">
        <v>103</v>
      </c>
    </row>
    <row r="269" spans="1:6">
      <c r="A269" t="s">
        <v>6</v>
      </c>
      <c r="B269" s="1">
        <v>45845.485439814816</v>
      </c>
      <c r="C269">
        <v>30002</v>
      </c>
      <c r="D269" t="s">
        <v>7</v>
      </c>
      <c r="E269" t="s">
        <v>100</v>
      </c>
      <c r="F269" t="s">
        <v>103</v>
      </c>
    </row>
    <row r="270" spans="1:6">
      <c r="A270" t="s">
        <v>6</v>
      </c>
      <c r="B270" s="1">
        <v>45845.48269675926</v>
      </c>
      <c r="C270">
        <v>30002</v>
      </c>
      <c r="D270" t="s">
        <v>7</v>
      </c>
      <c r="E270" t="s">
        <v>100</v>
      </c>
      <c r="F270" t="s">
        <v>103</v>
      </c>
    </row>
    <row r="271" spans="1:6">
      <c r="A271" t="s">
        <v>6</v>
      </c>
      <c r="B271" s="1">
        <v>45845.411863425928</v>
      </c>
      <c r="C271">
        <v>30002</v>
      </c>
      <c r="D271" t="s">
        <v>7</v>
      </c>
      <c r="E271" t="s">
        <v>100</v>
      </c>
      <c r="F271" t="s">
        <v>103</v>
      </c>
    </row>
    <row r="272" spans="1:6">
      <c r="A272" t="s">
        <v>6</v>
      </c>
      <c r="B272" s="1">
        <v>45845.396828703706</v>
      </c>
      <c r="C272">
        <v>30002</v>
      </c>
      <c r="D272" t="s">
        <v>7</v>
      </c>
      <c r="E272" t="s">
        <v>100</v>
      </c>
      <c r="F272" t="s">
        <v>103</v>
      </c>
    </row>
    <row r="273" spans="1:6">
      <c r="A273" t="s">
        <v>6</v>
      </c>
      <c r="B273" s="1">
        <v>45845.377962962964</v>
      </c>
      <c r="C273">
        <v>30002</v>
      </c>
      <c r="D273" t="s">
        <v>7</v>
      </c>
      <c r="E273" t="s">
        <v>100</v>
      </c>
      <c r="F273" t="s">
        <v>103</v>
      </c>
    </row>
    <row r="274" spans="1:6">
      <c r="A274" t="s">
        <v>6</v>
      </c>
      <c r="B274" s="1">
        <v>45845.37667824074</v>
      </c>
      <c r="C274">
        <v>30002</v>
      </c>
      <c r="D274" t="s">
        <v>7</v>
      </c>
      <c r="E274" t="s">
        <v>100</v>
      </c>
      <c r="F274" t="s">
        <v>103</v>
      </c>
    </row>
    <row r="275" spans="1:6">
      <c r="A275" t="s">
        <v>6</v>
      </c>
      <c r="B275" s="1">
        <v>45844.447430555556</v>
      </c>
      <c r="C275">
        <v>30002</v>
      </c>
      <c r="D275" t="s">
        <v>7</v>
      </c>
      <c r="E275" t="s">
        <v>100</v>
      </c>
      <c r="F275" t="s">
        <v>103</v>
      </c>
    </row>
    <row r="276" spans="1:6">
      <c r="A276" t="s">
        <v>6</v>
      </c>
      <c r="B276" s="1">
        <v>45844.419166666667</v>
      </c>
      <c r="C276">
        <v>30002</v>
      </c>
      <c r="D276" t="s">
        <v>7</v>
      </c>
      <c r="E276" t="s">
        <v>100</v>
      </c>
      <c r="F276" t="s">
        <v>103</v>
      </c>
    </row>
    <row r="277" spans="1:6">
      <c r="A277" t="s">
        <v>6</v>
      </c>
      <c r="B277" s="1">
        <v>45840.550798611112</v>
      </c>
      <c r="C277">
        <v>30002</v>
      </c>
      <c r="D277" t="s">
        <v>7</v>
      </c>
      <c r="E277" t="s">
        <v>100</v>
      </c>
      <c r="F277" t="s">
        <v>103</v>
      </c>
    </row>
    <row r="278" spans="1:6">
      <c r="A278" t="s">
        <v>6</v>
      </c>
      <c r="B278" s="1">
        <v>45839.527870370373</v>
      </c>
      <c r="C278">
        <v>30002</v>
      </c>
      <c r="D278" t="s">
        <v>7</v>
      </c>
      <c r="E278" t="s">
        <v>100</v>
      </c>
      <c r="F278" t="s">
        <v>103</v>
      </c>
    </row>
    <row r="279" spans="1:6">
      <c r="A279" t="s">
        <v>6</v>
      </c>
      <c r="B279" s="1">
        <v>45839.516643518517</v>
      </c>
      <c r="C279">
        <v>30002</v>
      </c>
      <c r="D279" t="s">
        <v>7</v>
      </c>
      <c r="E279" t="s">
        <v>100</v>
      </c>
      <c r="F279" t="s">
        <v>103</v>
      </c>
    </row>
    <row r="280" spans="1:6">
      <c r="A280" t="s">
        <v>6</v>
      </c>
      <c r="B280" s="1">
        <v>45839.507372685184</v>
      </c>
      <c r="C280">
        <v>30002</v>
      </c>
      <c r="D280" t="s">
        <v>7</v>
      </c>
      <c r="E280" t="s">
        <v>100</v>
      </c>
      <c r="F280" t="s">
        <v>103</v>
      </c>
    </row>
    <row r="281" spans="1:6">
      <c r="A281" t="s">
        <v>6</v>
      </c>
      <c r="B281" s="1">
        <v>45839.489583333336</v>
      </c>
      <c r="C281">
        <v>30002</v>
      </c>
      <c r="D281" t="s">
        <v>7</v>
      </c>
      <c r="E281" t="s">
        <v>100</v>
      </c>
      <c r="F281" t="s">
        <v>103</v>
      </c>
    </row>
    <row r="282" spans="1:6">
      <c r="A282" t="s">
        <v>6</v>
      </c>
      <c r="B282" s="1">
        <v>45856.456712962965</v>
      </c>
      <c r="C282">
        <v>30002</v>
      </c>
      <c r="D282" t="s">
        <v>7</v>
      </c>
      <c r="E282" t="s">
        <v>100</v>
      </c>
      <c r="F282" t="s">
        <v>104</v>
      </c>
    </row>
    <row r="283" spans="1:6">
      <c r="A283" t="s">
        <v>6</v>
      </c>
      <c r="B283" s="1">
        <v>45841.686018518521</v>
      </c>
      <c r="C283">
        <v>30002</v>
      </c>
      <c r="D283" t="s">
        <v>7</v>
      </c>
      <c r="E283" t="s">
        <v>100</v>
      </c>
      <c r="F283" t="s">
        <v>105</v>
      </c>
    </row>
    <row r="284" spans="1:6">
      <c r="A284" t="s">
        <v>6</v>
      </c>
      <c r="B284" s="1">
        <v>45867.261921296296</v>
      </c>
      <c r="C284">
        <v>30002</v>
      </c>
      <c r="D284" t="s">
        <v>7</v>
      </c>
      <c r="E284" t="s">
        <v>100</v>
      </c>
      <c r="F284" t="s">
        <v>19</v>
      </c>
    </row>
    <row r="285" spans="1:6">
      <c r="A285" t="s">
        <v>6</v>
      </c>
      <c r="B285" s="1">
        <v>45866.286793981482</v>
      </c>
      <c r="C285">
        <v>30002</v>
      </c>
      <c r="D285" t="s">
        <v>7</v>
      </c>
      <c r="E285" t="s">
        <v>100</v>
      </c>
      <c r="F285" t="s">
        <v>19</v>
      </c>
    </row>
    <row r="286" spans="1:6">
      <c r="A286" t="s">
        <v>6</v>
      </c>
      <c r="B286" s="1">
        <v>45866.2809375</v>
      </c>
      <c r="C286">
        <v>30002</v>
      </c>
      <c r="D286" t="s">
        <v>7</v>
      </c>
      <c r="E286" t="s">
        <v>100</v>
      </c>
      <c r="F286" t="s">
        <v>19</v>
      </c>
    </row>
    <row r="287" spans="1:6">
      <c r="A287" t="s">
        <v>6</v>
      </c>
      <c r="B287" s="1">
        <v>45848.318668981483</v>
      </c>
      <c r="C287">
        <v>30002</v>
      </c>
      <c r="D287" t="s">
        <v>7</v>
      </c>
      <c r="E287" t="s">
        <v>100</v>
      </c>
      <c r="F287" t="s">
        <v>19</v>
      </c>
    </row>
    <row r="288" spans="1:6">
      <c r="A288" t="s">
        <v>6</v>
      </c>
      <c r="B288" s="1">
        <v>45846.261250000003</v>
      </c>
      <c r="C288">
        <v>30002</v>
      </c>
      <c r="D288" t="s">
        <v>7</v>
      </c>
      <c r="E288" t="s">
        <v>100</v>
      </c>
      <c r="F288" t="s">
        <v>19</v>
      </c>
    </row>
    <row r="289" spans="1:6">
      <c r="A289" t="s">
        <v>6</v>
      </c>
      <c r="B289" s="1">
        <v>45842.626319444447</v>
      </c>
      <c r="C289">
        <v>30002</v>
      </c>
      <c r="D289" t="s">
        <v>7</v>
      </c>
      <c r="E289" t="s">
        <v>100</v>
      </c>
      <c r="F289" t="s">
        <v>19</v>
      </c>
    </row>
    <row r="290" spans="1:6">
      <c r="A290" t="s">
        <v>6</v>
      </c>
      <c r="B290" s="1">
        <v>45841.267905092594</v>
      </c>
      <c r="C290">
        <v>30002</v>
      </c>
      <c r="D290" t="s">
        <v>7</v>
      </c>
      <c r="E290" t="s">
        <v>100</v>
      </c>
      <c r="F290" t="s">
        <v>19</v>
      </c>
    </row>
    <row r="291" spans="1:6">
      <c r="A291" t="s">
        <v>6</v>
      </c>
      <c r="B291" s="1">
        <v>45868.575925925928</v>
      </c>
      <c r="C291">
        <v>30002</v>
      </c>
      <c r="D291" t="s">
        <v>7</v>
      </c>
      <c r="E291" t="s">
        <v>100</v>
      </c>
      <c r="F291" t="s">
        <v>20</v>
      </c>
    </row>
    <row r="292" spans="1:6">
      <c r="A292" t="s">
        <v>6</v>
      </c>
      <c r="B292" s="1">
        <v>45868.575613425928</v>
      </c>
      <c r="C292">
        <v>30002</v>
      </c>
      <c r="D292" t="s">
        <v>7</v>
      </c>
      <c r="E292" t="s">
        <v>100</v>
      </c>
      <c r="F292" t="s">
        <v>20</v>
      </c>
    </row>
    <row r="293" spans="1:6">
      <c r="A293" t="s">
        <v>6</v>
      </c>
      <c r="B293" s="1">
        <v>45868.575266203705</v>
      </c>
      <c r="C293">
        <v>30002</v>
      </c>
      <c r="D293" t="s">
        <v>7</v>
      </c>
      <c r="E293" t="s">
        <v>100</v>
      </c>
      <c r="F293" t="s">
        <v>20</v>
      </c>
    </row>
    <row r="294" spans="1:6">
      <c r="A294" t="s">
        <v>6</v>
      </c>
      <c r="B294" s="1">
        <v>45842.473530092589</v>
      </c>
      <c r="C294">
        <v>30002</v>
      </c>
      <c r="D294" t="s">
        <v>7</v>
      </c>
      <c r="E294" t="s">
        <v>100</v>
      </c>
      <c r="F294" t="s">
        <v>20</v>
      </c>
    </row>
    <row r="295" spans="1:6">
      <c r="A295" t="s">
        <v>6</v>
      </c>
      <c r="B295" s="1">
        <v>45839.737939814811</v>
      </c>
      <c r="C295">
        <v>30002</v>
      </c>
      <c r="D295" t="s">
        <v>7</v>
      </c>
      <c r="E295" t="s">
        <v>100</v>
      </c>
      <c r="F295" t="s">
        <v>20</v>
      </c>
    </row>
    <row r="296" spans="1:6">
      <c r="A296" t="s">
        <v>6</v>
      </c>
      <c r="B296" s="1">
        <v>45839.565057870372</v>
      </c>
      <c r="C296">
        <v>30002</v>
      </c>
      <c r="D296" t="s">
        <v>7</v>
      </c>
      <c r="E296" t="s">
        <v>100</v>
      </c>
      <c r="F296" t="s">
        <v>20</v>
      </c>
    </row>
    <row r="297" spans="1:6">
      <c r="A297" t="s">
        <v>6</v>
      </c>
      <c r="B297" s="1">
        <v>45839.55841435185</v>
      </c>
      <c r="C297">
        <v>30002</v>
      </c>
      <c r="D297" t="s">
        <v>7</v>
      </c>
      <c r="E297" t="s">
        <v>100</v>
      </c>
      <c r="F297" t="s">
        <v>20</v>
      </c>
    </row>
    <row r="298" spans="1:6">
      <c r="A298" t="s">
        <v>6</v>
      </c>
      <c r="B298" s="1">
        <v>45839.357233796298</v>
      </c>
      <c r="C298">
        <v>30002</v>
      </c>
      <c r="D298" t="s">
        <v>7</v>
      </c>
      <c r="E298" t="s">
        <v>100</v>
      </c>
      <c r="F298" t="s">
        <v>31</v>
      </c>
    </row>
    <row r="299" spans="1:6">
      <c r="A299" t="s">
        <v>6</v>
      </c>
      <c r="B299" s="1">
        <v>45841.285208333335</v>
      </c>
      <c r="C299">
        <v>30002</v>
      </c>
      <c r="D299" t="s">
        <v>7</v>
      </c>
      <c r="E299" t="s">
        <v>100</v>
      </c>
      <c r="F299" t="s">
        <v>22</v>
      </c>
    </row>
    <row r="300" spans="1:6">
      <c r="A300" t="s">
        <v>6</v>
      </c>
      <c r="B300" s="1">
        <v>45840.737939814811</v>
      </c>
      <c r="C300">
        <v>30002</v>
      </c>
      <c r="D300" t="s">
        <v>7</v>
      </c>
      <c r="E300" t="s">
        <v>100</v>
      </c>
      <c r="F300" t="s">
        <v>22</v>
      </c>
    </row>
    <row r="301" spans="1:6">
      <c r="A301" t="s">
        <v>6</v>
      </c>
      <c r="B301" s="1">
        <v>45839.310578703706</v>
      </c>
      <c r="C301">
        <v>30002</v>
      </c>
      <c r="D301" t="s">
        <v>7</v>
      </c>
      <c r="E301" t="s">
        <v>100</v>
      </c>
      <c r="F301" t="s">
        <v>22</v>
      </c>
    </row>
    <row r="302" spans="1:6">
      <c r="A302" t="s">
        <v>6</v>
      </c>
      <c r="B302" s="1">
        <v>45869.423819444448</v>
      </c>
      <c r="C302">
        <v>30002</v>
      </c>
      <c r="D302" t="s">
        <v>7</v>
      </c>
      <c r="E302" t="s">
        <v>100</v>
      </c>
      <c r="F302" t="s">
        <v>23</v>
      </c>
    </row>
    <row r="303" spans="1:6">
      <c r="A303" t="s">
        <v>6</v>
      </c>
      <c r="B303" s="1">
        <v>45867.368784722225</v>
      </c>
      <c r="C303">
        <v>30002</v>
      </c>
      <c r="D303" t="s">
        <v>7</v>
      </c>
      <c r="E303" t="s">
        <v>100</v>
      </c>
      <c r="F303" t="s">
        <v>23</v>
      </c>
    </row>
    <row r="304" spans="1:6">
      <c r="A304" t="s">
        <v>6</v>
      </c>
      <c r="B304" s="1">
        <v>45866.368368055555</v>
      </c>
      <c r="C304">
        <v>30002</v>
      </c>
      <c r="D304" t="s">
        <v>7</v>
      </c>
      <c r="E304" t="s">
        <v>100</v>
      </c>
      <c r="F304" t="s">
        <v>23</v>
      </c>
    </row>
    <row r="305" spans="1:6">
      <c r="A305" t="s">
        <v>6</v>
      </c>
      <c r="B305" s="1">
        <v>45860.32335648148</v>
      </c>
      <c r="C305">
        <v>30002</v>
      </c>
      <c r="D305" t="s">
        <v>7</v>
      </c>
      <c r="E305" t="s">
        <v>100</v>
      </c>
      <c r="F305" t="s">
        <v>23</v>
      </c>
    </row>
    <row r="306" spans="1:6">
      <c r="A306" t="s">
        <v>6</v>
      </c>
      <c r="B306" s="1">
        <v>45859.400636574072</v>
      </c>
      <c r="C306">
        <v>30002</v>
      </c>
      <c r="D306" t="s">
        <v>7</v>
      </c>
      <c r="E306" t="s">
        <v>100</v>
      </c>
      <c r="F306" t="s">
        <v>23</v>
      </c>
    </row>
    <row r="307" spans="1:6">
      <c r="A307" t="s">
        <v>6</v>
      </c>
      <c r="B307" s="1">
        <v>45859.39603009259</v>
      </c>
      <c r="C307">
        <v>30002</v>
      </c>
      <c r="D307" t="s">
        <v>7</v>
      </c>
      <c r="E307" t="s">
        <v>100</v>
      </c>
      <c r="F307" t="s">
        <v>23</v>
      </c>
    </row>
    <row r="308" spans="1:6">
      <c r="A308" t="s">
        <v>6</v>
      </c>
      <c r="B308" s="1">
        <v>45849.628032407411</v>
      </c>
      <c r="C308">
        <v>30002</v>
      </c>
      <c r="D308" t="s">
        <v>7</v>
      </c>
      <c r="E308" t="s">
        <v>100</v>
      </c>
      <c r="F308" t="s">
        <v>23</v>
      </c>
    </row>
    <row r="309" spans="1:6">
      <c r="A309" t="s">
        <v>6</v>
      </c>
      <c r="B309" s="1">
        <v>45848.520428240743</v>
      </c>
      <c r="C309">
        <v>30002</v>
      </c>
      <c r="D309" t="s">
        <v>7</v>
      </c>
      <c r="E309" t="s">
        <v>100</v>
      </c>
      <c r="F309" t="s">
        <v>23</v>
      </c>
    </row>
    <row r="310" spans="1:6">
      <c r="A310" t="s">
        <v>6</v>
      </c>
      <c r="B310" s="1">
        <v>45847.522673611114</v>
      </c>
      <c r="C310">
        <v>30002</v>
      </c>
      <c r="D310" t="s">
        <v>7</v>
      </c>
      <c r="E310" t="s">
        <v>100</v>
      </c>
      <c r="F310" t="s">
        <v>23</v>
      </c>
    </row>
    <row r="311" spans="1:6">
      <c r="A311" t="s">
        <v>6</v>
      </c>
      <c r="B311" s="1">
        <v>45845.627129629633</v>
      </c>
      <c r="C311">
        <v>30002</v>
      </c>
      <c r="D311" t="s">
        <v>7</v>
      </c>
      <c r="E311" t="s">
        <v>100</v>
      </c>
      <c r="F311" t="s">
        <v>23</v>
      </c>
    </row>
    <row r="312" spans="1:6">
      <c r="A312" t="s">
        <v>6</v>
      </c>
      <c r="B312" s="1">
        <v>45845.613576388889</v>
      </c>
      <c r="C312">
        <v>30002</v>
      </c>
      <c r="D312" t="s">
        <v>7</v>
      </c>
      <c r="E312" t="s">
        <v>100</v>
      </c>
      <c r="F312" t="s">
        <v>23</v>
      </c>
    </row>
    <row r="313" spans="1:6">
      <c r="A313" t="s">
        <v>6</v>
      </c>
      <c r="B313" s="1">
        <v>45845.580868055556</v>
      </c>
      <c r="C313">
        <v>30002</v>
      </c>
      <c r="D313" t="s">
        <v>7</v>
      </c>
      <c r="E313" t="s">
        <v>100</v>
      </c>
      <c r="F313" t="s">
        <v>23</v>
      </c>
    </row>
    <row r="314" spans="1:6">
      <c r="A314" t="s">
        <v>6</v>
      </c>
      <c r="B314" s="1">
        <v>45845.575914351852</v>
      </c>
      <c r="C314">
        <v>30002</v>
      </c>
      <c r="D314" t="s">
        <v>7</v>
      </c>
      <c r="E314" t="s">
        <v>100</v>
      </c>
      <c r="F314" t="s">
        <v>23</v>
      </c>
    </row>
    <row r="315" spans="1:6">
      <c r="A315" t="s">
        <v>6</v>
      </c>
      <c r="B315" s="1">
        <v>45845.574525462966</v>
      </c>
      <c r="C315">
        <v>30002</v>
      </c>
      <c r="D315" t="s">
        <v>7</v>
      </c>
      <c r="E315" t="s">
        <v>100</v>
      </c>
      <c r="F315" t="s">
        <v>23</v>
      </c>
    </row>
    <row r="316" spans="1:6">
      <c r="A316" t="s">
        <v>6</v>
      </c>
      <c r="B316" s="1">
        <v>45845.332465277781</v>
      </c>
      <c r="C316">
        <v>30002</v>
      </c>
      <c r="D316" t="s">
        <v>7</v>
      </c>
      <c r="E316" t="s">
        <v>100</v>
      </c>
      <c r="F316" t="s">
        <v>23</v>
      </c>
    </row>
    <row r="317" spans="1:6">
      <c r="A317" t="s">
        <v>6</v>
      </c>
      <c r="B317" s="1">
        <v>45845.311655092592</v>
      </c>
      <c r="C317">
        <v>30002</v>
      </c>
      <c r="D317" t="s">
        <v>7</v>
      </c>
      <c r="E317" t="s">
        <v>100</v>
      </c>
      <c r="F317" t="s">
        <v>23</v>
      </c>
    </row>
    <row r="318" spans="1:6">
      <c r="A318" t="s">
        <v>6</v>
      </c>
      <c r="B318" s="1">
        <v>45844.686562499999</v>
      </c>
      <c r="C318">
        <v>30002</v>
      </c>
      <c r="D318" t="s">
        <v>7</v>
      </c>
      <c r="E318" t="s">
        <v>100</v>
      </c>
      <c r="F318" t="s">
        <v>23</v>
      </c>
    </row>
    <row r="319" spans="1:6">
      <c r="A319" t="s">
        <v>6</v>
      </c>
      <c r="B319" s="1">
        <v>45862.34752314815</v>
      </c>
      <c r="C319">
        <v>30002</v>
      </c>
      <c r="D319" t="s">
        <v>7</v>
      </c>
      <c r="E319" t="s">
        <v>100</v>
      </c>
      <c r="F319" t="s">
        <v>24</v>
      </c>
    </row>
    <row r="320" spans="1:6">
      <c r="A320" t="s">
        <v>6</v>
      </c>
      <c r="B320" s="1">
        <v>45862.307025462964</v>
      </c>
      <c r="C320">
        <v>30002</v>
      </c>
      <c r="D320" t="s">
        <v>7</v>
      </c>
      <c r="E320" t="s">
        <v>100</v>
      </c>
      <c r="F320" t="s">
        <v>24</v>
      </c>
    </row>
    <row r="321" spans="1:6">
      <c r="A321" t="s">
        <v>6</v>
      </c>
      <c r="B321" s="1">
        <v>45861.663344907407</v>
      </c>
      <c r="C321">
        <v>30002</v>
      </c>
      <c r="D321" t="s">
        <v>7</v>
      </c>
      <c r="E321" t="s">
        <v>100</v>
      </c>
      <c r="F321" t="s">
        <v>24</v>
      </c>
    </row>
    <row r="322" spans="1:6">
      <c r="A322" t="s">
        <v>6</v>
      </c>
      <c r="B322" s="1">
        <v>45861.662928240738</v>
      </c>
      <c r="C322">
        <v>30002</v>
      </c>
      <c r="D322" t="s">
        <v>7</v>
      </c>
      <c r="E322" t="s">
        <v>100</v>
      </c>
      <c r="F322" t="s">
        <v>24</v>
      </c>
    </row>
    <row r="323" spans="1:6">
      <c r="A323" t="s">
        <v>6</v>
      </c>
      <c r="B323" s="1">
        <v>45861.645891203705</v>
      </c>
      <c r="C323">
        <v>30002</v>
      </c>
      <c r="D323" t="s">
        <v>7</v>
      </c>
      <c r="E323" t="s">
        <v>100</v>
      </c>
      <c r="F323" t="s">
        <v>24</v>
      </c>
    </row>
    <row r="324" spans="1:6">
      <c r="A324" t="s">
        <v>6</v>
      </c>
      <c r="B324" s="1">
        <v>45861.645173611112</v>
      </c>
      <c r="C324">
        <v>30002</v>
      </c>
      <c r="D324" t="s">
        <v>7</v>
      </c>
      <c r="E324" t="s">
        <v>100</v>
      </c>
      <c r="F324" t="s">
        <v>24</v>
      </c>
    </row>
    <row r="325" spans="1:6">
      <c r="A325" t="s">
        <v>6</v>
      </c>
      <c r="B325" s="1">
        <v>45861.635972222219</v>
      </c>
      <c r="C325">
        <v>30002</v>
      </c>
      <c r="D325" t="s">
        <v>7</v>
      </c>
      <c r="E325" t="s">
        <v>100</v>
      </c>
      <c r="F325" t="s">
        <v>24</v>
      </c>
    </row>
    <row r="326" spans="1:6">
      <c r="A326" t="s">
        <v>6</v>
      </c>
      <c r="B326" s="1">
        <v>45861.599421296298</v>
      </c>
      <c r="C326">
        <v>30002</v>
      </c>
      <c r="D326" t="s">
        <v>7</v>
      </c>
      <c r="E326" t="s">
        <v>100</v>
      </c>
      <c r="F326" t="s">
        <v>24</v>
      </c>
    </row>
    <row r="327" spans="1:6">
      <c r="A327" t="s">
        <v>6</v>
      </c>
      <c r="B327" s="1">
        <v>45861.513981481483</v>
      </c>
      <c r="C327">
        <v>30002</v>
      </c>
      <c r="D327" t="s">
        <v>7</v>
      </c>
      <c r="E327" t="s">
        <v>100</v>
      </c>
      <c r="F327" t="s">
        <v>24</v>
      </c>
    </row>
    <row r="328" spans="1:6">
      <c r="A328" t="s">
        <v>6</v>
      </c>
      <c r="B328" s="1">
        <v>45861.47892361111</v>
      </c>
      <c r="C328">
        <v>30002</v>
      </c>
      <c r="D328" t="s">
        <v>7</v>
      </c>
      <c r="E328" t="s">
        <v>100</v>
      </c>
      <c r="F328" t="s">
        <v>24</v>
      </c>
    </row>
    <row r="329" spans="1:6">
      <c r="A329" t="s">
        <v>6</v>
      </c>
      <c r="B329" s="1">
        <v>45860.54179398148</v>
      </c>
      <c r="C329">
        <v>30002</v>
      </c>
      <c r="D329" t="s">
        <v>7</v>
      </c>
      <c r="E329" t="s">
        <v>100</v>
      </c>
      <c r="F329" t="s">
        <v>24</v>
      </c>
    </row>
    <row r="330" spans="1:6">
      <c r="A330" t="s">
        <v>6</v>
      </c>
      <c r="B330" s="1">
        <v>45853.558148148149</v>
      </c>
      <c r="C330">
        <v>30002</v>
      </c>
      <c r="D330" t="s">
        <v>7</v>
      </c>
      <c r="E330" t="s">
        <v>100</v>
      </c>
      <c r="F330" t="s">
        <v>24</v>
      </c>
    </row>
    <row r="331" spans="1:6">
      <c r="A331" t="s">
        <v>6</v>
      </c>
      <c r="B331" s="1">
        <v>45869.51090277778</v>
      </c>
      <c r="C331">
        <v>30002</v>
      </c>
      <c r="D331" t="s">
        <v>7</v>
      </c>
      <c r="E331" t="s">
        <v>100</v>
      </c>
      <c r="F331" t="s">
        <v>97</v>
      </c>
    </row>
    <row r="332" spans="1:6">
      <c r="A332" t="s">
        <v>6</v>
      </c>
      <c r="B332" s="1">
        <v>45869.400173611109</v>
      </c>
      <c r="C332">
        <v>30002</v>
      </c>
      <c r="D332" t="s">
        <v>7</v>
      </c>
      <c r="E332" t="s">
        <v>100</v>
      </c>
      <c r="F332" t="s">
        <v>97</v>
      </c>
    </row>
    <row r="333" spans="1:6">
      <c r="A333" t="s">
        <v>6</v>
      </c>
      <c r="B333" s="1">
        <v>45869.376261574071</v>
      </c>
      <c r="C333">
        <v>30002</v>
      </c>
      <c r="D333" t="s">
        <v>7</v>
      </c>
      <c r="E333" t="s">
        <v>100</v>
      </c>
      <c r="F333" t="s">
        <v>97</v>
      </c>
    </row>
    <row r="334" spans="1:6">
      <c r="A334" t="s">
        <v>6</v>
      </c>
      <c r="B334" s="1">
        <v>45869.307962962965</v>
      </c>
      <c r="C334">
        <v>30002</v>
      </c>
      <c r="D334" t="s">
        <v>7</v>
      </c>
      <c r="E334" t="s">
        <v>100</v>
      </c>
      <c r="F334" t="s">
        <v>97</v>
      </c>
    </row>
    <row r="335" spans="1:6">
      <c r="A335" t="s">
        <v>6</v>
      </c>
      <c r="B335" s="1">
        <v>45869.305486111109</v>
      </c>
      <c r="C335">
        <v>30002</v>
      </c>
      <c r="D335" t="s">
        <v>7</v>
      </c>
      <c r="E335" t="s">
        <v>100</v>
      </c>
      <c r="F335" t="s">
        <v>97</v>
      </c>
    </row>
    <row r="336" spans="1:6">
      <c r="A336" t="s">
        <v>6</v>
      </c>
      <c r="B336" s="1">
        <v>45867.472222222219</v>
      </c>
      <c r="C336">
        <v>30002</v>
      </c>
      <c r="D336" t="s">
        <v>7</v>
      </c>
      <c r="E336" t="s">
        <v>100</v>
      </c>
      <c r="F336" t="s">
        <v>97</v>
      </c>
    </row>
    <row r="337" spans="1:6">
      <c r="A337" t="s">
        <v>6</v>
      </c>
      <c r="B337" s="1">
        <v>45866.350949074076</v>
      </c>
      <c r="C337">
        <v>30002</v>
      </c>
      <c r="D337" t="s">
        <v>7</v>
      </c>
      <c r="E337" t="s">
        <v>100</v>
      </c>
      <c r="F337" t="s">
        <v>97</v>
      </c>
    </row>
    <row r="338" spans="1:6">
      <c r="A338" t="s">
        <v>6</v>
      </c>
      <c r="B338" s="1">
        <v>45866.312916666669</v>
      </c>
      <c r="C338">
        <v>30002</v>
      </c>
      <c r="D338" t="s">
        <v>7</v>
      </c>
      <c r="E338" t="s">
        <v>100</v>
      </c>
      <c r="F338" t="s">
        <v>97</v>
      </c>
    </row>
    <row r="339" spans="1:6">
      <c r="A339" t="s">
        <v>6</v>
      </c>
      <c r="B339" s="1">
        <v>45862.327384259261</v>
      </c>
      <c r="C339">
        <v>30002</v>
      </c>
      <c r="D339" t="s">
        <v>7</v>
      </c>
      <c r="E339" t="s">
        <v>100</v>
      </c>
      <c r="F339" t="s">
        <v>97</v>
      </c>
    </row>
    <row r="340" spans="1:6">
      <c r="A340" t="s">
        <v>6</v>
      </c>
      <c r="B340" s="1">
        <v>45861.659224537034</v>
      </c>
      <c r="C340">
        <v>30002</v>
      </c>
      <c r="D340" t="s">
        <v>7</v>
      </c>
      <c r="E340" t="s">
        <v>100</v>
      </c>
      <c r="F340" t="s">
        <v>97</v>
      </c>
    </row>
    <row r="341" spans="1:6">
      <c r="A341" t="s">
        <v>6</v>
      </c>
      <c r="B341" s="1">
        <v>45861.381643518522</v>
      </c>
      <c r="C341">
        <v>30002</v>
      </c>
      <c r="D341" t="s">
        <v>7</v>
      </c>
      <c r="E341" t="s">
        <v>100</v>
      </c>
      <c r="F341" t="s">
        <v>97</v>
      </c>
    </row>
    <row r="342" spans="1:6">
      <c r="A342" t="s">
        <v>6</v>
      </c>
      <c r="B342" s="1">
        <v>45861.355555555558</v>
      </c>
      <c r="C342">
        <v>30002</v>
      </c>
      <c r="D342" t="s">
        <v>7</v>
      </c>
      <c r="E342" t="s">
        <v>100</v>
      </c>
      <c r="F342" t="s">
        <v>97</v>
      </c>
    </row>
    <row r="343" spans="1:6">
      <c r="A343" t="s">
        <v>6</v>
      </c>
      <c r="B343" s="1">
        <v>45861.331064814818</v>
      </c>
      <c r="C343">
        <v>30002</v>
      </c>
      <c r="D343" t="s">
        <v>7</v>
      </c>
      <c r="E343" t="s">
        <v>100</v>
      </c>
      <c r="F343" t="s">
        <v>97</v>
      </c>
    </row>
    <row r="344" spans="1:6">
      <c r="A344" t="s">
        <v>6</v>
      </c>
      <c r="B344" s="1">
        <v>45860.579085648147</v>
      </c>
      <c r="C344">
        <v>30002</v>
      </c>
      <c r="D344" t="s">
        <v>7</v>
      </c>
      <c r="E344" t="s">
        <v>100</v>
      </c>
      <c r="F344" t="s">
        <v>97</v>
      </c>
    </row>
    <row r="345" spans="1:6">
      <c r="A345" t="s">
        <v>6</v>
      </c>
      <c r="B345" s="1">
        <v>45859.56050925926</v>
      </c>
      <c r="C345">
        <v>30002</v>
      </c>
      <c r="D345" t="s">
        <v>7</v>
      </c>
      <c r="E345" t="s">
        <v>100</v>
      </c>
      <c r="F345" t="s">
        <v>97</v>
      </c>
    </row>
    <row r="346" spans="1:6">
      <c r="A346" t="s">
        <v>6</v>
      </c>
      <c r="B346" s="1">
        <v>45856.305625000001</v>
      </c>
      <c r="C346">
        <v>30002</v>
      </c>
      <c r="D346" t="s">
        <v>7</v>
      </c>
      <c r="E346" t="s">
        <v>100</v>
      </c>
      <c r="F346" t="s">
        <v>97</v>
      </c>
    </row>
    <row r="347" spans="1:6">
      <c r="A347" t="s">
        <v>6</v>
      </c>
      <c r="B347" s="1">
        <v>45855.390127314815</v>
      </c>
      <c r="C347">
        <v>30002</v>
      </c>
      <c r="D347" t="s">
        <v>7</v>
      </c>
      <c r="E347" t="s">
        <v>100</v>
      </c>
      <c r="F347" t="s">
        <v>97</v>
      </c>
    </row>
    <row r="348" spans="1:6">
      <c r="A348" t="s">
        <v>6</v>
      </c>
      <c r="B348" s="1">
        <v>45855.370578703703</v>
      </c>
      <c r="C348">
        <v>30002</v>
      </c>
      <c r="D348" t="s">
        <v>7</v>
      </c>
      <c r="E348" t="s">
        <v>100</v>
      </c>
      <c r="F348" t="s">
        <v>97</v>
      </c>
    </row>
    <row r="349" spans="1:6">
      <c r="A349" t="s">
        <v>6</v>
      </c>
      <c r="B349" s="1">
        <v>45847.393148148149</v>
      </c>
      <c r="C349">
        <v>30002</v>
      </c>
      <c r="D349" t="s">
        <v>7</v>
      </c>
      <c r="E349" t="s">
        <v>100</v>
      </c>
      <c r="F349" t="s">
        <v>97</v>
      </c>
    </row>
    <row r="350" spans="1:6">
      <c r="A350" t="s">
        <v>6</v>
      </c>
      <c r="B350" s="1">
        <v>45846.308182870373</v>
      </c>
      <c r="C350">
        <v>30002</v>
      </c>
      <c r="D350" t="s">
        <v>7</v>
      </c>
      <c r="E350" t="s">
        <v>100</v>
      </c>
      <c r="F350" t="s">
        <v>97</v>
      </c>
    </row>
    <row r="351" spans="1:6">
      <c r="A351" t="s">
        <v>6</v>
      </c>
      <c r="B351" s="1">
        <v>45846.304039351853</v>
      </c>
      <c r="C351">
        <v>30002</v>
      </c>
      <c r="D351" t="s">
        <v>7</v>
      </c>
      <c r="E351" t="s">
        <v>100</v>
      </c>
      <c r="F351" t="s">
        <v>97</v>
      </c>
    </row>
    <row r="352" spans="1:6">
      <c r="A352" t="s">
        <v>6</v>
      </c>
      <c r="B352" s="1">
        <v>45846.301319444443</v>
      </c>
      <c r="C352">
        <v>30002</v>
      </c>
      <c r="D352" t="s">
        <v>7</v>
      </c>
      <c r="E352" t="s">
        <v>100</v>
      </c>
      <c r="F352" t="s">
        <v>97</v>
      </c>
    </row>
    <row r="353" spans="1:6">
      <c r="A353" t="s">
        <v>6</v>
      </c>
      <c r="B353" s="1">
        <v>45845.52621527778</v>
      </c>
      <c r="C353">
        <v>30002</v>
      </c>
      <c r="D353" t="s">
        <v>7</v>
      </c>
      <c r="E353" t="s">
        <v>100</v>
      </c>
      <c r="F353" t="s">
        <v>97</v>
      </c>
    </row>
    <row r="354" spans="1:6">
      <c r="A354" t="s">
        <v>6</v>
      </c>
      <c r="B354" s="1">
        <v>45841.594490740739</v>
      </c>
      <c r="C354">
        <v>30002</v>
      </c>
      <c r="D354" t="s">
        <v>7</v>
      </c>
      <c r="E354" t="s">
        <v>100</v>
      </c>
      <c r="F354" t="s">
        <v>97</v>
      </c>
    </row>
    <row r="355" spans="1:6">
      <c r="A355" t="s">
        <v>6</v>
      </c>
      <c r="B355" s="1">
        <v>45841.593101851853</v>
      </c>
      <c r="C355">
        <v>30002</v>
      </c>
      <c r="D355" t="s">
        <v>7</v>
      </c>
      <c r="E355" t="s">
        <v>100</v>
      </c>
      <c r="F355" t="s">
        <v>97</v>
      </c>
    </row>
    <row r="356" spans="1:6">
      <c r="A356" t="s">
        <v>6</v>
      </c>
      <c r="B356" s="1">
        <v>45841.591527777775</v>
      </c>
      <c r="C356">
        <v>30002</v>
      </c>
      <c r="D356" t="s">
        <v>7</v>
      </c>
      <c r="E356" t="s">
        <v>100</v>
      </c>
      <c r="F356" t="s">
        <v>97</v>
      </c>
    </row>
    <row r="357" spans="1:6">
      <c r="A357" t="s">
        <v>6</v>
      </c>
      <c r="B357" s="1">
        <v>45841.589942129627</v>
      </c>
      <c r="C357">
        <v>30002</v>
      </c>
      <c r="D357" t="s">
        <v>7</v>
      </c>
      <c r="E357" t="s">
        <v>100</v>
      </c>
      <c r="F357" t="s">
        <v>97</v>
      </c>
    </row>
    <row r="358" spans="1:6">
      <c r="A358" t="s">
        <v>6</v>
      </c>
      <c r="B358" s="1">
        <v>45841.58797453704</v>
      </c>
      <c r="C358">
        <v>30002</v>
      </c>
      <c r="D358" t="s">
        <v>7</v>
      </c>
      <c r="E358" t="s">
        <v>100</v>
      </c>
      <c r="F358" t="s">
        <v>97</v>
      </c>
    </row>
    <row r="359" spans="1:6">
      <c r="A359" t="s">
        <v>6</v>
      </c>
      <c r="B359" s="1">
        <v>45841.288495370369</v>
      </c>
      <c r="C359">
        <v>30002</v>
      </c>
      <c r="D359" t="s">
        <v>7</v>
      </c>
      <c r="E359" t="s">
        <v>100</v>
      </c>
      <c r="F359" t="s">
        <v>97</v>
      </c>
    </row>
    <row r="360" spans="1:6">
      <c r="A360" t="s">
        <v>6</v>
      </c>
      <c r="B360" s="1">
        <v>45840.581909722219</v>
      </c>
      <c r="C360">
        <v>30002</v>
      </c>
      <c r="D360" t="s">
        <v>7</v>
      </c>
      <c r="E360" t="s">
        <v>100</v>
      </c>
      <c r="F360" t="s">
        <v>97</v>
      </c>
    </row>
    <row r="361" spans="1:6">
      <c r="A361" t="s">
        <v>6</v>
      </c>
      <c r="B361" s="1">
        <v>45839.298310185186</v>
      </c>
      <c r="C361">
        <v>30002</v>
      </c>
      <c r="D361" t="s">
        <v>7</v>
      </c>
      <c r="E361" t="s">
        <v>100</v>
      </c>
      <c r="F361" t="s">
        <v>97</v>
      </c>
    </row>
    <row r="362" spans="1:6">
      <c r="A362" t="s">
        <v>6</v>
      </c>
      <c r="B362" s="1">
        <v>45844.354050925926</v>
      </c>
      <c r="C362">
        <v>30002</v>
      </c>
      <c r="D362" t="s">
        <v>7</v>
      </c>
      <c r="E362" t="s">
        <v>100</v>
      </c>
      <c r="F362" t="s">
        <v>106</v>
      </c>
    </row>
    <row r="363" spans="1:6">
      <c r="A363" t="s">
        <v>6</v>
      </c>
      <c r="B363" s="1">
        <v>45840.518877314818</v>
      </c>
      <c r="C363">
        <v>30002</v>
      </c>
      <c r="D363" t="s">
        <v>7</v>
      </c>
      <c r="E363" t="s">
        <v>107</v>
      </c>
      <c r="F363" t="s">
        <v>101</v>
      </c>
    </row>
    <row r="364" spans="1:6">
      <c r="A364" t="s">
        <v>6</v>
      </c>
      <c r="B364" s="1">
        <v>45845.397766203707</v>
      </c>
      <c r="C364">
        <v>30002</v>
      </c>
      <c r="D364" t="s">
        <v>7</v>
      </c>
      <c r="E364" t="s">
        <v>107</v>
      </c>
      <c r="F364" t="s">
        <v>18</v>
      </c>
    </row>
    <row r="365" spans="1:6">
      <c r="A365" t="s">
        <v>6</v>
      </c>
      <c r="B365" s="1">
        <v>45847.666643518518</v>
      </c>
      <c r="C365">
        <v>30002</v>
      </c>
      <c r="D365" t="s">
        <v>7</v>
      </c>
      <c r="E365" t="s">
        <v>107</v>
      </c>
      <c r="F365" t="s">
        <v>19</v>
      </c>
    </row>
    <row r="366" spans="1:6">
      <c r="A366" t="s">
        <v>6</v>
      </c>
      <c r="B366" s="1">
        <v>45847.662152777775</v>
      </c>
      <c r="C366">
        <v>30002</v>
      </c>
      <c r="D366" t="s">
        <v>7</v>
      </c>
      <c r="E366" t="s">
        <v>107</v>
      </c>
      <c r="F366" t="s">
        <v>19</v>
      </c>
    </row>
    <row r="367" spans="1:6">
      <c r="A367" t="s">
        <v>6</v>
      </c>
      <c r="B367" s="1">
        <v>45847.656724537039</v>
      </c>
      <c r="C367">
        <v>30002</v>
      </c>
      <c r="D367" t="s">
        <v>7</v>
      </c>
      <c r="E367" t="s">
        <v>107</v>
      </c>
      <c r="F367" t="s">
        <v>19</v>
      </c>
    </row>
    <row r="368" spans="1:6">
      <c r="A368" t="s">
        <v>6</v>
      </c>
      <c r="B368" s="1">
        <v>45846.309421296297</v>
      </c>
      <c r="C368">
        <v>30002</v>
      </c>
      <c r="D368" t="s">
        <v>7</v>
      </c>
      <c r="E368" t="s">
        <v>107</v>
      </c>
      <c r="F368" t="s">
        <v>19</v>
      </c>
    </row>
    <row r="369" spans="1:6">
      <c r="A369" t="s">
        <v>6</v>
      </c>
      <c r="B369" s="1">
        <v>45845.190960648149</v>
      </c>
      <c r="C369">
        <v>30002</v>
      </c>
      <c r="D369" t="s">
        <v>7</v>
      </c>
      <c r="E369" t="s">
        <v>107</v>
      </c>
      <c r="F369" t="s">
        <v>19</v>
      </c>
    </row>
    <row r="370" spans="1:6">
      <c r="A370" t="s">
        <v>6</v>
      </c>
      <c r="B370" s="1">
        <v>45866.65252314815</v>
      </c>
      <c r="C370">
        <v>30002</v>
      </c>
      <c r="D370" t="s">
        <v>7</v>
      </c>
      <c r="E370" t="s">
        <v>107</v>
      </c>
      <c r="F370" t="s">
        <v>22</v>
      </c>
    </row>
    <row r="371" spans="1:6">
      <c r="A371" t="s">
        <v>6</v>
      </c>
      <c r="B371" s="1">
        <v>45866.364814814813</v>
      </c>
      <c r="C371">
        <v>30002</v>
      </c>
      <c r="D371" t="s">
        <v>7</v>
      </c>
      <c r="E371" t="s">
        <v>107</v>
      </c>
      <c r="F371" t="s">
        <v>22</v>
      </c>
    </row>
    <row r="372" spans="1:6">
      <c r="A372" t="s">
        <v>6</v>
      </c>
      <c r="B372" s="1">
        <v>45862.735312500001</v>
      </c>
      <c r="C372">
        <v>30002</v>
      </c>
      <c r="D372" t="s">
        <v>7</v>
      </c>
      <c r="E372" t="s">
        <v>107</v>
      </c>
      <c r="F372" t="s">
        <v>22</v>
      </c>
    </row>
    <row r="373" spans="1:6">
      <c r="A373" t="s">
        <v>6</v>
      </c>
      <c r="B373" s="1">
        <v>45856.642164351855</v>
      </c>
      <c r="C373">
        <v>30002</v>
      </c>
      <c r="D373" t="s">
        <v>7</v>
      </c>
      <c r="E373" t="s">
        <v>107</v>
      </c>
      <c r="F373" t="s">
        <v>22</v>
      </c>
    </row>
    <row r="374" spans="1:6">
      <c r="A374" t="s">
        <v>6</v>
      </c>
      <c r="B374" s="1">
        <v>45856.547685185185</v>
      </c>
      <c r="C374">
        <v>30002</v>
      </c>
      <c r="D374" t="s">
        <v>7</v>
      </c>
      <c r="E374" t="s">
        <v>107</v>
      </c>
      <c r="F374" t="s">
        <v>22</v>
      </c>
    </row>
    <row r="375" spans="1:6">
      <c r="A375" t="s">
        <v>6</v>
      </c>
      <c r="B375" s="1">
        <v>45854.365104166667</v>
      </c>
      <c r="C375">
        <v>30002</v>
      </c>
      <c r="D375" t="s">
        <v>7</v>
      </c>
      <c r="E375" t="s">
        <v>107</v>
      </c>
      <c r="F375" t="s">
        <v>22</v>
      </c>
    </row>
    <row r="376" spans="1:6">
      <c r="A376" t="s">
        <v>6</v>
      </c>
      <c r="B376" s="1">
        <v>45854.360046296293</v>
      </c>
      <c r="C376">
        <v>30002</v>
      </c>
      <c r="D376" t="s">
        <v>7</v>
      </c>
      <c r="E376" t="s">
        <v>107</v>
      </c>
      <c r="F376" t="s">
        <v>22</v>
      </c>
    </row>
    <row r="377" spans="1:6">
      <c r="A377" t="s">
        <v>6</v>
      </c>
      <c r="B377" s="1">
        <v>45841.410636574074</v>
      </c>
      <c r="C377">
        <v>30002</v>
      </c>
      <c r="D377" t="s">
        <v>7</v>
      </c>
      <c r="E377" t="s">
        <v>107</v>
      </c>
      <c r="F377" t="s">
        <v>22</v>
      </c>
    </row>
    <row r="378" spans="1:6">
      <c r="A378" t="s">
        <v>6</v>
      </c>
      <c r="B378" s="1">
        <v>45841.397847222222</v>
      </c>
      <c r="C378">
        <v>30002</v>
      </c>
      <c r="D378" t="s">
        <v>7</v>
      </c>
      <c r="E378" t="s">
        <v>107</v>
      </c>
      <c r="F378" t="s">
        <v>22</v>
      </c>
    </row>
    <row r="379" spans="1:6">
      <c r="A379" t="s">
        <v>6</v>
      </c>
      <c r="B379" s="1">
        <v>45840.732743055552</v>
      </c>
      <c r="C379">
        <v>30002</v>
      </c>
      <c r="D379" t="s">
        <v>7</v>
      </c>
      <c r="E379" t="s">
        <v>107</v>
      </c>
      <c r="F379" t="s">
        <v>22</v>
      </c>
    </row>
    <row r="380" spans="1:6">
      <c r="A380" t="s">
        <v>6</v>
      </c>
      <c r="B380" s="1">
        <v>45840.700787037036</v>
      </c>
      <c r="C380">
        <v>30002</v>
      </c>
      <c r="D380" t="s">
        <v>7</v>
      </c>
      <c r="E380" t="s">
        <v>107</v>
      </c>
      <c r="F380" t="s">
        <v>22</v>
      </c>
    </row>
    <row r="381" spans="1:6">
      <c r="A381" t="s">
        <v>6</v>
      </c>
      <c r="B381" s="1">
        <v>45840.692569444444</v>
      </c>
      <c r="C381">
        <v>30002</v>
      </c>
      <c r="D381" t="s">
        <v>7</v>
      </c>
      <c r="E381" t="s">
        <v>107</v>
      </c>
      <c r="F381" t="s">
        <v>22</v>
      </c>
    </row>
    <row r="382" spans="1:6">
      <c r="A382" t="s">
        <v>6</v>
      </c>
      <c r="B382" s="1">
        <v>45840.626689814817</v>
      </c>
      <c r="C382">
        <v>30002</v>
      </c>
      <c r="D382" t="s">
        <v>7</v>
      </c>
      <c r="E382" t="s">
        <v>107</v>
      </c>
      <c r="F382" t="s">
        <v>22</v>
      </c>
    </row>
    <row r="383" spans="1:6">
      <c r="A383" t="s">
        <v>6</v>
      </c>
      <c r="B383" s="1">
        <v>45840.623541666668</v>
      </c>
      <c r="C383">
        <v>30002</v>
      </c>
      <c r="D383" t="s">
        <v>7</v>
      </c>
      <c r="E383" t="s">
        <v>107</v>
      </c>
      <c r="F383" t="s">
        <v>22</v>
      </c>
    </row>
    <row r="384" spans="1:6">
      <c r="A384" t="s">
        <v>6</v>
      </c>
      <c r="B384" s="1">
        <v>45840.35052083333</v>
      </c>
      <c r="C384">
        <v>30002</v>
      </c>
      <c r="D384" t="s">
        <v>7</v>
      </c>
      <c r="E384" t="s">
        <v>107</v>
      </c>
      <c r="F384" t="s">
        <v>22</v>
      </c>
    </row>
    <row r="385" spans="1:6">
      <c r="A385" t="s">
        <v>6</v>
      </c>
      <c r="B385" s="1">
        <v>45839.804618055554</v>
      </c>
      <c r="C385">
        <v>30002</v>
      </c>
      <c r="D385" t="s">
        <v>7</v>
      </c>
      <c r="E385" t="s">
        <v>107</v>
      </c>
      <c r="F385" t="s">
        <v>22</v>
      </c>
    </row>
    <row r="386" spans="1:6">
      <c r="A386" t="s">
        <v>6</v>
      </c>
      <c r="B386" s="1">
        <v>45839.675844907404</v>
      </c>
      <c r="C386">
        <v>30002</v>
      </c>
      <c r="D386" t="s">
        <v>7</v>
      </c>
      <c r="E386" t="s">
        <v>107</v>
      </c>
      <c r="F386" t="s">
        <v>22</v>
      </c>
    </row>
    <row r="387" spans="1:6">
      <c r="A387" t="s">
        <v>6</v>
      </c>
      <c r="B387" s="1">
        <v>45848.319062499999</v>
      </c>
      <c r="C387">
        <v>30002</v>
      </c>
      <c r="D387" t="s">
        <v>7</v>
      </c>
      <c r="E387" t="s">
        <v>108</v>
      </c>
      <c r="F387" t="s">
        <v>19</v>
      </c>
    </row>
    <row r="388" spans="1:6">
      <c r="A388" t="s">
        <v>6</v>
      </c>
      <c r="B388" s="1">
        <v>45856.559953703705</v>
      </c>
      <c r="C388">
        <v>30002</v>
      </c>
      <c r="D388" t="s">
        <v>7</v>
      </c>
      <c r="E388" t="s">
        <v>108</v>
      </c>
      <c r="F388" t="s">
        <v>22</v>
      </c>
    </row>
    <row r="389" spans="1:6">
      <c r="A389" t="s">
        <v>6</v>
      </c>
      <c r="B389" s="1">
        <v>45867.550578703704</v>
      </c>
      <c r="C389">
        <v>30002</v>
      </c>
      <c r="D389" t="s">
        <v>7</v>
      </c>
      <c r="E389" t="s">
        <v>109</v>
      </c>
      <c r="F389" t="s">
        <v>13</v>
      </c>
    </row>
    <row r="390" spans="1:6">
      <c r="A390" t="s">
        <v>6</v>
      </c>
      <c r="B390" s="1">
        <v>45867.534722222219</v>
      </c>
      <c r="C390">
        <v>30002</v>
      </c>
      <c r="D390" t="s">
        <v>7</v>
      </c>
      <c r="E390" t="s">
        <v>109</v>
      </c>
      <c r="F390" t="s">
        <v>13</v>
      </c>
    </row>
    <row r="391" spans="1:6">
      <c r="A391" t="s">
        <v>6</v>
      </c>
      <c r="B391" s="1">
        <v>45867.531863425924</v>
      </c>
      <c r="C391">
        <v>30002</v>
      </c>
      <c r="D391" t="s">
        <v>7</v>
      </c>
      <c r="E391" t="s">
        <v>109</v>
      </c>
      <c r="F391" t="s">
        <v>13</v>
      </c>
    </row>
    <row r="392" spans="1:6">
      <c r="A392" t="s">
        <v>6</v>
      </c>
      <c r="B392" s="1">
        <v>45867.525266203702</v>
      </c>
      <c r="C392">
        <v>30002</v>
      </c>
      <c r="D392" t="s">
        <v>7</v>
      </c>
      <c r="E392" t="s">
        <v>109</v>
      </c>
      <c r="F392" t="s">
        <v>13</v>
      </c>
    </row>
    <row r="393" spans="1:6">
      <c r="A393" t="s">
        <v>6</v>
      </c>
      <c r="B393" s="1">
        <v>45867.524791666663</v>
      </c>
      <c r="C393">
        <v>30002</v>
      </c>
      <c r="D393" t="s">
        <v>7</v>
      </c>
      <c r="E393" t="s">
        <v>109</v>
      </c>
      <c r="F393" t="s">
        <v>13</v>
      </c>
    </row>
    <row r="394" spans="1:6">
      <c r="A394" t="s">
        <v>6</v>
      </c>
      <c r="B394" s="1">
        <v>45867.524108796293</v>
      </c>
      <c r="C394">
        <v>30002</v>
      </c>
      <c r="D394" t="s">
        <v>7</v>
      </c>
      <c r="E394" t="s">
        <v>109</v>
      </c>
      <c r="F394" t="s">
        <v>13</v>
      </c>
    </row>
    <row r="395" spans="1:6">
      <c r="A395" t="s">
        <v>6</v>
      </c>
      <c r="B395" s="1">
        <v>45867.520219907405</v>
      </c>
      <c r="C395">
        <v>30002</v>
      </c>
      <c r="D395" t="s">
        <v>7</v>
      </c>
      <c r="E395" t="s">
        <v>109</v>
      </c>
      <c r="F395" t="s">
        <v>13</v>
      </c>
    </row>
    <row r="396" spans="1:6">
      <c r="A396" t="s">
        <v>6</v>
      </c>
      <c r="B396" s="1">
        <v>45867.515902777777</v>
      </c>
      <c r="C396">
        <v>30002</v>
      </c>
      <c r="D396" t="s">
        <v>7</v>
      </c>
      <c r="E396" t="s">
        <v>109</v>
      </c>
      <c r="F396" t="s">
        <v>13</v>
      </c>
    </row>
    <row r="397" spans="1:6">
      <c r="A397" t="s">
        <v>6</v>
      </c>
      <c r="B397" s="1">
        <v>45867.506458333337</v>
      </c>
      <c r="C397">
        <v>30002</v>
      </c>
      <c r="D397" t="s">
        <v>7</v>
      </c>
      <c r="E397" t="s">
        <v>109</v>
      </c>
      <c r="F397" t="s">
        <v>13</v>
      </c>
    </row>
    <row r="398" spans="1:6">
      <c r="A398" t="s">
        <v>6</v>
      </c>
      <c r="B398" s="1">
        <v>45867.505937499998</v>
      </c>
      <c r="C398">
        <v>30002</v>
      </c>
      <c r="D398" t="s">
        <v>7</v>
      </c>
      <c r="E398" t="s">
        <v>109</v>
      </c>
      <c r="F398" t="s">
        <v>13</v>
      </c>
    </row>
    <row r="399" spans="1:6">
      <c r="A399" t="s">
        <v>6</v>
      </c>
      <c r="B399" s="1">
        <v>45867.505636574075</v>
      </c>
      <c r="C399">
        <v>30002</v>
      </c>
      <c r="D399" t="s">
        <v>7</v>
      </c>
      <c r="E399" t="s">
        <v>109</v>
      </c>
      <c r="F399" t="s">
        <v>13</v>
      </c>
    </row>
    <row r="400" spans="1:6">
      <c r="A400" t="s">
        <v>6</v>
      </c>
      <c r="B400" s="1">
        <v>45867.477800925924</v>
      </c>
      <c r="C400">
        <v>30002</v>
      </c>
      <c r="D400" t="s">
        <v>7</v>
      </c>
      <c r="E400" t="s">
        <v>109</v>
      </c>
      <c r="F400" t="s">
        <v>13</v>
      </c>
    </row>
    <row r="401" spans="1:6">
      <c r="A401" t="s">
        <v>6</v>
      </c>
      <c r="B401" s="1">
        <v>45867.472199074073</v>
      </c>
      <c r="C401">
        <v>30002</v>
      </c>
      <c r="D401" t="s">
        <v>7</v>
      </c>
      <c r="E401" t="s">
        <v>109</v>
      </c>
      <c r="F401" t="s">
        <v>13</v>
      </c>
    </row>
    <row r="402" spans="1:6">
      <c r="A402" t="s">
        <v>6</v>
      </c>
      <c r="B402" s="1">
        <v>45867.465729166666</v>
      </c>
      <c r="C402">
        <v>30002</v>
      </c>
      <c r="D402" t="s">
        <v>7</v>
      </c>
      <c r="E402" t="s">
        <v>109</v>
      </c>
      <c r="F402" t="s">
        <v>13</v>
      </c>
    </row>
    <row r="403" spans="1:6">
      <c r="A403" t="s">
        <v>6</v>
      </c>
      <c r="B403" s="1">
        <v>45867.463738425926</v>
      </c>
      <c r="C403">
        <v>30002</v>
      </c>
      <c r="D403" t="s">
        <v>7</v>
      </c>
      <c r="E403" t="s">
        <v>109</v>
      </c>
      <c r="F403" t="s">
        <v>13</v>
      </c>
    </row>
    <row r="404" spans="1:6">
      <c r="A404" t="s">
        <v>6</v>
      </c>
      <c r="B404" s="1">
        <v>45867.460601851853</v>
      </c>
      <c r="C404">
        <v>30002</v>
      </c>
      <c r="D404" t="s">
        <v>7</v>
      </c>
      <c r="E404" t="s">
        <v>109</v>
      </c>
      <c r="F404" t="s">
        <v>13</v>
      </c>
    </row>
    <row r="405" spans="1:6">
      <c r="A405" t="s">
        <v>6</v>
      </c>
      <c r="B405" s="1">
        <v>45856.452604166669</v>
      </c>
      <c r="C405">
        <v>30002</v>
      </c>
      <c r="D405" t="s">
        <v>7</v>
      </c>
      <c r="E405" t="s">
        <v>109</v>
      </c>
      <c r="F405" t="s">
        <v>13</v>
      </c>
    </row>
    <row r="406" spans="1:6">
      <c r="A406" t="s">
        <v>6</v>
      </c>
      <c r="B406" s="1">
        <v>45856.45239583333</v>
      </c>
      <c r="C406">
        <v>30002</v>
      </c>
      <c r="D406" t="s">
        <v>7</v>
      </c>
      <c r="E406" t="s">
        <v>109</v>
      </c>
      <c r="F406" t="s">
        <v>13</v>
      </c>
    </row>
    <row r="407" spans="1:6">
      <c r="A407" t="s">
        <v>6</v>
      </c>
      <c r="B407" s="1">
        <v>45847.355266203704</v>
      </c>
      <c r="C407">
        <v>30002</v>
      </c>
      <c r="D407" t="s">
        <v>7</v>
      </c>
      <c r="E407" t="s">
        <v>109</v>
      </c>
      <c r="F407" t="s">
        <v>13</v>
      </c>
    </row>
    <row r="408" spans="1:6">
      <c r="A408" t="s">
        <v>6</v>
      </c>
      <c r="B408" s="1">
        <v>45846.352164351854</v>
      </c>
      <c r="C408">
        <v>30002</v>
      </c>
      <c r="D408" t="s">
        <v>7</v>
      </c>
      <c r="E408" t="s">
        <v>109</v>
      </c>
      <c r="F408" t="s">
        <v>18</v>
      </c>
    </row>
    <row r="409" spans="1:6">
      <c r="A409" t="s">
        <v>6</v>
      </c>
      <c r="B409" s="1">
        <v>45845.606990740744</v>
      </c>
      <c r="C409">
        <v>30002</v>
      </c>
      <c r="D409" t="s">
        <v>7</v>
      </c>
      <c r="E409" t="s">
        <v>109</v>
      </c>
      <c r="F409" t="s">
        <v>18</v>
      </c>
    </row>
    <row r="410" spans="1:6">
      <c r="A410" t="s">
        <v>6</v>
      </c>
      <c r="B410" s="1">
        <v>45845.604398148149</v>
      </c>
      <c r="C410">
        <v>30002</v>
      </c>
      <c r="D410" t="s">
        <v>7</v>
      </c>
      <c r="E410" t="s">
        <v>109</v>
      </c>
      <c r="F410" t="s">
        <v>18</v>
      </c>
    </row>
    <row r="411" spans="1:6">
      <c r="A411" t="s">
        <v>6</v>
      </c>
      <c r="B411" s="1">
        <v>45845.474050925928</v>
      </c>
      <c r="C411">
        <v>30002</v>
      </c>
      <c r="D411" t="s">
        <v>7</v>
      </c>
      <c r="E411" t="s">
        <v>109</v>
      </c>
      <c r="F411" t="s">
        <v>18</v>
      </c>
    </row>
    <row r="412" spans="1:6">
      <c r="A412" t="s">
        <v>6</v>
      </c>
      <c r="B412" s="1">
        <v>45845.472974537035</v>
      </c>
      <c r="C412">
        <v>30002</v>
      </c>
      <c r="D412" t="s">
        <v>7</v>
      </c>
      <c r="E412" t="s">
        <v>109</v>
      </c>
      <c r="F412" t="s">
        <v>18</v>
      </c>
    </row>
    <row r="413" spans="1:6">
      <c r="A413" t="s">
        <v>6</v>
      </c>
      <c r="B413" s="1">
        <v>45845.472245370373</v>
      </c>
      <c r="C413">
        <v>30002</v>
      </c>
      <c r="D413" t="s">
        <v>7</v>
      </c>
      <c r="E413" t="s">
        <v>109</v>
      </c>
      <c r="F413" t="s">
        <v>18</v>
      </c>
    </row>
    <row r="414" spans="1:6">
      <c r="A414" t="s">
        <v>6</v>
      </c>
      <c r="B414" s="1">
        <v>45845.456203703703</v>
      </c>
      <c r="C414">
        <v>30002</v>
      </c>
      <c r="D414" t="s">
        <v>7</v>
      </c>
      <c r="E414" t="s">
        <v>109</v>
      </c>
      <c r="F414" t="s">
        <v>18</v>
      </c>
    </row>
    <row r="415" spans="1:6">
      <c r="A415" t="s">
        <v>6</v>
      </c>
      <c r="B415" s="1">
        <v>45845.447210648148</v>
      </c>
      <c r="C415">
        <v>30002</v>
      </c>
      <c r="D415" t="s">
        <v>7</v>
      </c>
      <c r="E415" t="s">
        <v>109</v>
      </c>
      <c r="F415" t="s">
        <v>18</v>
      </c>
    </row>
    <row r="416" spans="1:6">
      <c r="A416" t="s">
        <v>6</v>
      </c>
      <c r="B416" s="1">
        <v>45845.431168981479</v>
      </c>
      <c r="C416">
        <v>30002</v>
      </c>
      <c r="D416" t="s">
        <v>7</v>
      </c>
      <c r="E416" t="s">
        <v>109</v>
      </c>
      <c r="F416" t="s">
        <v>18</v>
      </c>
    </row>
    <row r="417" spans="1:6">
      <c r="A417" t="s">
        <v>6</v>
      </c>
      <c r="B417" s="1">
        <v>45845.430648148147</v>
      </c>
      <c r="C417">
        <v>30002</v>
      </c>
      <c r="D417" t="s">
        <v>7</v>
      </c>
      <c r="E417" t="s">
        <v>109</v>
      </c>
      <c r="F417" t="s">
        <v>18</v>
      </c>
    </row>
    <row r="418" spans="1:6">
      <c r="A418" t="s">
        <v>6</v>
      </c>
      <c r="B418" s="1">
        <v>45845.418946759259</v>
      </c>
      <c r="C418">
        <v>30002</v>
      </c>
      <c r="D418" t="s">
        <v>7</v>
      </c>
      <c r="E418" t="s">
        <v>109</v>
      </c>
      <c r="F418" t="s">
        <v>18</v>
      </c>
    </row>
    <row r="419" spans="1:6">
      <c r="A419" t="s">
        <v>6</v>
      </c>
      <c r="B419" s="1">
        <v>45845.423055555555</v>
      </c>
      <c r="C419">
        <v>30002</v>
      </c>
      <c r="D419" t="s">
        <v>7</v>
      </c>
      <c r="E419" t="s">
        <v>109</v>
      </c>
      <c r="F419" t="s">
        <v>103</v>
      </c>
    </row>
    <row r="420" spans="1:6">
      <c r="A420" t="s">
        <v>6</v>
      </c>
      <c r="B420" s="1">
        <v>45845.417222222219</v>
      </c>
      <c r="C420">
        <v>30002</v>
      </c>
      <c r="D420" t="s">
        <v>7</v>
      </c>
      <c r="E420" t="s">
        <v>109</v>
      </c>
      <c r="F420" t="s">
        <v>103</v>
      </c>
    </row>
    <row r="421" spans="1:6">
      <c r="A421" t="s">
        <v>6</v>
      </c>
      <c r="B421" s="1">
        <v>45845.415381944447</v>
      </c>
      <c r="C421">
        <v>30002</v>
      </c>
      <c r="D421" t="s">
        <v>7</v>
      </c>
      <c r="E421" t="s">
        <v>109</v>
      </c>
      <c r="F421" t="s">
        <v>103</v>
      </c>
    </row>
    <row r="422" spans="1:6">
      <c r="A422" t="s">
        <v>6</v>
      </c>
      <c r="B422" s="1">
        <v>45840.570347222223</v>
      </c>
      <c r="C422">
        <v>30002</v>
      </c>
      <c r="D422" t="s">
        <v>7</v>
      </c>
      <c r="E422" t="s">
        <v>109</v>
      </c>
      <c r="F422" t="s">
        <v>103</v>
      </c>
    </row>
    <row r="423" spans="1:6">
      <c r="A423" t="s">
        <v>6</v>
      </c>
      <c r="B423" s="1">
        <v>45848.31890046296</v>
      </c>
      <c r="C423">
        <v>30002</v>
      </c>
      <c r="D423" t="s">
        <v>7</v>
      </c>
      <c r="E423" t="s">
        <v>109</v>
      </c>
      <c r="F423" t="s">
        <v>19</v>
      </c>
    </row>
    <row r="424" spans="1:6">
      <c r="A424" t="s">
        <v>6</v>
      </c>
      <c r="B424" s="1">
        <v>45846.264131944445</v>
      </c>
      <c r="C424">
        <v>30002</v>
      </c>
      <c r="D424" t="s">
        <v>7</v>
      </c>
      <c r="E424" t="s">
        <v>109</v>
      </c>
      <c r="F424" t="s">
        <v>19</v>
      </c>
    </row>
    <row r="425" spans="1:6">
      <c r="A425" t="s">
        <v>6</v>
      </c>
      <c r="B425" s="1">
        <v>45846.261921296296</v>
      </c>
      <c r="C425">
        <v>30002</v>
      </c>
      <c r="D425" t="s">
        <v>7</v>
      </c>
      <c r="E425" t="s">
        <v>109</v>
      </c>
      <c r="F425" t="s">
        <v>19</v>
      </c>
    </row>
    <row r="426" spans="1:6">
      <c r="A426" t="s">
        <v>6</v>
      </c>
      <c r="B426" s="1">
        <v>45842.639618055553</v>
      </c>
      <c r="C426">
        <v>30002</v>
      </c>
      <c r="D426" t="s">
        <v>7</v>
      </c>
      <c r="E426" t="s">
        <v>109</v>
      </c>
      <c r="F426" t="s">
        <v>19</v>
      </c>
    </row>
    <row r="427" spans="1:6">
      <c r="A427" t="s">
        <v>6</v>
      </c>
      <c r="B427" s="1">
        <v>45842.63890046296</v>
      </c>
      <c r="C427">
        <v>30002</v>
      </c>
      <c r="D427" t="s">
        <v>7</v>
      </c>
      <c r="E427" t="s">
        <v>109</v>
      </c>
      <c r="F427" t="s">
        <v>19</v>
      </c>
    </row>
    <row r="428" spans="1:6">
      <c r="A428" t="s">
        <v>6</v>
      </c>
      <c r="B428" s="1">
        <v>45842.637569444443</v>
      </c>
      <c r="C428">
        <v>30002</v>
      </c>
      <c r="D428" t="s">
        <v>7</v>
      </c>
      <c r="E428" t="s">
        <v>109</v>
      </c>
      <c r="F428" t="s">
        <v>19</v>
      </c>
    </row>
    <row r="429" spans="1:6">
      <c r="A429" t="s">
        <v>6</v>
      </c>
      <c r="B429" s="1">
        <v>45842.637233796297</v>
      </c>
      <c r="C429">
        <v>30002</v>
      </c>
      <c r="D429" t="s">
        <v>7</v>
      </c>
      <c r="E429" t="s">
        <v>109</v>
      </c>
      <c r="F429" t="s">
        <v>19</v>
      </c>
    </row>
    <row r="430" spans="1:6">
      <c r="A430" t="s">
        <v>6</v>
      </c>
      <c r="B430" s="1">
        <v>45841.273981481485</v>
      </c>
      <c r="C430">
        <v>30002</v>
      </c>
      <c r="D430" t="s">
        <v>7</v>
      </c>
      <c r="E430" t="s">
        <v>109</v>
      </c>
      <c r="F430" t="s">
        <v>19</v>
      </c>
    </row>
    <row r="431" spans="1:6">
      <c r="A431" t="s">
        <v>6</v>
      </c>
      <c r="B431" s="1">
        <v>45866.679027777776</v>
      </c>
      <c r="C431">
        <v>30002</v>
      </c>
      <c r="D431" t="s">
        <v>7</v>
      </c>
      <c r="E431" t="s">
        <v>109</v>
      </c>
      <c r="F431" t="s">
        <v>22</v>
      </c>
    </row>
    <row r="432" spans="1:6">
      <c r="A432" t="s">
        <v>6</v>
      </c>
      <c r="B432" s="1">
        <v>45866.653263888889</v>
      </c>
      <c r="C432">
        <v>30002</v>
      </c>
      <c r="D432" t="s">
        <v>7</v>
      </c>
      <c r="E432" t="s">
        <v>109</v>
      </c>
      <c r="F432" t="s">
        <v>22</v>
      </c>
    </row>
    <row r="433" spans="1:6">
      <c r="A433" t="s">
        <v>6</v>
      </c>
      <c r="B433" s="1">
        <v>45866.366782407407</v>
      </c>
      <c r="C433">
        <v>30002</v>
      </c>
      <c r="D433" t="s">
        <v>7</v>
      </c>
      <c r="E433" t="s">
        <v>109</v>
      </c>
      <c r="F433" t="s">
        <v>22</v>
      </c>
    </row>
    <row r="434" spans="1:6">
      <c r="A434" t="s">
        <v>6</v>
      </c>
      <c r="B434" s="1">
        <v>45866.365601851852</v>
      </c>
      <c r="C434">
        <v>30002</v>
      </c>
      <c r="D434" t="s">
        <v>7</v>
      </c>
      <c r="E434" t="s">
        <v>109</v>
      </c>
      <c r="F434" t="s">
        <v>22</v>
      </c>
    </row>
    <row r="435" spans="1:6">
      <c r="A435" t="s">
        <v>6</v>
      </c>
      <c r="B435" s="1">
        <v>45856.562048611115</v>
      </c>
      <c r="C435">
        <v>30002</v>
      </c>
      <c r="D435" t="s">
        <v>7</v>
      </c>
      <c r="E435" t="s">
        <v>109</v>
      </c>
      <c r="F435" t="s">
        <v>22</v>
      </c>
    </row>
    <row r="436" spans="1:6">
      <c r="A436" t="s">
        <v>6</v>
      </c>
      <c r="B436" s="1">
        <v>45856.561793981484</v>
      </c>
      <c r="C436">
        <v>30002</v>
      </c>
      <c r="D436" t="s">
        <v>7</v>
      </c>
      <c r="E436" t="s">
        <v>109</v>
      </c>
      <c r="F436" t="s">
        <v>22</v>
      </c>
    </row>
    <row r="437" spans="1:6">
      <c r="A437" t="s">
        <v>6</v>
      </c>
      <c r="B437" s="1">
        <v>45856.558749999997</v>
      </c>
      <c r="C437">
        <v>30002</v>
      </c>
      <c r="D437" t="s">
        <v>7</v>
      </c>
      <c r="E437" t="s">
        <v>109</v>
      </c>
      <c r="F437" t="s">
        <v>22</v>
      </c>
    </row>
    <row r="438" spans="1:6">
      <c r="A438" t="s">
        <v>6</v>
      </c>
      <c r="B438" s="1">
        <v>45856.558009259257</v>
      </c>
      <c r="C438">
        <v>30002</v>
      </c>
      <c r="D438" t="s">
        <v>7</v>
      </c>
      <c r="E438" t="s">
        <v>109</v>
      </c>
      <c r="F438" t="s">
        <v>22</v>
      </c>
    </row>
    <row r="439" spans="1:6">
      <c r="A439" t="s">
        <v>6</v>
      </c>
      <c r="B439" s="1">
        <v>45841.409872685188</v>
      </c>
      <c r="C439">
        <v>30002</v>
      </c>
      <c r="D439" t="s">
        <v>7</v>
      </c>
      <c r="E439" t="s">
        <v>109</v>
      </c>
      <c r="F439" t="s">
        <v>22</v>
      </c>
    </row>
    <row r="440" spans="1:6">
      <c r="A440" t="s">
        <v>6</v>
      </c>
      <c r="B440" s="1">
        <v>45841.29383101852</v>
      </c>
      <c r="C440">
        <v>30002</v>
      </c>
      <c r="D440" t="s">
        <v>7</v>
      </c>
      <c r="E440" t="s">
        <v>109</v>
      </c>
      <c r="F440" t="s">
        <v>22</v>
      </c>
    </row>
    <row r="441" spans="1:6">
      <c r="A441" t="s">
        <v>6</v>
      </c>
      <c r="B441" s="1">
        <v>45841.292372685188</v>
      </c>
      <c r="C441">
        <v>30002</v>
      </c>
      <c r="D441" t="s">
        <v>7</v>
      </c>
      <c r="E441" t="s">
        <v>109</v>
      </c>
      <c r="F441" t="s">
        <v>22</v>
      </c>
    </row>
    <row r="442" spans="1:6">
      <c r="A442" t="s">
        <v>6</v>
      </c>
      <c r="B442" s="1">
        <v>45841.291493055556</v>
      </c>
      <c r="C442">
        <v>30002</v>
      </c>
      <c r="D442" t="s">
        <v>7</v>
      </c>
      <c r="E442" t="s">
        <v>109</v>
      </c>
      <c r="F442" t="s">
        <v>22</v>
      </c>
    </row>
    <row r="443" spans="1:6">
      <c r="A443" t="s">
        <v>6</v>
      </c>
      <c r="B443" s="1">
        <v>45841.288784722223</v>
      </c>
      <c r="C443">
        <v>30002</v>
      </c>
      <c r="D443" t="s">
        <v>7</v>
      </c>
      <c r="E443" t="s">
        <v>109</v>
      </c>
      <c r="F443" t="s">
        <v>22</v>
      </c>
    </row>
    <row r="444" spans="1:6">
      <c r="A444" t="s">
        <v>6</v>
      </c>
      <c r="B444" s="1">
        <v>45841.286782407406</v>
      </c>
      <c r="C444">
        <v>30002</v>
      </c>
      <c r="D444" t="s">
        <v>7</v>
      </c>
      <c r="E444" t="s">
        <v>109</v>
      </c>
      <c r="F444" t="s">
        <v>22</v>
      </c>
    </row>
    <row r="445" spans="1:6">
      <c r="A445" t="s">
        <v>6</v>
      </c>
      <c r="B445" s="1">
        <v>45841.285624999997</v>
      </c>
      <c r="C445">
        <v>30002</v>
      </c>
      <c r="D445" t="s">
        <v>7</v>
      </c>
      <c r="E445" t="s">
        <v>109</v>
      </c>
      <c r="F445" t="s">
        <v>22</v>
      </c>
    </row>
    <row r="446" spans="1:6">
      <c r="A446" t="s">
        <v>6</v>
      </c>
      <c r="B446" s="1">
        <v>45840.697222222225</v>
      </c>
      <c r="C446">
        <v>30002</v>
      </c>
      <c r="D446" t="s">
        <v>7</v>
      </c>
      <c r="E446" t="s">
        <v>109</v>
      </c>
      <c r="F446" t="s">
        <v>22</v>
      </c>
    </row>
    <row r="447" spans="1:6">
      <c r="A447" t="s">
        <v>6</v>
      </c>
      <c r="B447" s="1">
        <v>45840.69635416667</v>
      </c>
      <c r="C447">
        <v>30002</v>
      </c>
      <c r="D447" t="s">
        <v>7</v>
      </c>
      <c r="E447" t="s">
        <v>109</v>
      </c>
      <c r="F447" t="s">
        <v>22</v>
      </c>
    </row>
    <row r="448" spans="1:6">
      <c r="A448" t="s">
        <v>6</v>
      </c>
      <c r="B448" s="1">
        <v>45840.69358796296</v>
      </c>
      <c r="C448">
        <v>30002</v>
      </c>
      <c r="D448" t="s">
        <v>7</v>
      </c>
      <c r="E448" t="s">
        <v>109</v>
      </c>
      <c r="F448" t="s">
        <v>22</v>
      </c>
    </row>
    <row r="449" spans="1:6">
      <c r="A449" t="s">
        <v>6</v>
      </c>
      <c r="B449" s="1">
        <v>45840.357789351852</v>
      </c>
      <c r="C449">
        <v>30002</v>
      </c>
      <c r="D449" t="s">
        <v>7</v>
      </c>
      <c r="E449" t="s">
        <v>109</v>
      </c>
      <c r="F449" t="s">
        <v>22</v>
      </c>
    </row>
    <row r="450" spans="1:6">
      <c r="A450" t="s">
        <v>6</v>
      </c>
      <c r="B450" s="1">
        <v>45840.355902777781</v>
      </c>
      <c r="C450">
        <v>30002</v>
      </c>
      <c r="D450" t="s">
        <v>7</v>
      </c>
      <c r="E450" t="s">
        <v>109</v>
      </c>
      <c r="F450" t="s">
        <v>22</v>
      </c>
    </row>
    <row r="451" spans="1:6">
      <c r="A451" t="s">
        <v>6</v>
      </c>
      <c r="B451" s="1">
        <v>45840.354594907411</v>
      </c>
      <c r="C451">
        <v>30002</v>
      </c>
      <c r="D451" t="s">
        <v>7</v>
      </c>
      <c r="E451" t="s">
        <v>109</v>
      </c>
      <c r="F451" t="s">
        <v>22</v>
      </c>
    </row>
    <row r="452" spans="1:6">
      <c r="A452" t="s">
        <v>6</v>
      </c>
      <c r="B452" s="1">
        <v>45840.354050925926</v>
      </c>
      <c r="C452">
        <v>30002</v>
      </c>
      <c r="D452" t="s">
        <v>7</v>
      </c>
      <c r="E452" t="s">
        <v>109</v>
      </c>
      <c r="F452" t="s">
        <v>22</v>
      </c>
    </row>
    <row r="453" spans="1:6">
      <c r="A453" t="s">
        <v>6</v>
      </c>
      <c r="B453" s="1">
        <v>45840.353275462963</v>
      </c>
      <c r="C453">
        <v>30002</v>
      </c>
      <c r="D453" t="s">
        <v>7</v>
      </c>
      <c r="E453" t="s">
        <v>109</v>
      </c>
      <c r="F453" t="s">
        <v>22</v>
      </c>
    </row>
    <row r="454" spans="1:6">
      <c r="A454" t="s">
        <v>6</v>
      </c>
      <c r="B454" s="1">
        <v>45840.351863425924</v>
      </c>
      <c r="C454">
        <v>30002</v>
      </c>
      <c r="D454" t="s">
        <v>7</v>
      </c>
      <c r="E454" t="s">
        <v>109</v>
      </c>
      <c r="F454" t="s">
        <v>22</v>
      </c>
    </row>
    <row r="455" spans="1:6">
      <c r="A455" t="s">
        <v>6</v>
      </c>
      <c r="B455" s="1">
        <v>45839.326539351852</v>
      </c>
      <c r="C455">
        <v>30002</v>
      </c>
      <c r="D455" t="s">
        <v>7</v>
      </c>
      <c r="E455" t="s">
        <v>109</v>
      </c>
      <c r="F455" t="s">
        <v>22</v>
      </c>
    </row>
    <row r="456" spans="1:6">
      <c r="A456" t="s">
        <v>6</v>
      </c>
      <c r="B456" s="1">
        <v>45839.311539351853</v>
      </c>
      <c r="C456">
        <v>30002</v>
      </c>
      <c r="D456" t="s">
        <v>7</v>
      </c>
      <c r="E456" t="s">
        <v>109</v>
      </c>
      <c r="F456" t="s">
        <v>22</v>
      </c>
    </row>
    <row r="457" spans="1:6">
      <c r="A457" t="s">
        <v>6</v>
      </c>
      <c r="B457" s="1">
        <v>45869.435520833336</v>
      </c>
      <c r="C457">
        <v>30002</v>
      </c>
      <c r="D457" t="s">
        <v>7</v>
      </c>
      <c r="E457" t="s">
        <v>109</v>
      </c>
      <c r="F457" t="s">
        <v>23</v>
      </c>
    </row>
    <row r="458" spans="1:6">
      <c r="A458" t="s">
        <v>6</v>
      </c>
      <c r="B458" s="1">
        <v>45869.433530092596</v>
      </c>
      <c r="C458">
        <v>30002</v>
      </c>
      <c r="D458" t="s">
        <v>7</v>
      </c>
      <c r="E458" t="s">
        <v>109</v>
      </c>
      <c r="F458" t="s">
        <v>23</v>
      </c>
    </row>
    <row r="459" spans="1:6">
      <c r="A459" t="s">
        <v>6</v>
      </c>
      <c r="B459" s="1">
        <v>45869.427731481483</v>
      </c>
      <c r="C459">
        <v>30002</v>
      </c>
      <c r="D459" t="s">
        <v>7</v>
      </c>
      <c r="E459" t="s">
        <v>109</v>
      </c>
      <c r="F459" t="s">
        <v>23</v>
      </c>
    </row>
    <row r="460" spans="1:6">
      <c r="A460" t="s">
        <v>6</v>
      </c>
      <c r="B460" s="1">
        <v>45867.39434027778</v>
      </c>
      <c r="C460">
        <v>30002</v>
      </c>
      <c r="D460" t="s">
        <v>7</v>
      </c>
      <c r="E460" t="s">
        <v>109</v>
      </c>
      <c r="F460" t="s">
        <v>23</v>
      </c>
    </row>
    <row r="461" spans="1:6">
      <c r="A461" t="s">
        <v>6</v>
      </c>
      <c r="B461" s="1">
        <v>45859.396817129629</v>
      </c>
      <c r="C461">
        <v>30002</v>
      </c>
      <c r="D461" t="s">
        <v>7</v>
      </c>
      <c r="E461" t="s">
        <v>109</v>
      </c>
      <c r="F461" t="s">
        <v>23</v>
      </c>
    </row>
    <row r="462" spans="1:6">
      <c r="A462" t="s">
        <v>6</v>
      </c>
      <c r="B462" s="1">
        <v>45845.626099537039</v>
      </c>
      <c r="C462">
        <v>30002</v>
      </c>
      <c r="D462" t="s">
        <v>7</v>
      </c>
      <c r="E462" t="s">
        <v>109</v>
      </c>
      <c r="F462" t="s">
        <v>23</v>
      </c>
    </row>
    <row r="463" spans="1:6">
      <c r="A463" t="s">
        <v>6</v>
      </c>
      <c r="B463" s="1">
        <v>45845.621874999997</v>
      </c>
      <c r="C463">
        <v>30002</v>
      </c>
      <c r="D463" t="s">
        <v>7</v>
      </c>
      <c r="E463" t="s">
        <v>109</v>
      </c>
      <c r="F463" t="s">
        <v>23</v>
      </c>
    </row>
    <row r="464" spans="1:6">
      <c r="A464" t="s">
        <v>6</v>
      </c>
      <c r="B464" s="1">
        <v>45845.621446759258</v>
      </c>
      <c r="C464">
        <v>30002</v>
      </c>
      <c r="D464" t="s">
        <v>7</v>
      </c>
      <c r="E464" t="s">
        <v>109</v>
      </c>
      <c r="F464" t="s">
        <v>23</v>
      </c>
    </row>
    <row r="465" spans="1:6">
      <c r="A465" t="s">
        <v>6</v>
      </c>
      <c r="B465" s="1">
        <v>45845.618796296294</v>
      </c>
      <c r="C465">
        <v>30002</v>
      </c>
      <c r="D465" t="s">
        <v>7</v>
      </c>
      <c r="E465" t="s">
        <v>109</v>
      </c>
      <c r="F465" t="s">
        <v>23</v>
      </c>
    </row>
    <row r="466" spans="1:6">
      <c r="A466" t="s">
        <v>6</v>
      </c>
      <c r="B466" s="1">
        <v>45845.616342592592</v>
      </c>
      <c r="C466">
        <v>30002</v>
      </c>
      <c r="D466" t="s">
        <v>7</v>
      </c>
      <c r="E466" t="s">
        <v>109</v>
      </c>
      <c r="F466" t="s">
        <v>23</v>
      </c>
    </row>
    <row r="467" spans="1:6">
      <c r="A467" t="s">
        <v>6</v>
      </c>
      <c r="B467" s="1">
        <v>45845.615752314814</v>
      </c>
      <c r="C467">
        <v>30002</v>
      </c>
      <c r="D467" t="s">
        <v>7</v>
      </c>
      <c r="E467" t="s">
        <v>109</v>
      </c>
      <c r="F467" t="s">
        <v>23</v>
      </c>
    </row>
    <row r="468" spans="1:6">
      <c r="A468" t="s">
        <v>6</v>
      </c>
      <c r="B468" s="1">
        <v>45845.614756944444</v>
      </c>
      <c r="C468">
        <v>30002</v>
      </c>
      <c r="D468" t="s">
        <v>7</v>
      </c>
      <c r="E468" t="s">
        <v>109</v>
      </c>
      <c r="F468" t="s">
        <v>23</v>
      </c>
    </row>
    <row r="469" spans="1:6">
      <c r="A469" t="s">
        <v>6</v>
      </c>
      <c r="B469" s="1">
        <v>45845.316562499997</v>
      </c>
      <c r="C469">
        <v>30002</v>
      </c>
      <c r="D469" t="s">
        <v>7</v>
      </c>
      <c r="E469" t="s">
        <v>109</v>
      </c>
      <c r="F469" t="s">
        <v>23</v>
      </c>
    </row>
    <row r="470" spans="1:6">
      <c r="A470" t="s">
        <v>6</v>
      </c>
      <c r="B470" s="1">
        <v>45844.748113425929</v>
      </c>
      <c r="C470">
        <v>30002</v>
      </c>
      <c r="D470" t="s">
        <v>7</v>
      </c>
      <c r="E470" t="s">
        <v>109</v>
      </c>
      <c r="F470" t="s">
        <v>23</v>
      </c>
    </row>
    <row r="471" spans="1:6">
      <c r="A471" t="s">
        <v>6</v>
      </c>
      <c r="B471" s="1">
        <v>45844.704201388886</v>
      </c>
      <c r="C471">
        <v>30002</v>
      </c>
      <c r="D471" t="s">
        <v>7</v>
      </c>
      <c r="E471" t="s">
        <v>109</v>
      </c>
      <c r="F471" t="s">
        <v>23</v>
      </c>
    </row>
    <row r="472" spans="1:6">
      <c r="A472" t="s">
        <v>6</v>
      </c>
      <c r="B472" s="1">
        <v>45844.688321759262</v>
      </c>
      <c r="C472">
        <v>30002</v>
      </c>
      <c r="D472" t="s">
        <v>7</v>
      </c>
      <c r="E472" t="s">
        <v>109</v>
      </c>
      <c r="F472" t="s">
        <v>23</v>
      </c>
    </row>
    <row r="473" spans="1:6">
      <c r="A473" t="s">
        <v>6</v>
      </c>
      <c r="B473" s="1">
        <v>45862.352430555555</v>
      </c>
      <c r="C473">
        <v>30002</v>
      </c>
      <c r="D473" t="s">
        <v>7</v>
      </c>
      <c r="E473" t="s">
        <v>109</v>
      </c>
      <c r="F473" t="s">
        <v>24</v>
      </c>
    </row>
    <row r="474" spans="1:6">
      <c r="A474" t="s">
        <v>6</v>
      </c>
      <c r="B474" s="1">
        <v>45862.351493055554</v>
      </c>
      <c r="C474">
        <v>30002</v>
      </c>
      <c r="D474" t="s">
        <v>7</v>
      </c>
      <c r="E474" t="s">
        <v>109</v>
      </c>
      <c r="F474" t="s">
        <v>24</v>
      </c>
    </row>
    <row r="475" spans="1:6">
      <c r="A475" t="s">
        <v>6</v>
      </c>
      <c r="B475" s="1">
        <v>45862.349930555552</v>
      </c>
      <c r="C475">
        <v>30002</v>
      </c>
      <c r="D475" t="s">
        <v>7</v>
      </c>
      <c r="E475" t="s">
        <v>109</v>
      </c>
      <c r="F475" t="s">
        <v>24</v>
      </c>
    </row>
    <row r="476" spans="1:6">
      <c r="A476" t="s">
        <v>6</v>
      </c>
      <c r="B476" s="1">
        <v>45862.34883101852</v>
      </c>
      <c r="C476">
        <v>30002</v>
      </c>
      <c r="D476" t="s">
        <v>7</v>
      </c>
      <c r="E476" t="s">
        <v>109</v>
      </c>
      <c r="F476" t="s">
        <v>24</v>
      </c>
    </row>
    <row r="477" spans="1:6">
      <c r="A477" t="s">
        <v>6</v>
      </c>
      <c r="B477" s="1">
        <v>45862.347905092596</v>
      </c>
      <c r="C477">
        <v>30002</v>
      </c>
      <c r="D477" t="s">
        <v>7</v>
      </c>
      <c r="E477" t="s">
        <v>109</v>
      </c>
      <c r="F477" t="s">
        <v>24</v>
      </c>
    </row>
    <row r="478" spans="1:6">
      <c r="A478" t="s">
        <v>6</v>
      </c>
      <c r="B478" s="1">
        <v>45862.308368055557</v>
      </c>
      <c r="C478">
        <v>30002</v>
      </c>
      <c r="D478" t="s">
        <v>7</v>
      </c>
      <c r="E478" t="s">
        <v>109</v>
      </c>
      <c r="F478" t="s">
        <v>24</v>
      </c>
    </row>
    <row r="479" spans="1:6">
      <c r="A479" t="s">
        <v>6</v>
      </c>
      <c r="B479" s="1">
        <v>45861.644178240742</v>
      </c>
      <c r="C479">
        <v>30002</v>
      </c>
      <c r="D479" t="s">
        <v>7</v>
      </c>
      <c r="E479" t="s">
        <v>109</v>
      </c>
      <c r="F479" t="s">
        <v>24</v>
      </c>
    </row>
    <row r="480" spans="1:6">
      <c r="A480" t="s">
        <v>6</v>
      </c>
      <c r="B480" s="1">
        <v>45861.52584490741</v>
      </c>
      <c r="C480">
        <v>30002</v>
      </c>
      <c r="D480" t="s">
        <v>7</v>
      </c>
      <c r="E480" t="s">
        <v>109</v>
      </c>
      <c r="F480" t="s">
        <v>24</v>
      </c>
    </row>
    <row r="481" spans="1:6">
      <c r="A481" t="s">
        <v>6</v>
      </c>
      <c r="B481" s="1">
        <v>45861.525324074071</v>
      </c>
      <c r="C481">
        <v>30002</v>
      </c>
      <c r="D481" t="s">
        <v>7</v>
      </c>
      <c r="E481" t="s">
        <v>109</v>
      </c>
      <c r="F481" t="s">
        <v>24</v>
      </c>
    </row>
    <row r="482" spans="1:6">
      <c r="A482" t="s">
        <v>6</v>
      </c>
      <c r="B482" s="1">
        <v>45861.524108796293</v>
      </c>
      <c r="C482">
        <v>30002</v>
      </c>
      <c r="D482" t="s">
        <v>7</v>
      </c>
      <c r="E482" t="s">
        <v>109</v>
      </c>
      <c r="F482" t="s">
        <v>24</v>
      </c>
    </row>
    <row r="483" spans="1:6">
      <c r="A483" t="s">
        <v>6</v>
      </c>
      <c r="B483" s="1">
        <v>45861.523819444446</v>
      </c>
      <c r="C483">
        <v>30002</v>
      </c>
      <c r="D483" t="s">
        <v>7</v>
      </c>
      <c r="E483" t="s">
        <v>109</v>
      </c>
      <c r="F483" t="s">
        <v>24</v>
      </c>
    </row>
    <row r="484" spans="1:6">
      <c r="A484" t="s">
        <v>6</v>
      </c>
      <c r="B484" s="1">
        <v>45861.523321759261</v>
      </c>
      <c r="C484">
        <v>30002</v>
      </c>
      <c r="D484" t="s">
        <v>7</v>
      </c>
      <c r="E484" t="s">
        <v>109</v>
      </c>
      <c r="F484" t="s">
        <v>24</v>
      </c>
    </row>
    <row r="485" spans="1:6">
      <c r="A485" t="s">
        <v>6</v>
      </c>
      <c r="B485" s="1">
        <v>45861.523136574076</v>
      </c>
      <c r="C485">
        <v>30002</v>
      </c>
      <c r="D485" t="s">
        <v>7</v>
      </c>
      <c r="E485" t="s">
        <v>109</v>
      </c>
      <c r="F485" t="s">
        <v>24</v>
      </c>
    </row>
    <row r="486" spans="1:6">
      <c r="A486" t="s">
        <v>6</v>
      </c>
      <c r="B486" s="1">
        <v>45861.522615740738</v>
      </c>
      <c r="C486">
        <v>30002</v>
      </c>
      <c r="D486" t="s">
        <v>7</v>
      </c>
      <c r="E486" t="s">
        <v>109</v>
      </c>
      <c r="F486" t="s">
        <v>24</v>
      </c>
    </row>
    <row r="487" spans="1:6">
      <c r="A487" t="s">
        <v>6</v>
      </c>
      <c r="B487" s="1">
        <v>45861.52144675926</v>
      </c>
      <c r="C487">
        <v>30002</v>
      </c>
      <c r="D487" t="s">
        <v>7</v>
      </c>
      <c r="E487" t="s">
        <v>109</v>
      </c>
      <c r="F487" t="s">
        <v>24</v>
      </c>
    </row>
    <row r="488" spans="1:6">
      <c r="A488" t="s">
        <v>6</v>
      </c>
      <c r="B488" s="1">
        <v>45861.520937499998</v>
      </c>
      <c r="C488">
        <v>30002</v>
      </c>
      <c r="D488" t="s">
        <v>7</v>
      </c>
      <c r="E488" t="s">
        <v>109</v>
      </c>
      <c r="F488" t="s">
        <v>24</v>
      </c>
    </row>
    <row r="489" spans="1:6">
      <c r="A489" t="s">
        <v>6</v>
      </c>
      <c r="B489" s="1">
        <v>45861.520729166667</v>
      </c>
      <c r="C489">
        <v>30002</v>
      </c>
      <c r="D489" t="s">
        <v>7</v>
      </c>
      <c r="E489" t="s">
        <v>109</v>
      </c>
      <c r="F489" t="s">
        <v>24</v>
      </c>
    </row>
    <row r="490" spans="1:6">
      <c r="A490" t="s">
        <v>6</v>
      </c>
      <c r="B490" s="1">
        <v>45861.519745370373</v>
      </c>
      <c r="C490">
        <v>30002</v>
      </c>
      <c r="D490" t="s">
        <v>7</v>
      </c>
      <c r="E490" t="s">
        <v>109</v>
      </c>
      <c r="F490" t="s">
        <v>24</v>
      </c>
    </row>
    <row r="491" spans="1:6">
      <c r="A491" t="s">
        <v>6</v>
      </c>
      <c r="B491" s="1">
        <v>45861.519189814811</v>
      </c>
      <c r="C491">
        <v>30002</v>
      </c>
      <c r="D491" t="s">
        <v>7</v>
      </c>
      <c r="E491" t="s">
        <v>109</v>
      </c>
      <c r="F491" t="s">
        <v>24</v>
      </c>
    </row>
    <row r="492" spans="1:6">
      <c r="A492" t="s">
        <v>6</v>
      </c>
      <c r="B492" s="1">
        <v>45861.518842592595</v>
      </c>
      <c r="C492">
        <v>30002</v>
      </c>
      <c r="D492" t="s">
        <v>7</v>
      </c>
      <c r="E492" t="s">
        <v>109</v>
      </c>
      <c r="F492" t="s">
        <v>24</v>
      </c>
    </row>
    <row r="493" spans="1:6">
      <c r="A493" t="s">
        <v>6</v>
      </c>
      <c r="B493" s="1">
        <v>45861.517800925925</v>
      </c>
      <c r="C493">
        <v>30002</v>
      </c>
      <c r="D493" t="s">
        <v>7</v>
      </c>
      <c r="E493" t="s">
        <v>109</v>
      </c>
      <c r="F493" t="s">
        <v>24</v>
      </c>
    </row>
    <row r="494" spans="1:6">
      <c r="A494" t="s">
        <v>6</v>
      </c>
      <c r="B494" s="1">
        <v>45861.517210648148</v>
      </c>
      <c r="C494">
        <v>30002</v>
      </c>
      <c r="D494" t="s">
        <v>7</v>
      </c>
      <c r="E494" t="s">
        <v>109</v>
      </c>
      <c r="F494" t="s">
        <v>24</v>
      </c>
    </row>
    <row r="495" spans="1:6">
      <c r="A495" t="s">
        <v>6</v>
      </c>
      <c r="B495" s="1">
        <v>45861.516597222224</v>
      </c>
      <c r="C495">
        <v>30002</v>
      </c>
      <c r="D495" t="s">
        <v>7</v>
      </c>
      <c r="E495" t="s">
        <v>109</v>
      </c>
      <c r="F495" t="s">
        <v>24</v>
      </c>
    </row>
    <row r="496" spans="1:6">
      <c r="A496" t="s">
        <v>6</v>
      </c>
      <c r="B496" s="1">
        <v>45861.421365740738</v>
      </c>
      <c r="C496">
        <v>30002</v>
      </c>
      <c r="D496" t="s">
        <v>7</v>
      </c>
      <c r="E496" t="s">
        <v>109</v>
      </c>
      <c r="F496" t="s">
        <v>24</v>
      </c>
    </row>
    <row r="497" spans="1:6">
      <c r="A497" t="s">
        <v>6</v>
      </c>
      <c r="B497" s="1">
        <v>45861.419918981483</v>
      </c>
      <c r="C497">
        <v>30002</v>
      </c>
      <c r="D497" t="s">
        <v>7</v>
      </c>
      <c r="E497" t="s">
        <v>109</v>
      </c>
      <c r="F497" t="s">
        <v>24</v>
      </c>
    </row>
    <row r="498" spans="1:6">
      <c r="A498" t="s">
        <v>6</v>
      </c>
      <c r="B498" s="1">
        <v>45861.419687499998</v>
      </c>
      <c r="C498">
        <v>30002</v>
      </c>
      <c r="D498" t="s">
        <v>7</v>
      </c>
      <c r="E498" t="s">
        <v>109</v>
      </c>
      <c r="F498" t="s">
        <v>24</v>
      </c>
    </row>
    <row r="499" spans="1:6">
      <c r="A499" t="s">
        <v>6</v>
      </c>
      <c r="B499" s="1">
        <v>45861.418969907405</v>
      </c>
      <c r="C499">
        <v>30002</v>
      </c>
      <c r="D499" t="s">
        <v>7</v>
      </c>
      <c r="E499" t="s">
        <v>109</v>
      </c>
      <c r="F499" t="s">
        <v>24</v>
      </c>
    </row>
    <row r="500" spans="1:6">
      <c r="A500" t="s">
        <v>6</v>
      </c>
      <c r="B500" s="1">
        <v>45861.418796296297</v>
      </c>
      <c r="C500">
        <v>30002</v>
      </c>
      <c r="D500" t="s">
        <v>7</v>
      </c>
      <c r="E500" t="s">
        <v>109</v>
      </c>
      <c r="F500" t="s">
        <v>24</v>
      </c>
    </row>
    <row r="501" spans="1:6">
      <c r="A501" t="s">
        <v>6</v>
      </c>
      <c r="B501" s="1">
        <v>45861.41783564815</v>
      </c>
      <c r="C501">
        <v>30002</v>
      </c>
      <c r="D501" t="s">
        <v>7</v>
      </c>
      <c r="E501" t="s">
        <v>109</v>
      </c>
      <c r="F501" t="s">
        <v>24</v>
      </c>
    </row>
    <row r="502" spans="1:6">
      <c r="A502" t="s">
        <v>6</v>
      </c>
      <c r="B502" s="1">
        <v>45861.417592592596</v>
      </c>
      <c r="C502">
        <v>30002</v>
      </c>
      <c r="D502" t="s">
        <v>7</v>
      </c>
      <c r="E502" t="s">
        <v>109</v>
      </c>
      <c r="F502" t="s">
        <v>24</v>
      </c>
    </row>
    <row r="503" spans="1:6">
      <c r="A503" t="s">
        <v>6</v>
      </c>
      <c r="B503" s="1">
        <v>45861.416759259257</v>
      </c>
      <c r="C503">
        <v>30002</v>
      </c>
      <c r="D503" t="s">
        <v>7</v>
      </c>
      <c r="E503" t="s">
        <v>109</v>
      </c>
      <c r="F503" t="s">
        <v>24</v>
      </c>
    </row>
    <row r="504" spans="1:6">
      <c r="A504" t="s">
        <v>6</v>
      </c>
      <c r="B504" s="1">
        <v>45861.416180555556</v>
      </c>
      <c r="C504">
        <v>30002</v>
      </c>
      <c r="D504" t="s">
        <v>7</v>
      </c>
      <c r="E504" t="s">
        <v>109</v>
      </c>
      <c r="F504" t="s">
        <v>24</v>
      </c>
    </row>
    <row r="505" spans="1:6">
      <c r="A505" t="s">
        <v>6</v>
      </c>
      <c r="B505" s="1">
        <v>45861.41510416667</v>
      </c>
      <c r="C505">
        <v>30002</v>
      </c>
      <c r="D505" t="s">
        <v>7</v>
      </c>
      <c r="E505" t="s">
        <v>109</v>
      </c>
      <c r="F505" t="s">
        <v>24</v>
      </c>
    </row>
    <row r="506" spans="1:6">
      <c r="A506" t="s">
        <v>6</v>
      </c>
      <c r="B506" s="1">
        <v>45861.411666666667</v>
      </c>
      <c r="C506">
        <v>30002</v>
      </c>
      <c r="D506" t="s">
        <v>7</v>
      </c>
      <c r="E506" t="s">
        <v>109</v>
      </c>
      <c r="F506" t="s">
        <v>24</v>
      </c>
    </row>
    <row r="507" spans="1:6">
      <c r="A507" t="s">
        <v>6</v>
      </c>
      <c r="B507" s="1">
        <v>45861.409583333334</v>
      </c>
      <c r="C507">
        <v>30002</v>
      </c>
      <c r="D507" t="s">
        <v>7</v>
      </c>
      <c r="E507" t="s">
        <v>109</v>
      </c>
      <c r="F507" t="s">
        <v>24</v>
      </c>
    </row>
    <row r="508" spans="1:6">
      <c r="A508" t="s">
        <v>6</v>
      </c>
      <c r="B508" s="1">
        <v>45861.408518518518</v>
      </c>
      <c r="C508">
        <v>30002</v>
      </c>
      <c r="D508" t="s">
        <v>7</v>
      </c>
      <c r="E508" t="s">
        <v>109</v>
      </c>
      <c r="F508" t="s">
        <v>24</v>
      </c>
    </row>
    <row r="509" spans="1:6">
      <c r="A509" t="s">
        <v>6</v>
      </c>
      <c r="B509" s="1">
        <v>45853.559421296297</v>
      </c>
      <c r="C509">
        <v>30002</v>
      </c>
      <c r="D509" t="s">
        <v>7</v>
      </c>
      <c r="E509" t="s">
        <v>109</v>
      </c>
      <c r="F509" t="s">
        <v>24</v>
      </c>
    </row>
    <row r="510" spans="1:6">
      <c r="A510" t="s">
        <v>6</v>
      </c>
      <c r="B510" s="1">
        <v>45869.398622685185</v>
      </c>
      <c r="C510">
        <v>30002</v>
      </c>
      <c r="D510" t="s">
        <v>7</v>
      </c>
      <c r="E510" t="s">
        <v>109</v>
      </c>
      <c r="F510" t="s">
        <v>97</v>
      </c>
    </row>
    <row r="511" spans="1:6">
      <c r="A511" t="s">
        <v>6</v>
      </c>
      <c r="B511" s="1">
        <v>45869.317604166667</v>
      </c>
      <c r="C511">
        <v>30002</v>
      </c>
      <c r="D511" t="s">
        <v>7</v>
      </c>
      <c r="E511" t="s">
        <v>109</v>
      </c>
      <c r="F511" t="s">
        <v>97</v>
      </c>
    </row>
    <row r="512" spans="1:6">
      <c r="A512" t="s">
        <v>6</v>
      </c>
      <c r="B512" s="1">
        <v>45869.306157407409</v>
      </c>
      <c r="C512">
        <v>30002</v>
      </c>
      <c r="D512" t="s">
        <v>7</v>
      </c>
      <c r="E512" t="s">
        <v>109</v>
      </c>
      <c r="F512" t="s">
        <v>97</v>
      </c>
    </row>
    <row r="513" spans="1:6">
      <c r="A513" t="s">
        <v>6</v>
      </c>
      <c r="B513" s="1">
        <v>45867.474166666667</v>
      </c>
      <c r="C513">
        <v>30002</v>
      </c>
      <c r="D513" t="s">
        <v>7</v>
      </c>
      <c r="E513" t="s">
        <v>109</v>
      </c>
      <c r="F513" t="s">
        <v>97</v>
      </c>
    </row>
    <row r="514" spans="1:6">
      <c r="A514" t="s">
        <v>6</v>
      </c>
      <c r="B514" s="1">
        <v>45866.348356481481</v>
      </c>
      <c r="C514">
        <v>30002</v>
      </c>
      <c r="D514" t="s">
        <v>7</v>
      </c>
      <c r="E514" t="s">
        <v>109</v>
      </c>
      <c r="F514" t="s">
        <v>97</v>
      </c>
    </row>
    <row r="515" spans="1:6">
      <c r="A515" t="s">
        <v>6</v>
      </c>
      <c r="B515" s="1">
        <v>45866.347719907404</v>
      </c>
      <c r="C515">
        <v>30002</v>
      </c>
      <c r="D515" t="s">
        <v>7</v>
      </c>
      <c r="E515" t="s">
        <v>109</v>
      </c>
      <c r="F515" t="s">
        <v>97</v>
      </c>
    </row>
    <row r="516" spans="1:6">
      <c r="A516" t="s">
        <v>6</v>
      </c>
      <c r="B516" s="1">
        <v>45866.347280092596</v>
      </c>
      <c r="C516">
        <v>30002</v>
      </c>
      <c r="D516" t="s">
        <v>7</v>
      </c>
      <c r="E516" t="s">
        <v>109</v>
      </c>
      <c r="F516" t="s">
        <v>97</v>
      </c>
    </row>
    <row r="517" spans="1:6">
      <c r="A517" t="s">
        <v>6</v>
      </c>
      <c r="B517" s="1">
        <v>45866.346770833334</v>
      </c>
      <c r="C517">
        <v>30002</v>
      </c>
      <c r="D517" t="s">
        <v>7</v>
      </c>
      <c r="E517" t="s">
        <v>109</v>
      </c>
      <c r="F517" t="s">
        <v>97</v>
      </c>
    </row>
    <row r="518" spans="1:6">
      <c r="A518" t="s">
        <v>6</v>
      </c>
      <c r="B518" s="1">
        <v>45866.346307870372</v>
      </c>
      <c r="C518">
        <v>30002</v>
      </c>
      <c r="D518" t="s">
        <v>7</v>
      </c>
      <c r="E518" t="s">
        <v>109</v>
      </c>
      <c r="F518" t="s">
        <v>97</v>
      </c>
    </row>
    <row r="519" spans="1:6">
      <c r="A519" t="s">
        <v>6</v>
      </c>
      <c r="B519" s="1">
        <v>45866.345902777779</v>
      </c>
      <c r="C519">
        <v>30002</v>
      </c>
      <c r="D519" t="s">
        <v>7</v>
      </c>
      <c r="E519" t="s">
        <v>109</v>
      </c>
      <c r="F519" t="s">
        <v>97</v>
      </c>
    </row>
    <row r="520" spans="1:6">
      <c r="A520" t="s">
        <v>6</v>
      </c>
      <c r="B520" s="1">
        <v>45866.345243055555</v>
      </c>
      <c r="C520">
        <v>30002</v>
      </c>
      <c r="D520" t="s">
        <v>7</v>
      </c>
      <c r="E520" t="s">
        <v>109</v>
      </c>
      <c r="F520" t="s">
        <v>97</v>
      </c>
    </row>
    <row r="521" spans="1:6">
      <c r="A521" t="s">
        <v>6</v>
      </c>
      <c r="B521" s="1">
        <v>45866.344814814816</v>
      </c>
      <c r="C521">
        <v>30002</v>
      </c>
      <c r="D521" t="s">
        <v>7</v>
      </c>
      <c r="E521" t="s">
        <v>109</v>
      </c>
      <c r="F521" t="s">
        <v>97</v>
      </c>
    </row>
    <row r="522" spans="1:6">
      <c r="A522" t="s">
        <v>6</v>
      </c>
      <c r="B522" s="1">
        <v>45866.343738425923</v>
      </c>
      <c r="C522">
        <v>30002</v>
      </c>
      <c r="D522" t="s">
        <v>7</v>
      </c>
      <c r="E522" t="s">
        <v>109</v>
      </c>
      <c r="F522" t="s">
        <v>97</v>
      </c>
    </row>
    <row r="523" spans="1:6">
      <c r="A523" t="s">
        <v>6</v>
      </c>
      <c r="B523" s="1">
        <v>45866.343240740738</v>
      </c>
      <c r="C523">
        <v>30002</v>
      </c>
      <c r="D523" t="s">
        <v>7</v>
      </c>
      <c r="E523" t="s">
        <v>109</v>
      </c>
      <c r="F523" t="s">
        <v>97</v>
      </c>
    </row>
    <row r="524" spans="1:6">
      <c r="A524" t="s">
        <v>6</v>
      </c>
      <c r="B524" s="1">
        <v>45866.342534722222</v>
      </c>
      <c r="C524">
        <v>30002</v>
      </c>
      <c r="D524" t="s">
        <v>7</v>
      </c>
      <c r="E524" t="s">
        <v>109</v>
      </c>
      <c r="F524" t="s">
        <v>97</v>
      </c>
    </row>
    <row r="525" spans="1:6">
      <c r="A525" t="s">
        <v>6</v>
      </c>
      <c r="B525" s="1">
        <v>45866.341990740744</v>
      </c>
      <c r="C525">
        <v>30002</v>
      </c>
      <c r="D525" t="s">
        <v>7</v>
      </c>
      <c r="E525" t="s">
        <v>109</v>
      </c>
      <c r="F525" t="s">
        <v>97</v>
      </c>
    </row>
    <row r="526" spans="1:6">
      <c r="A526" t="s">
        <v>6</v>
      </c>
      <c r="B526" s="1">
        <v>45866.341377314813</v>
      </c>
      <c r="C526">
        <v>30002</v>
      </c>
      <c r="D526" t="s">
        <v>7</v>
      </c>
      <c r="E526" t="s">
        <v>109</v>
      </c>
      <c r="F526" t="s">
        <v>97</v>
      </c>
    </row>
    <row r="527" spans="1:6">
      <c r="A527" t="s">
        <v>6</v>
      </c>
      <c r="B527" s="1">
        <v>45866.340717592589</v>
      </c>
      <c r="C527">
        <v>30002</v>
      </c>
      <c r="D527" t="s">
        <v>7</v>
      </c>
      <c r="E527" t="s">
        <v>109</v>
      </c>
      <c r="F527" t="s">
        <v>97</v>
      </c>
    </row>
    <row r="528" spans="1:6">
      <c r="A528" t="s">
        <v>6</v>
      </c>
      <c r="B528" s="1">
        <v>45866.33997685185</v>
      </c>
      <c r="C528">
        <v>30002</v>
      </c>
      <c r="D528" t="s">
        <v>7</v>
      </c>
      <c r="E528" t="s">
        <v>109</v>
      </c>
      <c r="F528" t="s">
        <v>97</v>
      </c>
    </row>
    <row r="529" spans="1:6">
      <c r="A529" t="s">
        <v>6</v>
      </c>
      <c r="B529" s="1">
        <v>45866.339479166665</v>
      </c>
      <c r="C529">
        <v>30002</v>
      </c>
      <c r="D529" t="s">
        <v>7</v>
      </c>
      <c r="E529" t="s">
        <v>109</v>
      </c>
      <c r="F529" t="s">
        <v>97</v>
      </c>
    </row>
    <row r="530" spans="1:6">
      <c r="A530" t="s">
        <v>6</v>
      </c>
      <c r="B530" s="1">
        <v>45866.339189814818</v>
      </c>
      <c r="C530">
        <v>30002</v>
      </c>
      <c r="D530" t="s">
        <v>7</v>
      </c>
      <c r="E530" t="s">
        <v>109</v>
      </c>
      <c r="F530" t="s">
        <v>97</v>
      </c>
    </row>
    <row r="531" spans="1:6">
      <c r="A531" t="s">
        <v>6</v>
      </c>
      <c r="B531" s="1">
        <v>45866.338738425926</v>
      </c>
      <c r="C531">
        <v>30002</v>
      </c>
      <c r="D531" t="s">
        <v>7</v>
      </c>
      <c r="E531" t="s">
        <v>109</v>
      </c>
      <c r="F531" t="s">
        <v>97</v>
      </c>
    </row>
    <row r="532" spans="1:6">
      <c r="A532" t="s">
        <v>6</v>
      </c>
      <c r="B532" s="1">
        <v>45866.336608796293</v>
      </c>
      <c r="C532">
        <v>30002</v>
      </c>
      <c r="D532" t="s">
        <v>7</v>
      </c>
      <c r="E532" t="s">
        <v>109</v>
      </c>
      <c r="F532" t="s">
        <v>97</v>
      </c>
    </row>
    <row r="533" spans="1:6">
      <c r="A533" t="s">
        <v>6</v>
      </c>
      <c r="B533" s="1">
        <v>45866.336145833331</v>
      </c>
      <c r="C533">
        <v>30002</v>
      </c>
      <c r="D533" t="s">
        <v>7</v>
      </c>
      <c r="E533" t="s">
        <v>109</v>
      </c>
      <c r="F533" t="s">
        <v>97</v>
      </c>
    </row>
    <row r="534" spans="1:6">
      <c r="A534" t="s">
        <v>6</v>
      </c>
      <c r="B534" s="1">
        <v>45866.335706018515</v>
      </c>
      <c r="C534">
        <v>30002</v>
      </c>
      <c r="D534" t="s">
        <v>7</v>
      </c>
      <c r="E534" t="s">
        <v>109</v>
      </c>
      <c r="F534" t="s">
        <v>97</v>
      </c>
    </row>
    <row r="535" spans="1:6">
      <c r="A535" t="s">
        <v>6</v>
      </c>
      <c r="B535" s="1">
        <v>45866.332986111112</v>
      </c>
      <c r="C535">
        <v>30002</v>
      </c>
      <c r="D535" t="s">
        <v>7</v>
      </c>
      <c r="E535" t="s">
        <v>109</v>
      </c>
      <c r="F535" t="s">
        <v>97</v>
      </c>
    </row>
    <row r="536" spans="1:6">
      <c r="A536" t="s">
        <v>6</v>
      </c>
      <c r="B536" s="1">
        <v>45866.332361111112</v>
      </c>
      <c r="C536">
        <v>30002</v>
      </c>
      <c r="D536" t="s">
        <v>7</v>
      </c>
      <c r="E536" t="s">
        <v>109</v>
      </c>
      <c r="F536" t="s">
        <v>97</v>
      </c>
    </row>
    <row r="537" spans="1:6">
      <c r="A537" t="s">
        <v>6</v>
      </c>
      <c r="B537" s="1">
        <v>45866.331620370373</v>
      </c>
      <c r="C537">
        <v>30002</v>
      </c>
      <c r="D537" t="s">
        <v>7</v>
      </c>
      <c r="E537" t="s">
        <v>109</v>
      </c>
      <c r="F537" t="s">
        <v>97</v>
      </c>
    </row>
    <row r="538" spans="1:6">
      <c r="A538" t="s">
        <v>6</v>
      </c>
      <c r="B538" s="1">
        <v>45866.331261574072</v>
      </c>
      <c r="C538">
        <v>30002</v>
      </c>
      <c r="D538" t="s">
        <v>7</v>
      </c>
      <c r="E538" t="s">
        <v>109</v>
      </c>
      <c r="F538" t="s">
        <v>97</v>
      </c>
    </row>
    <row r="539" spans="1:6">
      <c r="A539" t="s">
        <v>6</v>
      </c>
      <c r="B539" s="1">
        <v>45866.331053240741</v>
      </c>
      <c r="C539">
        <v>30002</v>
      </c>
      <c r="D539" t="s">
        <v>7</v>
      </c>
      <c r="E539" t="s">
        <v>109</v>
      </c>
      <c r="F539" t="s">
        <v>97</v>
      </c>
    </row>
    <row r="540" spans="1:6">
      <c r="A540" t="s">
        <v>6</v>
      </c>
      <c r="B540" s="1">
        <v>45866.330335648148</v>
      </c>
      <c r="C540">
        <v>30002</v>
      </c>
      <c r="D540" t="s">
        <v>7</v>
      </c>
      <c r="E540" t="s">
        <v>109</v>
      </c>
      <c r="F540" t="s">
        <v>97</v>
      </c>
    </row>
    <row r="541" spans="1:6">
      <c r="A541" t="s">
        <v>6</v>
      </c>
      <c r="B541" s="1">
        <v>45866.329780092594</v>
      </c>
      <c r="C541">
        <v>30002</v>
      </c>
      <c r="D541" t="s">
        <v>7</v>
      </c>
      <c r="E541" t="s">
        <v>109</v>
      </c>
      <c r="F541" t="s">
        <v>97</v>
      </c>
    </row>
    <row r="542" spans="1:6">
      <c r="A542" t="s">
        <v>6</v>
      </c>
      <c r="B542" s="1">
        <v>45866.328553240739</v>
      </c>
      <c r="C542">
        <v>30002</v>
      </c>
      <c r="D542" t="s">
        <v>7</v>
      </c>
      <c r="E542" t="s">
        <v>109</v>
      </c>
      <c r="F542" t="s">
        <v>97</v>
      </c>
    </row>
    <row r="543" spans="1:6">
      <c r="A543" t="s">
        <v>6</v>
      </c>
      <c r="B543" s="1">
        <v>45866.328032407408</v>
      </c>
      <c r="C543">
        <v>30002</v>
      </c>
      <c r="D543" t="s">
        <v>7</v>
      </c>
      <c r="E543" t="s">
        <v>109</v>
      </c>
      <c r="F543" t="s">
        <v>97</v>
      </c>
    </row>
    <row r="544" spans="1:6">
      <c r="A544" t="s">
        <v>6</v>
      </c>
      <c r="B544" s="1">
        <v>45866.327152777776</v>
      </c>
      <c r="C544">
        <v>30002</v>
      </c>
      <c r="D544" t="s">
        <v>7</v>
      </c>
      <c r="E544" t="s">
        <v>109</v>
      </c>
      <c r="F544" t="s">
        <v>97</v>
      </c>
    </row>
    <row r="545" spans="1:6">
      <c r="A545" t="s">
        <v>6</v>
      </c>
      <c r="B545" s="1">
        <v>45866.326620370368</v>
      </c>
      <c r="C545">
        <v>30002</v>
      </c>
      <c r="D545" t="s">
        <v>7</v>
      </c>
      <c r="E545" t="s">
        <v>109</v>
      </c>
      <c r="F545" t="s">
        <v>97</v>
      </c>
    </row>
    <row r="546" spans="1:6">
      <c r="A546" t="s">
        <v>6</v>
      </c>
      <c r="B546" s="1">
        <v>45866.326053240744</v>
      </c>
      <c r="C546">
        <v>30002</v>
      </c>
      <c r="D546" t="s">
        <v>7</v>
      </c>
      <c r="E546" t="s">
        <v>109</v>
      </c>
      <c r="F546" t="s">
        <v>97</v>
      </c>
    </row>
    <row r="547" spans="1:6">
      <c r="A547" t="s">
        <v>6</v>
      </c>
      <c r="B547" s="1">
        <v>45866.319409722222</v>
      </c>
      <c r="C547">
        <v>30002</v>
      </c>
      <c r="D547" t="s">
        <v>7</v>
      </c>
      <c r="E547" t="s">
        <v>109</v>
      </c>
      <c r="F547" t="s">
        <v>97</v>
      </c>
    </row>
    <row r="548" spans="1:6">
      <c r="A548" t="s">
        <v>6</v>
      </c>
      <c r="B548" s="1">
        <v>45866.318738425929</v>
      </c>
      <c r="C548">
        <v>30002</v>
      </c>
      <c r="D548" t="s">
        <v>7</v>
      </c>
      <c r="E548" t="s">
        <v>109</v>
      </c>
      <c r="F548" t="s">
        <v>97</v>
      </c>
    </row>
    <row r="549" spans="1:6">
      <c r="A549" t="s">
        <v>6</v>
      </c>
      <c r="B549" s="1">
        <v>45866.31590277778</v>
      </c>
      <c r="C549">
        <v>30002</v>
      </c>
      <c r="D549" t="s">
        <v>7</v>
      </c>
      <c r="E549" t="s">
        <v>109</v>
      </c>
      <c r="F549" t="s">
        <v>97</v>
      </c>
    </row>
    <row r="550" spans="1:6">
      <c r="A550" t="s">
        <v>6</v>
      </c>
      <c r="B550" s="1">
        <v>45862.352743055555</v>
      </c>
      <c r="C550">
        <v>30002</v>
      </c>
      <c r="D550" t="s">
        <v>7</v>
      </c>
      <c r="E550" t="s">
        <v>109</v>
      </c>
      <c r="F550" t="s">
        <v>97</v>
      </c>
    </row>
    <row r="551" spans="1:6">
      <c r="A551" t="s">
        <v>6</v>
      </c>
      <c r="B551" s="1">
        <v>45862.341608796298</v>
      </c>
      <c r="C551">
        <v>30002</v>
      </c>
      <c r="D551" t="s">
        <v>7</v>
      </c>
      <c r="E551" t="s">
        <v>109</v>
      </c>
      <c r="F551" t="s">
        <v>97</v>
      </c>
    </row>
    <row r="552" spans="1:6">
      <c r="A552" t="s">
        <v>6</v>
      </c>
      <c r="B552" s="1">
        <v>45862.34065972222</v>
      </c>
      <c r="C552">
        <v>30002</v>
      </c>
      <c r="D552" t="s">
        <v>7</v>
      </c>
      <c r="E552" t="s">
        <v>109</v>
      </c>
      <c r="F552" t="s">
        <v>97</v>
      </c>
    </row>
    <row r="553" spans="1:6">
      <c r="A553" t="s">
        <v>6</v>
      </c>
      <c r="B553" s="1">
        <v>45862.340219907404</v>
      </c>
      <c r="C553">
        <v>30002</v>
      </c>
      <c r="D553" t="s">
        <v>7</v>
      </c>
      <c r="E553" t="s">
        <v>109</v>
      </c>
      <c r="F553" t="s">
        <v>97</v>
      </c>
    </row>
    <row r="554" spans="1:6">
      <c r="A554" t="s">
        <v>6</v>
      </c>
      <c r="B554" s="1">
        <v>45862.331400462965</v>
      </c>
      <c r="C554">
        <v>30002</v>
      </c>
      <c r="D554" t="s">
        <v>7</v>
      </c>
      <c r="E554" t="s">
        <v>109</v>
      </c>
      <c r="F554" t="s">
        <v>97</v>
      </c>
    </row>
    <row r="555" spans="1:6">
      <c r="A555" t="s">
        <v>6</v>
      </c>
      <c r="B555" s="1">
        <v>45861.390092592592</v>
      </c>
      <c r="C555">
        <v>30002</v>
      </c>
      <c r="D555" t="s">
        <v>7</v>
      </c>
      <c r="E555" t="s">
        <v>109</v>
      </c>
      <c r="F555" t="s">
        <v>97</v>
      </c>
    </row>
    <row r="556" spans="1:6">
      <c r="A556" t="s">
        <v>6</v>
      </c>
      <c r="B556" s="1">
        <v>45861.389513888891</v>
      </c>
      <c r="C556">
        <v>30002</v>
      </c>
      <c r="D556" t="s">
        <v>7</v>
      </c>
      <c r="E556" t="s">
        <v>109</v>
      </c>
      <c r="F556" t="s">
        <v>97</v>
      </c>
    </row>
    <row r="557" spans="1:6">
      <c r="A557" t="s">
        <v>6</v>
      </c>
      <c r="B557" s="1">
        <v>45861.38795138889</v>
      </c>
      <c r="C557">
        <v>30002</v>
      </c>
      <c r="D557" t="s">
        <v>7</v>
      </c>
      <c r="E557" t="s">
        <v>109</v>
      </c>
      <c r="F557" t="s">
        <v>97</v>
      </c>
    </row>
    <row r="558" spans="1:6">
      <c r="A558" t="s">
        <v>6</v>
      </c>
      <c r="B558" s="1">
        <v>45861.3825462963</v>
      </c>
      <c r="C558">
        <v>30002</v>
      </c>
      <c r="D558" t="s">
        <v>7</v>
      </c>
      <c r="E558" t="s">
        <v>109</v>
      </c>
      <c r="F558" t="s">
        <v>97</v>
      </c>
    </row>
    <row r="559" spans="1:6">
      <c r="A559" t="s">
        <v>6</v>
      </c>
      <c r="B559" s="1">
        <v>45861.37605324074</v>
      </c>
      <c r="C559">
        <v>30002</v>
      </c>
      <c r="D559" t="s">
        <v>7</v>
      </c>
      <c r="E559" t="s">
        <v>109</v>
      </c>
      <c r="F559" t="s">
        <v>97</v>
      </c>
    </row>
    <row r="560" spans="1:6">
      <c r="A560" t="s">
        <v>6</v>
      </c>
      <c r="B560" s="1">
        <v>45861.362708333334</v>
      </c>
      <c r="C560">
        <v>30002</v>
      </c>
      <c r="D560" t="s">
        <v>7</v>
      </c>
      <c r="E560" t="s">
        <v>109</v>
      </c>
      <c r="F560" t="s">
        <v>97</v>
      </c>
    </row>
    <row r="561" spans="1:6">
      <c r="A561" t="s">
        <v>6</v>
      </c>
      <c r="B561" s="1">
        <v>45861.361990740741</v>
      </c>
      <c r="C561">
        <v>30002</v>
      </c>
      <c r="D561" t="s">
        <v>7</v>
      </c>
      <c r="E561" t="s">
        <v>109</v>
      </c>
      <c r="F561" t="s">
        <v>97</v>
      </c>
    </row>
    <row r="562" spans="1:6">
      <c r="A562" t="s">
        <v>6</v>
      </c>
      <c r="B562" s="1">
        <v>45861.350312499999</v>
      </c>
      <c r="C562">
        <v>30002</v>
      </c>
      <c r="D562" t="s">
        <v>7</v>
      </c>
      <c r="E562" t="s">
        <v>109</v>
      </c>
      <c r="F562" t="s">
        <v>97</v>
      </c>
    </row>
    <row r="563" spans="1:6">
      <c r="A563" t="s">
        <v>6</v>
      </c>
      <c r="B563" s="1">
        <v>45859.577951388892</v>
      </c>
      <c r="C563">
        <v>30002</v>
      </c>
      <c r="D563" t="s">
        <v>7</v>
      </c>
      <c r="E563" t="s">
        <v>109</v>
      </c>
      <c r="F563" t="s">
        <v>97</v>
      </c>
    </row>
    <row r="564" spans="1:6">
      <c r="A564" t="s">
        <v>6</v>
      </c>
      <c r="B564" s="1">
        <v>45859.564282407409</v>
      </c>
      <c r="C564">
        <v>30002</v>
      </c>
      <c r="D564" t="s">
        <v>7</v>
      </c>
      <c r="E564" t="s">
        <v>109</v>
      </c>
      <c r="F564" t="s">
        <v>97</v>
      </c>
    </row>
    <row r="565" spans="1:6">
      <c r="A565" t="s">
        <v>6</v>
      </c>
      <c r="B565" s="1">
        <v>45859.563240740739</v>
      </c>
      <c r="C565">
        <v>30002</v>
      </c>
      <c r="D565" t="s">
        <v>7</v>
      </c>
      <c r="E565" t="s">
        <v>109</v>
      </c>
      <c r="F565" t="s">
        <v>97</v>
      </c>
    </row>
    <row r="566" spans="1:6">
      <c r="A566" t="s">
        <v>6</v>
      </c>
      <c r="B566" s="1">
        <v>45856.334016203706</v>
      </c>
      <c r="C566">
        <v>30002</v>
      </c>
      <c r="D566" t="s">
        <v>7</v>
      </c>
      <c r="E566" t="s">
        <v>109</v>
      </c>
      <c r="F566" t="s">
        <v>97</v>
      </c>
    </row>
    <row r="567" spans="1:6">
      <c r="A567" t="s">
        <v>6</v>
      </c>
      <c r="B567" s="1">
        <v>45855.388831018521</v>
      </c>
      <c r="C567">
        <v>30002</v>
      </c>
      <c r="D567" t="s">
        <v>7</v>
      </c>
      <c r="E567" t="s">
        <v>109</v>
      </c>
      <c r="F567" t="s">
        <v>97</v>
      </c>
    </row>
    <row r="568" spans="1:6">
      <c r="A568" t="s">
        <v>6</v>
      </c>
      <c r="B568" s="1">
        <v>45847.401180555556</v>
      </c>
      <c r="C568">
        <v>30002</v>
      </c>
      <c r="D568" t="s">
        <v>7</v>
      </c>
      <c r="E568" t="s">
        <v>109</v>
      </c>
      <c r="F568" t="s">
        <v>97</v>
      </c>
    </row>
    <row r="569" spans="1:6">
      <c r="A569" t="s">
        <v>6</v>
      </c>
      <c r="B569" s="1">
        <v>45847.393784722219</v>
      </c>
      <c r="C569">
        <v>30002</v>
      </c>
      <c r="D569" t="s">
        <v>7</v>
      </c>
      <c r="E569" t="s">
        <v>109</v>
      </c>
      <c r="F569" t="s">
        <v>97</v>
      </c>
    </row>
    <row r="570" spans="1:6">
      <c r="A570" t="s">
        <v>6</v>
      </c>
      <c r="B570" s="1">
        <v>45846.324965277781</v>
      </c>
      <c r="C570">
        <v>30002</v>
      </c>
      <c r="D570" t="s">
        <v>7</v>
      </c>
      <c r="E570" t="s">
        <v>109</v>
      </c>
      <c r="F570" t="s">
        <v>97</v>
      </c>
    </row>
    <row r="571" spans="1:6">
      <c r="A571" t="s">
        <v>6</v>
      </c>
      <c r="B571" s="1">
        <v>45846.32136574074</v>
      </c>
      <c r="C571">
        <v>30002</v>
      </c>
      <c r="D571" t="s">
        <v>7</v>
      </c>
      <c r="E571" t="s">
        <v>109</v>
      </c>
      <c r="F571" t="s">
        <v>97</v>
      </c>
    </row>
    <row r="572" spans="1:6">
      <c r="A572" t="s">
        <v>6</v>
      </c>
      <c r="B572" s="1">
        <v>45846.320555555554</v>
      </c>
      <c r="C572">
        <v>30002</v>
      </c>
      <c r="D572" t="s">
        <v>7</v>
      </c>
      <c r="E572" t="s">
        <v>109</v>
      </c>
      <c r="F572" t="s">
        <v>97</v>
      </c>
    </row>
    <row r="573" spans="1:6">
      <c r="A573" t="s">
        <v>6</v>
      </c>
      <c r="B573" s="1">
        <v>45846.315104166664</v>
      </c>
      <c r="C573">
        <v>30002</v>
      </c>
      <c r="D573" t="s">
        <v>7</v>
      </c>
      <c r="E573" t="s">
        <v>109</v>
      </c>
      <c r="F573" t="s">
        <v>97</v>
      </c>
    </row>
    <row r="574" spans="1:6">
      <c r="A574" t="s">
        <v>6</v>
      </c>
      <c r="B574" s="1">
        <v>45846.314606481479</v>
      </c>
      <c r="C574">
        <v>30002</v>
      </c>
      <c r="D574" t="s">
        <v>7</v>
      </c>
      <c r="E574" t="s">
        <v>109</v>
      </c>
      <c r="F574" t="s">
        <v>97</v>
      </c>
    </row>
    <row r="575" spans="1:6">
      <c r="A575" t="s">
        <v>6</v>
      </c>
      <c r="B575" s="1">
        <v>45846.305312500001</v>
      </c>
      <c r="C575">
        <v>30002</v>
      </c>
      <c r="D575" t="s">
        <v>7</v>
      </c>
      <c r="E575" t="s">
        <v>109</v>
      </c>
      <c r="F575" t="s">
        <v>97</v>
      </c>
    </row>
    <row r="576" spans="1:6">
      <c r="A576" t="s">
        <v>6</v>
      </c>
      <c r="B576" s="1">
        <v>45846.302303240744</v>
      </c>
      <c r="C576">
        <v>30002</v>
      </c>
      <c r="D576" t="s">
        <v>7</v>
      </c>
      <c r="E576" t="s">
        <v>109</v>
      </c>
      <c r="F576" t="s">
        <v>97</v>
      </c>
    </row>
    <row r="577" spans="1:6">
      <c r="A577" t="s">
        <v>6</v>
      </c>
      <c r="B577" s="1">
        <v>45845.532013888886</v>
      </c>
      <c r="C577">
        <v>30002</v>
      </c>
      <c r="D577" t="s">
        <v>7</v>
      </c>
      <c r="E577" t="s">
        <v>109</v>
      </c>
      <c r="F577" t="s">
        <v>97</v>
      </c>
    </row>
    <row r="578" spans="1:6">
      <c r="A578" t="s">
        <v>6</v>
      </c>
      <c r="B578" s="1">
        <v>45845.527060185188</v>
      </c>
      <c r="C578">
        <v>30002</v>
      </c>
      <c r="D578" t="s">
        <v>7</v>
      </c>
      <c r="E578" t="s">
        <v>109</v>
      </c>
      <c r="F578" t="s">
        <v>97</v>
      </c>
    </row>
    <row r="579" spans="1:6">
      <c r="A579" t="s">
        <v>6</v>
      </c>
      <c r="B579" s="1">
        <v>45848.461805555555</v>
      </c>
      <c r="C579">
        <v>30002</v>
      </c>
      <c r="D579" t="s">
        <v>7</v>
      </c>
      <c r="E579" t="s">
        <v>110</v>
      </c>
      <c r="F579" t="s">
        <v>13</v>
      </c>
    </row>
    <row r="580" spans="1:6">
      <c r="A580" t="s">
        <v>6</v>
      </c>
      <c r="B580" s="1">
        <v>45848.480486111112</v>
      </c>
      <c r="C580">
        <v>30002</v>
      </c>
      <c r="D580" t="s">
        <v>7</v>
      </c>
      <c r="E580" t="s">
        <v>111</v>
      </c>
      <c r="F580" t="s">
        <v>13</v>
      </c>
    </row>
    <row r="581" spans="1:6">
      <c r="A581" t="s">
        <v>6</v>
      </c>
      <c r="B581" s="1">
        <v>45848.477800925924</v>
      </c>
      <c r="C581">
        <v>30002</v>
      </c>
      <c r="D581" t="s">
        <v>7</v>
      </c>
      <c r="E581" t="s">
        <v>111</v>
      </c>
      <c r="F581" t="s">
        <v>13</v>
      </c>
    </row>
    <row r="582" spans="1:6">
      <c r="A582" t="s">
        <v>6</v>
      </c>
      <c r="B582" s="1">
        <v>45847.666898148149</v>
      </c>
      <c r="C582">
        <v>30002</v>
      </c>
      <c r="D582" t="s">
        <v>7</v>
      </c>
      <c r="E582" t="s">
        <v>111</v>
      </c>
      <c r="F582" t="s">
        <v>19</v>
      </c>
    </row>
    <row r="583" spans="1:6">
      <c r="A583" t="s">
        <v>6</v>
      </c>
      <c r="B583" s="1">
        <v>45847.662615740737</v>
      </c>
      <c r="C583">
        <v>30002</v>
      </c>
      <c r="D583" t="s">
        <v>7</v>
      </c>
      <c r="E583" t="s">
        <v>111</v>
      </c>
      <c r="F583" t="s">
        <v>19</v>
      </c>
    </row>
    <row r="584" spans="1:6">
      <c r="A584" t="s">
        <v>6</v>
      </c>
      <c r="B584" s="1">
        <v>45847.65724537037</v>
      </c>
      <c r="C584">
        <v>30002</v>
      </c>
      <c r="D584" t="s">
        <v>7</v>
      </c>
      <c r="E584" t="s">
        <v>111</v>
      </c>
      <c r="F584" t="s">
        <v>19</v>
      </c>
    </row>
    <row r="585" spans="1:6">
      <c r="A585" t="s">
        <v>6</v>
      </c>
      <c r="B585" s="1">
        <v>45869.440069444441</v>
      </c>
      <c r="C585">
        <v>30002</v>
      </c>
      <c r="D585" t="s">
        <v>7</v>
      </c>
      <c r="E585" t="s">
        <v>111</v>
      </c>
      <c r="F585" t="s">
        <v>97</v>
      </c>
    </row>
    <row r="586" spans="1:6">
      <c r="A586" t="s">
        <v>6</v>
      </c>
      <c r="B586" s="1">
        <v>45869.435150462959</v>
      </c>
      <c r="C586">
        <v>30002</v>
      </c>
      <c r="D586" t="s">
        <v>7</v>
      </c>
      <c r="E586" t="s">
        <v>111</v>
      </c>
      <c r="F586" t="s">
        <v>97</v>
      </c>
    </row>
    <row r="587" spans="1:6">
      <c r="A587" t="s">
        <v>6</v>
      </c>
      <c r="B587" s="1">
        <v>45869.427222222221</v>
      </c>
      <c r="C587">
        <v>30002</v>
      </c>
      <c r="D587" t="s">
        <v>7</v>
      </c>
      <c r="E587" t="s">
        <v>111</v>
      </c>
      <c r="F587" t="s">
        <v>97</v>
      </c>
    </row>
    <row r="588" spans="1:6">
      <c r="A588" t="s">
        <v>6</v>
      </c>
      <c r="B588" s="1">
        <v>45869.413124999999</v>
      </c>
      <c r="C588">
        <v>30002</v>
      </c>
      <c r="D588" t="s">
        <v>7</v>
      </c>
      <c r="E588" t="s">
        <v>111</v>
      </c>
      <c r="F588" t="s">
        <v>97</v>
      </c>
    </row>
    <row r="589" spans="1:6">
      <c r="A589" t="s">
        <v>6</v>
      </c>
      <c r="B589" s="1">
        <v>45869.412303240744</v>
      </c>
      <c r="C589">
        <v>30002</v>
      </c>
      <c r="D589" t="s">
        <v>7</v>
      </c>
      <c r="E589" t="s">
        <v>111</v>
      </c>
      <c r="F589" t="s">
        <v>97</v>
      </c>
    </row>
    <row r="590" spans="1:6">
      <c r="A590" t="s">
        <v>6</v>
      </c>
      <c r="B590" s="1">
        <v>45869.316284722219</v>
      </c>
      <c r="C590">
        <v>30002</v>
      </c>
      <c r="D590" t="s">
        <v>7</v>
      </c>
      <c r="E590" t="s">
        <v>111</v>
      </c>
      <c r="F590" t="s">
        <v>97</v>
      </c>
    </row>
    <row r="591" spans="1:6">
      <c r="A591" t="s">
        <v>6</v>
      </c>
      <c r="B591" s="1">
        <v>45869.294236111113</v>
      </c>
      <c r="C591">
        <v>30002</v>
      </c>
      <c r="D591" t="s">
        <v>7</v>
      </c>
      <c r="E591" t="s">
        <v>111</v>
      </c>
      <c r="F591" t="s">
        <v>97</v>
      </c>
    </row>
    <row r="592" spans="1:6">
      <c r="A592" t="s">
        <v>6</v>
      </c>
      <c r="B592" s="1">
        <v>45849.341736111113</v>
      </c>
      <c r="C592">
        <v>30002</v>
      </c>
      <c r="D592" t="s">
        <v>7</v>
      </c>
      <c r="E592" t="s">
        <v>111</v>
      </c>
      <c r="F592" t="s">
        <v>97</v>
      </c>
    </row>
    <row r="593" spans="1:6">
      <c r="A593" t="s">
        <v>6</v>
      </c>
      <c r="B593" s="1">
        <v>45869.304629629631</v>
      </c>
      <c r="C593">
        <v>30002</v>
      </c>
      <c r="D593" t="s">
        <v>7</v>
      </c>
      <c r="E593" t="s">
        <v>112</v>
      </c>
      <c r="F593" t="s">
        <v>97</v>
      </c>
    </row>
    <row r="594" spans="1:6">
      <c r="A594" t="s">
        <v>6</v>
      </c>
      <c r="B594" s="1">
        <v>45869.302627314813</v>
      </c>
      <c r="C594">
        <v>30002</v>
      </c>
      <c r="D594" t="s">
        <v>7</v>
      </c>
      <c r="E594" t="s">
        <v>112</v>
      </c>
      <c r="F594" t="s">
        <v>97</v>
      </c>
    </row>
    <row r="595" spans="1:6">
      <c r="A595" t="s">
        <v>6</v>
      </c>
      <c r="B595" s="1">
        <v>45869.301111111112</v>
      </c>
      <c r="C595">
        <v>30002</v>
      </c>
      <c r="D595" t="s">
        <v>7</v>
      </c>
      <c r="E595" t="s">
        <v>112</v>
      </c>
      <c r="F595" t="s">
        <v>97</v>
      </c>
    </row>
    <row r="596" spans="1:6">
      <c r="A596" t="s">
        <v>6</v>
      </c>
      <c r="B596" s="1">
        <v>45869.30023148148</v>
      </c>
      <c r="C596">
        <v>30002</v>
      </c>
      <c r="D596" t="s">
        <v>7</v>
      </c>
      <c r="E596" t="s">
        <v>112</v>
      </c>
      <c r="F596" t="s">
        <v>97</v>
      </c>
    </row>
    <row r="597" spans="1:6">
      <c r="A597" t="s">
        <v>6</v>
      </c>
      <c r="B597" s="1">
        <v>45869.29859953704</v>
      </c>
      <c r="C597">
        <v>30002</v>
      </c>
      <c r="D597" t="s">
        <v>7</v>
      </c>
      <c r="E597" t="s">
        <v>112</v>
      </c>
      <c r="F597" t="s">
        <v>97</v>
      </c>
    </row>
    <row r="598" spans="1:6">
      <c r="A598" t="s">
        <v>6</v>
      </c>
      <c r="B598" s="1">
        <v>45869.296967592592</v>
      </c>
      <c r="C598">
        <v>30002</v>
      </c>
      <c r="D598" t="s">
        <v>7</v>
      </c>
      <c r="E598" t="s">
        <v>112</v>
      </c>
      <c r="F598" t="s">
        <v>97</v>
      </c>
    </row>
    <row r="599" spans="1:6">
      <c r="A599" t="s">
        <v>6</v>
      </c>
      <c r="B599" s="1">
        <v>45869.296423611115</v>
      </c>
      <c r="C599">
        <v>30002</v>
      </c>
      <c r="D599" t="s">
        <v>7</v>
      </c>
      <c r="E599" t="s">
        <v>112</v>
      </c>
      <c r="F599" t="s">
        <v>97</v>
      </c>
    </row>
    <row r="600" spans="1:6">
      <c r="A600" t="s">
        <v>6</v>
      </c>
      <c r="B600" s="1">
        <v>45869.295439814814</v>
      </c>
      <c r="C600">
        <v>30002</v>
      </c>
      <c r="D600" t="s">
        <v>7</v>
      </c>
      <c r="E600" t="s">
        <v>112</v>
      </c>
      <c r="F600" t="s">
        <v>97</v>
      </c>
    </row>
    <row r="601" spans="1:6">
      <c r="A601" t="s">
        <v>6</v>
      </c>
      <c r="B601" s="1">
        <v>45867.422951388886</v>
      </c>
      <c r="C601">
        <v>30002</v>
      </c>
      <c r="D601" t="s">
        <v>7</v>
      </c>
      <c r="E601" t="s">
        <v>113</v>
      </c>
      <c r="F601" t="s">
        <v>114</v>
      </c>
    </row>
    <row r="602" spans="1:6">
      <c r="A602" t="s">
        <v>6</v>
      </c>
      <c r="B602" s="1">
        <v>45841.371111111112</v>
      </c>
      <c r="C602">
        <v>30002</v>
      </c>
      <c r="D602" t="s">
        <v>7</v>
      </c>
      <c r="E602" t="s">
        <v>113</v>
      </c>
      <c r="F602" t="s">
        <v>114</v>
      </c>
    </row>
    <row r="603" spans="1:6">
      <c r="A603" t="s">
        <v>6</v>
      </c>
      <c r="B603" s="1">
        <v>45859.693067129629</v>
      </c>
      <c r="C603">
        <v>30002</v>
      </c>
      <c r="D603" t="s">
        <v>7</v>
      </c>
      <c r="E603" t="s">
        <v>113</v>
      </c>
      <c r="F603" t="s">
        <v>115</v>
      </c>
    </row>
    <row r="604" spans="1:6">
      <c r="A604" t="s">
        <v>6</v>
      </c>
      <c r="B604" s="1">
        <v>45852.652638888889</v>
      </c>
      <c r="C604">
        <v>30002</v>
      </c>
      <c r="D604" t="s">
        <v>7</v>
      </c>
      <c r="E604" t="s">
        <v>113</v>
      </c>
      <c r="F604" t="s">
        <v>115</v>
      </c>
    </row>
    <row r="605" spans="1:6">
      <c r="A605" t="s">
        <v>6</v>
      </c>
      <c r="B605" s="1">
        <v>45846.436412037037</v>
      </c>
      <c r="C605">
        <v>30002</v>
      </c>
      <c r="D605" t="s">
        <v>7</v>
      </c>
      <c r="E605" t="s">
        <v>113</v>
      </c>
      <c r="F605" t="s">
        <v>115</v>
      </c>
    </row>
    <row r="606" spans="1:6">
      <c r="A606" t="s">
        <v>6</v>
      </c>
      <c r="B606" s="1">
        <v>45845.489178240743</v>
      </c>
      <c r="C606">
        <v>30002</v>
      </c>
      <c r="D606" t="s">
        <v>7</v>
      </c>
      <c r="E606" t="s">
        <v>113</v>
      </c>
      <c r="F606" t="s">
        <v>115</v>
      </c>
    </row>
    <row r="607" spans="1:6">
      <c r="A607" t="s">
        <v>6</v>
      </c>
      <c r="B607" s="1">
        <v>45859.484131944446</v>
      </c>
      <c r="C607">
        <v>30002</v>
      </c>
      <c r="D607" t="s">
        <v>7</v>
      </c>
      <c r="E607" t="s">
        <v>116</v>
      </c>
      <c r="F607" t="s">
        <v>23</v>
      </c>
    </row>
    <row r="608" spans="1:6">
      <c r="A608" t="s">
        <v>6</v>
      </c>
      <c r="B608" s="1">
        <v>45859.481446759259</v>
      </c>
      <c r="C608">
        <v>30002</v>
      </c>
      <c r="D608" t="s">
        <v>7</v>
      </c>
      <c r="E608" t="s">
        <v>116</v>
      </c>
      <c r="F608" t="s">
        <v>23</v>
      </c>
    </row>
    <row r="609" spans="1:6">
      <c r="A609" t="s">
        <v>6</v>
      </c>
      <c r="B609" s="1">
        <v>45859.480868055558</v>
      </c>
      <c r="C609">
        <v>30002</v>
      </c>
      <c r="D609" t="s">
        <v>7</v>
      </c>
      <c r="E609" t="s">
        <v>116</v>
      </c>
      <c r="F609" t="s">
        <v>23</v>
      </c>
    </row>
    <row r="610" spans="1:6">
      <c r="A610" t="s">
        <v>6</v>
      </c>
      <c r="B610" s="1">
        <v>45841.687465277777</v>
      </c>
      <c r="C610">
        <v>30002</v>
      </c>
      <c r="D610" t="s">
        <v>7</v>
      </c>
      <c r="E610" t="s">
        <v>117</v>
      </c>
      <c r="F610" t="s">
        <v>105</v>
      </c>
    </row>
    <row r="611" spans="1:6">
      <c r="A611" t="s">
        <v>6</v>
      </c>
      <c r="B611" s="1">
        <v>45841.6871875</v>
      </c>
      <c r="C611">
        <v>30002</v>
      </c>
      <c r="D611" t="s">
        <v>7</v>
      </c>
      <c r="E611" t="s">
        <v>117</v>
      </c>
      <c r="F611" t="s">
        <v>105</v>
      </c>
    </row>
    <row r="612" spans="1:6">
      <c r="A612" t="s">
        <v>6</v>
      </c>
      <c r="B612" s="1">
        <v>45841.683541666665</v>
      </c>
      <c r="C612">
        <v>30002</v>
      </c>
      <c r="D612" t="s">
        <v>7</v>
      </c>
      <c r="E612" t="s">
        <v>117</v>
      </c>
      <c r="F612" t="s">
        <v>105</v>
      </c>
    </row>
    <row r="613" spans="1:6">
      <c r="A613" t="s">
        <v>6</v>
      </c>
      <c r="B613" s="1">
        <v>45839.34684027778</v>
      </c>
      <c r="C613">
        <v>30002</v>
      </c>
      <c r="D613" t="s">
        <v>7</v>
      </c>
      <c r="E613" t="s">
        <v>117</v>
      </c>
      <c r="F613" t="s">
        <v>31</v>
      </c>
    </row>
    <row r="614" spans="1:6">
      <c r="A614" t="s">
        <v>6</v>
      </c>
      <c r="B614" s="1">
        <v>45839.346076388887</v>
      </c>
      <c r="C614">
        <v>30002</v>
      </c>
      <c r="D614" t="s">
        <v>7</v>
      </c>
      <c r="E614" t="s">
        <v>117</v>
      </c>
      <c r="F614" t="s">
        <v>31</v>
      </c>
    </row>
    <row r="615" spans="1:6">
      <c r="A615" t="s">
        <v>6</v>
      </c>
      <c r="B615" s="1">
        <v>45839.345555555556</v>
      </c>
      <c r="C615">
        <v>30002</v>
      </c>
      <c r="D615" t="s">
        <v>7</v>
      </c>
      <c r="E615" t="s">
        <v>117</v>
      </c>
      <c r="F615" t="s">
        <v>31</v>
      </c>
    </row>
    <row r="616" spans="1:6">
      <c r="A616" t="s">
        <v>6</v>
      </c>
      <c r="B616" s="1">
        <v>45854.58966435185</v>
      </c>
      <c r="C616">
        <v>30002</v>
      </c>
      <c r="D616" t="s">
        <v>7</v>
      </c>
      <c r="E616" t="s">
        <v>117</v>
      </c>
      <c r="F616" t="s">
        <v>24</v>
      </c>
    </row>
    <row r="617" spans="1:6">
      <c r="A617" t="s">
        <v>6</v>
      </c>
      <c r="B617" s="1">
        <v>45848.454270833332</v>
      </c>
      <c r="C617">
        <v>30002</v>
      </c>
      <c r="D617" t="s">
        <v>7</v>
      </c>
      <c r="E617" t="s">
        <v>118</v>
      </c>
      <c r="F617" t="s">
        <v>102</v>
      </c>
    </row>
    <row r="618" spans="1:6">
      <c r="A618" t="s">
        <v>6</v>
      </c>
      <c r="B618" s="1">
        <v>45856.381331018521</v>
      </c>
      <c r="C618">
        <v>30002</v>
      </c>
      <c r="D618" t="s">
        <v>7</v>
      </c>
      <c r="E618" t="s">
        <v>118</v>
      </c>
      <c r="F618" t="s">
        <v>13</v>
      </c>
    </row>
    <row r="619" spans="1:6">
      <c r="A619" t="s">
        <v>6</v>
      </c>
      <c r="B619" s="1">
        <v>45856.368645833332</v>
      </c>
      <c r="C619">
        <v>30002</v>
      </c>
      <c r="D619" t="s">
        <v>7</v>
      </c>
      <c r="E619" t="s">
        <v>118</v>
      </c>
      <c r="F619" t="s">
        <v>13</v>
      </c>
    </row>
    <row r="620" spans="1:6">
      <c r="A620" t="s">
        <v>6</v>
      </c>
      <c r="B620" s="1">
        <v>45852.600682870368</v>
      </c>
      <c r="C620">
        <v>30002</v>
      </c>
      <c r="D620" t="s">
        <v>7</v>
      </c>
      <c r="E620" t="s">
        <v>118</v>
      </c>
      <c r="F620" t="s">
        <v>13</v>
      </c>
    </row>
    <row r="621" spans="1:6">
      <c r="A621" t="s">
        <v>6</v>
      </c>
      <c r="B621" s="1">
        <v>45868.340937499997</v>
      </c>
      <c r="C621">
        <v>30002</v>
      </c>
      <c r="D621" t="s">
        <v>7</v>
      </c>
      <c r="E621" t="s">
        <v>118</v>
      </c>
      <c r="F621" t="s">
        <v>103</v>
      </c>
    </row>
    <row r="622" spans="1:6">
      <c r="A622" t="s">
        <v>6</v>
      </c>
      <c r="B622" s="1">
        <v>45868.336851851855</v>
      </c>
      <c r="C622">
        <v>30002</v>
      </c>
      <c r="D622" t="s">
        <v>7</v>
      </c>
      <c r="E622" t="s">
        <v>118</v>
      </c>
      <c r="F622" t="s">
        <v>103</v>
      </c>
    </row>
    <row r="623" spans="1:6">
      <c r="A623" t="s">
        <v>6</v>
      </c>
      <c r="B623" s="1">
        <v>45868.334918981483</v>
      </c>
      <c r="C623">
        <v>30002</v>
      </c>
      <c r="D623" t="s">
        <v>7</v>
      </c>
      <c r="E623" t="s">
        <v>118</v>
      </c>
      <c r="F623" t="s">
        <v>103</v>
      </c>
    </row>
    <row r="624" spans="1:6">
      <c r="A624" t="s">
        <v>6</v>
      </c>
      <c r="B624" s="1">
        <v>45861.548495370371</v>
      </c>
      <c r="C624">
        <v>30002</v>
      </c>
      <c r="D624" t="s">
        <v>7</v>
      </c>
      <c r="E624" t="s">
        <v>118</v>
      </c>
      <c r="F624" t="s">
        <v>23</v>
      </c>
    </row>
    <row r="625" spans="1:6">
      <c r="A625" t="s">
        <v>6</v>
      </c>
      <c r="B625" s="1">
        <v>45859.480428240742</v>
      </c>
      <c r="C625">
        <v>30002</v>
      </c>
      <c r="D625" t="s">
        <v>7</v>
      </c>
      <c r="E625" t="s">
        <v>118</v>
      </c>
      <c r="F625" t="s">
        <v>23</v>
      </c>
    </row>
    <row r="626" spans="1:6">
      <c r="A626" t="s">
        <v>6</v>
      </c>
      <c r="B626" s="1">
        <v>45855.33556712963</v>
      </c>
      <c r="C626">
        <v>30002</v>
      </c>
      <c r="D626" t="s">
        <v>7</v>
      </c>
      <c r="E626" t="s">
        <v>118</v>
      </c>
      <c r="F626" t="s">
        <v>24</v>
      </c>
    </row>
    <row r="627" spans="1:6">
      <c r="A627" t="s">
        <v>6</v>
      </c>
      <c r="B627" s="1">
        <v>45855.335405092592</v>
      </c>
      <c r="C627">
        <v>30002</v>
      </c>
      <c r="D627" t="s">
        <v>7</v>
      </c>
      <c r="E627" t="s">
        <v>118</v>
      </c>
      <c r="F627" t="s">
        <v>24</v>
      </c>
    </row>
    <row r="628" spans="1:6">
      <c r="A628" t="s">
        <v>6</v>
      </c>
      <c r="B628" s="1">
        <v>45855.335231481484</v>
      </c>
      <c r="C628">
        <v>30002</v>
      </c>
      <c r="D628" t="s">
        <v>7</v>
      </c>
      <c r="E628" t="s">
        <v>118</v>
      </c>
      <c r="F628" t="s">
        <v>24</v>
      </c>
    </row>
    <row r="629" spans="1:6">
      <c r="A629" t="s">
        <v>6</v>
      </c>
      <c r="B629" s="1">
        <v>45855.335138888891</v>
      </c>
      <c r="C629">
        <v>30002</v>
      </c>
      <c r="D629" t="s">
        <v>7</v>
      </c>
      <c r="E629" t="s">
        <v>118</v>
      </c>
      <c r="F629" t="s">
        <v>24</v>
      </c>
    </row>
    <row r="630" spans="1:6">
      <c r="A630" t="s">
        <v>6</v>
      </c>
      <c r="B630" s="1">
        <v>45855.326539351852</v>
      </c>
      <c r="C630">
        <v>30002</v>
      </c>
      <c r="D630" t="s">
        <v>7</v>
      </c>
      <c r="E630" t="s">
        <v>118</v>
      </c>
      <c r="F630" t="s">
        <v>24</v>
      </c>
    </row>
    <row r="631" spans="1:6">
      <c r="A631" t="s">
        <v>6</v>
      </c>
      <c r="B631" s="1">
        <v>45854.596886574072</v>
      </c>
      <c r="C631">
        <v>30002</v>
      </c>
      <c r="D631" t="s">
        <v>7</v>
      </c>
      <c r="E631" t="s">
        <v>118</v>
      </c>
      <c r="F631" t="s">
        <v>24</v>
      </c>
    </row>
    <row r="632" spans="1:6">
      <c r="A632" t="s">
        <v>6</v>
      </c>
      <c r="B632" s="1">
        <v>45861.660254629627</v>
      </c>
      <c r="C632">
        <v>30002</v>
      </c>
      <c r="D632" t="s">
        <v>7</v>
      </c>
      <c r="E632" t="s">
        <v>118</v>
      </c>
      <c r="F632" t="s">
        <v>97</v>
      </c>
    </row>
    <row r="633" spans="1:6">
      <c r="A633" t="s">
        <v>6</v>
      </c>
      <c r="B633" s="1">
        <v>45859.338541666664</v>
      </c>
      <c r="C633">
        <v>30002</v>
      </c>
      <c r="D633" t="s">
        <v>7</v>
      </c>
      <c r="E633" t="s">
        <v>118</v>
      </c>
      <c r="F633" t="s">
        <v>97</v>
      </c>
    </row>
    <row r="634" spans="1:6">
      <c r="A634" t="s">
        <v>6</v>
      </c>
      <c r="B634" s="1">
        <v>45855.369386574072</v>
      </c>
      <c r="C634">
        <v>30002</v>
      </c>
      <c r="D634" t="s">
        <v>7</v>
      </c>
      <c r="E634" t="s">
        <v>118</v>
      </c>
      <c r="F634" t="s">
        <v>97</v>
      </c>
    </row>
    <row r="635" spans="1:6">
      <c r="A635" t="s">
        <v>6</v>
      </c>
      <c r="B635" s="1">
        <v>45850.346909722219</v>
      </c>
      <c r="C635">
        <v>30002</v>
      </c>
      <c r="D635" t="s">
        <v>7</v>
      </c>
      <c r="E635" t="s">
        <v>118</v>
      </c>
      <c r="F635" t="s">
        <v>97</v>
      </c>
    </row>
    <row r="636" spans="1:6">
      <c r="A636" t="s">
        <v>6</v>
      </c>
      <c r="B636" s="1">
        <v>45855.459039351852</v>
      </c>
      <c r="C636">
        <v>30002</v>
      </c>
      <c r="D636" t="s">
        <v>7</v>
      </c>
      <c r="E636" t="s">
        <v>118</v>
      </c>
      <c r="F636" t="s">
        <v>119</v>
      </c>
    </row>
    <row r="637" spans="1:6">
      <c r="A637" t="s">
        <v>6</v>
      </c>
      <c r="B637" s="1">
        <v>45840.339201388888</v>
      </c>
      <c r="C637">
        <v>30002</v>
      </c>
      <c r="D637" t="s">
        <v>7</v>
      </c>
      <c r="E637" t="s">
        <v>120</v>
      </c>
      <c r="F637" t="s">
        <v>121</v>
      </c>
    </row>
    <row r="638" spans="1:6">
      <c r="A638" t="s">
        <v>6</v>
      </c>
      <c r="B638" s="1">
        <v>45840.337534722225</v>
      </c>
      <c r="C638">
        <v>30002</v>
      </c>
      <c r="D638" t="s">
        <v>7</v>
      </c>
      <c r="E638" t="s">
        <v>120</v>
      </c>
      <c r="F638" t="s">
        <v>121</v>
      </c>
    </row>
    <row r="639" spans="1:6">
      <c r="A639" t="s">
        <v>6</v>
      </c>
      <c r="B639" s="1">
        <v>45849.508425925924</v>
      </c>
      <c r="C639">
        <v>30002</v>
      </c>
      <c r="D639" t="s">
        <v>7</v>
      </c>
      <c r="E639" t="s">
        <v>122</v>
      </c>
      <c r="F639" t="s">
        <v>121</v>
      </c>
    </row>
    <row r="640" spans="1:6">
      <c r="A640" t="s">
        <v>6</v>
      </c>
      <c r="B640" s="1">
        <v>45846.25608796296</v>
      </c>
      <c r="C640">
        <v>30002</v>
      </c>
      <c r="D640" t="s">
        <v>7</v>
      </c>
      <c r="E640" t="s">
        <v>122</v>
      </c>
      <c r="F640" t="s">
        <v>19</v>
      </c>
    </row>
    <row r="641" spans="1:6">
      <c r="A641" t="s">
        <v>6</v>
      </c>
      <c r="B641" s="1">
        <v>45845.577743055554</v>
      </c>
      <c r="C641">
        <v>30002</v>
      </c>
      <c r="D641" t="s">
        <v>7</v>
      </c>
      <c r="E641" t="s">
        <v>123</v>
      </c>
      <c r="F641" t="s">
        <v>15</v>
      </c>
    </row>
    <row r="642" spans="1:6">
      <c r="A642" t="s">
        <v>6</v>
      </c>
      <c r="B642" s="1">
        <v>45845.57099537037</v>
      </c>
      <c r="C642">
        <v>30002</v>
      </c>
      <c r="D642" t="s">
        <v>7</v>
      </c>
      <c r="E642" t="s">
        <v>123</v>
      </c>
      <c r="F642" t="s">
        <v>15</v>
      </c>
    </row>
    <row r="643" spans="1:6">
      <c r="A643" t="s">
        <v>6</v>
      </c>
      <c r="B643" s="1">
        <v>45845.55064814815</v>
      </c>
      <c r="C643">
        <v>30002</v>
      </c>
      <c r="D643" t="s">
        <v>7</v>
      </c>
      <c r="E643" t="s">
        <v>123</v>
      </c>
      <c r="F643" t="s">
        <v>15</v>
      </c>
    </row>
    <row r="644" spans="1:6">
      <c r="A644" t="s">
        <v>6</v>
      </c>
      <c r="B644" s="1">
        <v>45841.402592592596</v>
      </c>
      <c r="C644">
        <v>30002</v>
      </c>
      <c r="D644" t="s">
        <v>7</v>
      </c>
      <c r="E644" t="s">
        <v>123</v>
      </c>
      <c r="F644" t="s">
        <v>15</v>
      </c>
    </row>
    <row r="645" spans="1:6">
      <c r="A645" t="s">
        <v>6</v>
      </c>
      <c r="B645" s="1">
        <v>45852.566527777781</v>
      </c>
      <c r="C645">
        <v>30002</v>
      </c>
      <c r="D645" t="s">
        <v>7</v>
      </c>
      <c r="E645" t="s">
        <v>123</v>
      </c>
      <c r="F645" t="s">
        <v>115</v>
      </c>
    </row>
    <row r="646" spans="1:6">
      <c r="A646" t="s">
        <v>6</v>
      </c>
      <c r="B646" s="1">
        <v>45861.430543981478</v>
      </c>
      <c r="C646">
        <v>30002</v>
      </c>
      <c r="D646" t="s">
        <v>7</v>
      </c>
      <c r="E646" t="s">
        <v>124</v>
      </c>
      <c r="F646" t="s">
        <v>94</v>
      </c>
    </row>
    <row r="647" spans="1:6">
      <c r="A647" t="s">
        <v>6</v>
      </c>
      <c r="B647" s="1">
        <v>45840.499166666668</v>
      </c>
      <c r="C647">
        <v>30002</v>
      </c>
      <c r="D647" t="s">
        <v>7</v>
      </c>
      <c r="E647" t="s">
        <v>124</v>
      </c>
      <c r="F647" t="s">
        <v>94</v>
      </c>
    </row>
    <row r="648" spans="1:6">
      <c r="A648" t="s">
        <v>6</v>
      </c>
      <c r="B648" s="1">
        <v>45840.498148148145</v>
      </c>
      <c r="C648">
        <v>30002</v>
      </c>
      <c r="D648" t="s">
        <v>7</v>
      </c>
      <c r="E648" t="s">
        <v>124</v>
      </c>
      <c r="F648" t="s">
        <v>94</v>
      </c>
    </row>
    <row r="649" spans="1:6">
      <c r="A649" t="s">
        <v>6</v>
      </c>
      <c r="B649" s="1">
        <v>45840.495983796296</v>
      </c>
      <c r="C649">
        <v>30002</v>
      </c>
      <c r="D649" t="s">
        <v>7</v>
      </c>
      <c r="E649" t="s">
        <v>124</v>
      </c>
      <c r="F649" t="s">
        <v>94</v>
      </c>
    </row>
    <row r="650" spans="1:6">
      <c r="A650" t="s">
        <v>6</v>
      </c>
      <c r="B650" s="1">
        <v>45840.490289351852</v>
      </c>
      <c r="C650">
        <v>30002</v>
      </c>
      <c r="D650" t="s">
        <v>7</v>
      </c>
      <c r="E650" t="s">
        <v>124</v>
      </c>
      <c r="F650" t="s">
        <v>94</v>
      </c>
    </row>
    <row r="651" spans="1:6">
      <c r="A651" t="s">
        <v>6</v>
      </c>
      <c r="B651" s="1">
        <v>45840.489733796298</v>
      </c>
      <c r="C651">
        <v>30002</v>
      </c>
      <c r="D651" t="s">
        <v>7</v>
      </c>
      <c r="E651" t="s">
        <v>124</v>
      </c>
      <c r="F651" t="s">
        <v>94</v>
      </c>
    </row>
    <row r="652" spans="1:6">
      <c r="A652" t="s">
        <v>6</v>
      </c>
      <c r="B652" s="1">
        <v>45840.482164351852</v>
      </c>
      <c r="C652">
        <v>30002</v>
      </c>
      <c r="D652" t="s">
        <v>7</v>
      </c>
      <c r="E652" t="s">
        <v>124</v>
      </c>
      <c r="F652" t="s">
        <v>94</v>
      </c>
    </row>
    <row r="653" spans="1:6">
      <c r="A653" t="s">
        <v>6</v>
      </c>
      <c r="B653" s="1">
        <v>45840.480717592596</v>
      </c>
      <c r="C653">
        <v>30002</v>
      </c>
      <c r="D653" t="s">
        <v>7</v>
      </c>
      <c r="E653" t="s">
        <v>124</v>
      </c>
      <c r="F653" t="s">
        <v>94</v>
      </c>
    </row>
    <row r="654" spans="1:6">
      <c r="A654" t="s">
        <v>6</v>
      </c>
      <c r="B654" s="1">
        <v>45840.4765162037</v>
      </c>
      <c r="C654">
        <v>30002</v>
      </c>
      <c r="D654" t="s">
        <v>7</v>
      </c>
      <c r="E654" t="s">
        <v>124</v>
      </c>
      <c r="F654" t="s">
        <v>94</v>
      </c>
    </row>
    <row r="655" spans="1:6">
      <c r="A655" t="s">
        <v>6</v>
      </c>
      <c r="B655" s="1">
        <v>45840.475046296298</v>
      </c>
      <c r="C655">
        <v>30002</v>
      </c>
      <c r="D655" t="s">
        <v>7</v>
      </c>
      <c r="E655" t="s">
        <v>124</v>
      </c>
      <c r="F655" t="s">
        <v>94</v>
      </c>
    </row>
    <row r="656" spans="1:6">
      <c r="A656" t="s">
        <v>6</v>
      </c>
      <c r="B656" s="1">
        <v>45840.474247685182</v>
      </c>
      <c r="C656">
        <v>30002</v>
      </c>
      <c r="D656" t="s">
        <v>7</v>
      </c>
      <c r="E656" t="s">
        <v>124</v>
      </c>
      <c r="F656" t="s">
        <v>94</v>
      </c>
    </row>
    <row r="657" spans="1:6">
      <c r="A657" t="s">
        <v>6</v>
      </c>
      <c r="B657" s="1">
        <v>45840.456886574073</v>
      </c>
      <c r="C657">
        <v>30002</v>
      </c>
      <c r="D657" t="s">
        <v>7</v>
      </c>
      <c r="E657" t="s">
        <v>124</v>
      </c>
      <c r="F657" t="s">
        <v>94</v>
      </c>
    </row>
    <row r="658" spans="1:6">
      <c r="A658" t="s">
        <v>6</v>
      </c>
      <c r="B658" s="1">
        <v>45848.491689814815</v>
      </c>
      <c r="C658">
        <v>30002</v>
      </c>
      <c r="D658" t="s">
        <v>7</v>
      </c>
      <c r="E658" t="s">
        <v>124</v>
      </c>
      <c r="F658" t="s">
        <v>13</v>
      </c>
    </row>
    <row r="659" spans="1:6">
      <c r="A659" t="s">
        <v>6</v>
      </c>
      <c r="B659" s="1">
        <v>45848.466898148145</v>
      </c>
      <c r="C659">
        <v>30002</v>
      </c>
      <c r="D659" t="s">
        <v>7</v>
      </c>
      <c r="E659" t="s">
        <v>124</v>
      </c>
      <c r="F659" t="s">
        <v>13</v>
      </c>
    </row>
    <row r="660" spans="1:6">
      <c r="A660" t="s">
        <v>6</v>
      </c>
      <c r="B660" s="1">
        <v>45848.431307870371</v>
      </c>
      <c r="C660">
        <v>30002</v>
      </c>
      <c r="D660" t="s">
        <v>7</v>
      </c>
      <c r="E660" t="s">
        <v>124</v>
      </c>
      <c r="F660" t="s">
        <v>13</v>
      </c>
    </row>
    <row r="661" spans="1:6">
      <c r="A661" t="s">
        <v>6</v>
      </c>
      <c r="B661" s="1">
        <v>45845.836736111109</v>
      </c>
      <c r="C661">
        <v>30002</v>
      </c>
      <c r="D661" t="s">
        <v>7</v>
      </c>
      <c r="E661" t="s">
        <v>124</v>
      </c>
      <c r="F661" t="s">
        <v>18</v>
      </c>
    </row>
    <row r="662" spans="1:6">
      <c r="A662" t="s">
        <v>6</v>
      </c>
      <c r="B662" s="1">
        <v>45845.835960648146</v>
      </c>
      <c r="C662">
        <v>30002</v>
      </c>
      <c r="D662" t="s">
        <v>7</v>
      </c>
      <c r="E662" t="s">
        <v>124</v>
      </c>
      <c r="F662" t="s">
        <v>18</v>
      </c>
    </row>
    <row r="663" spans="1:6">
      <c r="A663" t="s">
        <v>6</v>
      </c>
      <c r="B663" s="1">
        <v>45845.492488425924</v>
      </c>
      <c r="C663">
        <v>30002</v>
      </c>
      <c r="D663" t="s">
        <v>7</v>
      </c>
      <c r="E663" t="s">
        <v>124</v>
      </c>
      <c r="F663" t="s">
        <v>18</v>
      </c>
    </row>
    <row r="664" spans="1:6">
      <c r="A664" t="s">
        <v>6</v>
      </c>
      <c r="B664" s="1">
        <v>45845.469259259262</v>
      </c>
      <c r="C664">
        <v>30002</v>
      </c>
      <c r="D664" t="s">
        <v>7</v>
      </c>
      <c r="E664" t="s">
        <v>124</v>
      </c>
      <c r="F664" t="s">
        <v>18</v>
      </c>
    </row>
    <row r="665" spans="1:6">
      <c r="A665" t="s">
        <v>6</v>
      </c>
      <c r="B665" s="1">
        <v>45845.439502314817</v>
      </c>
      <c r="C665">
        <v>30002</v>
      </c>
      <c r="D665" t="s">
        <v>7</v>
      </c>
      <c r="E665" t="s">
        <v>124</v>
      </c>
      <c r="F665" t="s">
        <v>18</v>
      </c>
    </row>
    <row r="666" spans="1:6">
      <c r="A666" t="s">
        <v>6</v>
      </c>
      <c r="B666" s="1">
        <v>45845.431851851848</v>
      </c>
      <c r="C666">
        <v>30002</v>
      </c>
      <c r="D666" t="s">
        <v>7</v>
      </c>
      <c r="E666" t="s">
        <v>124</v>
      </c>
      <c r="F666" t="s">
        <v>18</v>
      </c>
    </row>
    <row r="667" spans="1:6">
      <c r="A667" t="s">
        <v>6</v>
      </c>
      <c r="B667" s="1">
        <v>45845.417719907404</v>
      </c>
      <c r="C667">
        <v>30002</v>
      </c>
      <c r="D667" t="s">
        <v>7</v>
      </c>
      <c r="E667" t="s">
        <v>124</v>
      </c>
      <c r="F667" t="s">
        <v>18</v>
      </c>
    </row>
    <row r="668" spans="1:6">
      <c r="A668" t="s">
        <v>6</v>
      </c>
      <c r="B668" s="1">
        <v>45845.397037037037</v>
      </c>
      <c r="C668">
        <v>30002</v>
      </c>
      <c r="D668" t="s">
        <v>7</v>
      </c>
      <c r="E668" t="s">
        <v>124</v>
      </c>
      <c r="F668" t="s">
        <v>18</v>
      </c>
    </row>
    <row r="669" spans="1:6">
      <c r="A669" t="s">
        <v>6</v>
      </c>
      <c r="B669" s="1">
        <v>45845.386724537035</v>
      </c>
      <c r="C669">
        <v>30002</v>
      </c>
      <c r="D669" t="s">
        <v>7</v>
      </c>
      <c r="E669" t="s">
        <v>124</v>
      </c>
      <c r="F669" t="s">
        <v>103</v>
      </c>
    </row>
    <row r="670" spans="1:6">
      <c r="A670" t="s">
        <v>6</v>
      </c>
      <c r="B670" s="1">
        <v>45869.277615740742</v>
      </c>
      <c r="C670">
        <v>30002</v>
      </c>
      <c r="D670" t="s">
        <v>7</v>
      </c>
      <c r="E670" t="s">
        <v>124</v>
      </c>
      <c r="F670" t="s">
        <v>19</v>
      </c>
    </row>
    <row r="671" spans="1:6">
      <c r="A671" t="s">
        <v>6</v>
      </c>
      <c r="B671" s="1">
        <v>45869.277499999997</v>
      </c>
      <c r="C671">
        <v>30002</v>
      </c>
      <c r="D671" t="s">
        <v>7</v>
      </c>
      <c r="E671" t="s">
        <v>124</v>
      </c>
      <c r="F671" t="s">
        <v>19</v>
      </c>
    </row>
    <row r="672" spans="1:6">
      <c r="A672" t="s">
        <v>6</v>
      </c>
      <c r="B672" s="1">
        <v>45869.277118055557</v>
      </c>
      <c r="C672">
        <v>30002</v>
      </c>
      <c r="D672" t="s">
        <v>7</v>
      </c>
      <c r="E672" t="s">
        <v>124</v>
      </c>
      <c r="F672" t="s">
        <v>19</v>
      </c>
    </row>
    <row r="673" spans="1:6">
      <c r="A673" t="s">
        <v>6</v>
      </c>
      <c r="B673" s="1">
        <v>45869.276875000003</v>
      </c>
      <c r="C673">
        <v>30002</v>
      </c>
      <c r="D673" t="s">
        <v>7</v>
      </c>
      <c r="E673" t="s">
        <v>124</v>
      </c>
      <c r="F673" t="s">
        <v>19</v>
      </c>
    </row>
    <row r="674" spans="1:6">
      <c r="A674" t="s">
        <v>6</v>
      </c>
      <c r="B674" s="1">
        <v>45847.66615740741</v>
      </c>
      <c r="C674">
        <v>30002</v>
      </c>
      <c r="D674" t="s">
        <v>7</v>
      </c>
      <c r="E674" t="s">
        <v>124</v>
      </c>
      <c r="F674" t="s">
        <v>19</v>
      </c>
    </row>
    <row r="675" spans="1:6">
      <c r="A675" t="s">
        <v>6</v>
      </c>
      <c r="B675" s="1">
        <v>45847.665717592594</v>
      </c>
      <c r="C675">
        <v>30002</v>
      </c>
      <c r="D675" t="s">
        <v>7</v>
      </c>
      <c r="E675" t="s">
        <v>124</v>
      </c>
      <c r="F675" t="s">
        <v>19</v>
      </c>
    </row>
    <row r="676" spans="1:6">
      <c r="A676" t="s">
        <v>6</v>
      </c>
      <c r="B676" s="1">
        <v>45847.661493055559</v>
      </c>
      <c r="C676">
        <v>30002</v>
      </c>
      <c r="D676" t="s">
        <v>7</v>
      </c>
      <c r="E676" t="s">
        <v>124</v>
      </c>
      <c r="F676" t="s">
        <v>19</v>
      </c>
    </row>
    <row r="677" spans="1:6">
      <c r="A677" t="s">
        <v>6</v>
      </c>
      <c r="B677" s="1">
        <v>45847.661087962966</v>
      </c>
      <c r="C677">
        <v>30002</v>
      </c>
      <c r="D677" t="s">
        <v>7</v>
      </c>
      <c r="E677" t="s">
        <v>124</v>
      </c>
      <c r="F677" t="s">
        <v>19</v>
      </c>
    </row>
    <row r="678" spans="1:6">
      <c r="A678" t="s">
        <v>6</v>
      </c>
      <c r="B678" s="1">
        <v>45861.495925925927</v>
      </c>
      <c r="C678">
        <v>30002</v>
      </c>
      <c r="D678" t="s">
        <v>7</v>
      </c>
      <c r="E678" t="s">
        <v>124</v>
      </c>
      <c r="F678" t="s">
        <v>21</v>
      </c>
    </row>
    <row r="679" spans="1:6">
      <c r="A679" t="s">
        <v>6</v>
      </c>
      <c r="B679" s="1">
        <v>45860.258553240739</v>
      </c>
      <c r="C679">
        <v>30002</v>
      </c>
      <c r="D679" t="s">
        <v>7</v>
      </c>
      <c r="E679" t="s">
        <v>124</v>
      </c>
      <c r="F679" t="s">
        <v>21</v>
      </c>
    </row>
    <row r="680" spans="1:6">
      <c r="A680" t="s">
        <v>6</v>
      </c>
      <c r="B680" s="1">
        <v>45854.295520833337</v>
      </c>
      <c r="C680">
        <v>30002</v>
      </c>
      <c r="D680" t="s">
        <v>7</v>
      </c>
      <c r="E680" t="s">
        <v>124</v>
      </c>
      <c r="F680" t="s">
        <v>21</v>
      </c>
    </row>
    <row r="681" spans="1:6">
      <c r="A681" t="s">
        <v>6</v>
      </c>
      <c r="B681" s="1">
        <v>45841.348113425927</v>
      </c>
      <c r="C681">
        <v>30002</v>
      </c>
      <c r="D681" t="s">
        <v>7</v>
      </c>
      <c r="E681" t="s">
        <v>124</v>
      </c>
      <c r="F681" t="s">
        <v>21</v>
      </c>
    </row>
    <row r="682" spans="1:6">
      <c r="A682" t="s">
        <v>6</v>
      </c>
      <c r="B682" s="1">
        <v>45848.646805555552</v>
      </c>
      <c r="C682">
        <v>30002</v>
      </c>
      <c r="D682" t="s">
        <v>7</v>
      </c>
      <c r="E682" t="s">
        <v>124</v>
      </c>
      <c r="F682" t="s">
        <v>15</v>
      </c>
    </row>
    <row r="683" spans="1:6">
      <c r="A683" t="s">
        <v>6</v>
      </c>
      <c r="B683" s="1">
        <v>45848.646701388891</v>
      </c>
      <c r="C683">
        <v>30002</v>
      </c>
      <c r="D683" t="s">
        <v>7</v>
      </c>
      <c r="E683" t="s">
        <v>124</v>
      </c>
      <c r="F683" t="s">
        <v>15</v>
      </c>
    </row>
    <row r="684" spans="1:6">
      <c r="A684" t="s">
        <v>6</v>
      </c>
      <c r="B684" s="1">
        <v>45848.646597222221</v>
      </c>
      <c r="C684">
        <v>30002</v>
      </c>
      <c r="D684" t="s">
        <v>7</v>
      </c>
      <c r="E684" t="s">
        <v>124</v>
      </c>
      <c r="F684" t="s">
        <v>15</v>
      </c>
    </row>
    <row r="685" spans="1:6">
      <c r="A685" t="s">
        <v>6</v>
      </c>
      <c r="B685" s="1">
        <v>45848.646493055552</v>
      </c>
      <c r="C685">
        <v>30002</v>
      </c>
      <c r="D685" t="s">
        <v>7</v>
      </c>
      <c r="E685" t="s">
        <v>124</v>
      </c>
      <c r="F685" t="s">
        <v>15</v>
      </c>
    </row>
    <row r="686" spans="1:6">
      <c r="A686" t="s">
        <v>6</v>
      </c>
      <c r="B686" s="1">
        <v>45848.646377314813</v>
      </c>
      <c r="C686">
        <v>30002</v>
      </c>
      <c r="D686" t="s">
        <v>7</v>
      </c>
      <c r="E686" t="s">
        <v>124</v>
      </c>
      <c r="F686" t="s">
        <v>15</v>
      </c>
    </row>
    <row r="687" spans="1:6">
      <c r="A687" t="s">
        <v>6</v>
      </c>
      <c r="B687" s="1">
        <v>45848.64607638889</v>
      </c>
      <c r="C687">
        <v>30002</v>
      </c>
      <c r="D687" t="s">
        <v>7</v>
      </c>
      <c r="E687" t="s">
        <v>124</v>
      </c>
      <c r="F687" t="s">
        <v>15</v>
      </c>
    </row>
    <row r="688" spans="1:6">
      <c r="A688" t="s">
        <v>6</v>
      </c>
      <c r="B688" s="1">
        <v>45848.645833333336</v>
      </c>
      <c r="C688">
        <v>30002</v>
      </c>
      <c r="D688" t="s">
        <v>7</v>
      </c>
      <c r="E688" t="s">
        <v>124</v>
      </c>
      <c r="F688" t="s">
        <v>15</v>
      </c>
    </row>
    <row r="689" spans="1:6">
      <c r="A689" t="s">
        <v>6</v>
      </c>
      <c r="B689" s="1">
        <v>45848.645185185182</v>
      </c>
      <c r="C689">
        <v>30002</v>
      </c>
      <c r="D689" t="s">
        <v>7</v>
      </c>
      <c r="E689" t="s">
        <v>124</v>
      </c>
      <c r="F689" t="s">
        <v>15</v>
      </c>
    </row>
    <row r="690" spans="1:6">
      <c r="A690" t="s">
        <v>6</v>
      </c>
      <c r="B690" s="1">
        <v>45848.644756944443</v>
      </c>
      <c r="C690">
        <v>30002</v>
      </c>
      <c r="D690" t="s">
        <v>7</v>
      </c>
      <c r="E690" t="s">
        <v>124</v>
      </c>
      <c r="F690" t="s">
        <v>15</v>
      </c>
    </row>
    <row r="691" spans="1:6">
      <c r="A691" t="s">
        <v>6</v>
      </c>
      <c r="B691" s="1">
        <v>45848.644328703704</v>
      </c>
      <c r="C691">
        <v>30002</v>
      </c>
      <c r="D691" t="s">
        <v>7</v>
      </c>
      <c r="E691" t="s">
        <v>124</v>
      </c>
      <c r="F691" t="s">
        <v>15</v>
      </c>
    </row>
    <row r="692" spans="1:6">
      <c r="A692" t="s">
        <v>6</v>
      </c>
      <c r="B692" s="1">
        <v>45848.385034722225</v>
      </c>
      <c r="C692">
        <v>30002</v>
      </c>
      <c r="D692" t="s">
        <v>7</v>
      </c>
      <c r="E692" t="s">
        <v>124</v>
      </c>
      <c r="F692" t="s">
        <v>15</v>
      </c>
    </row>
    <row r="693" spans="1:6">
      <c r="A693" t="s">
        <v>6</v>
      </c>
      <c r="B693" s="1">
        <v>45848.384050925924</v>
      </c>
      <c r="C693">
        <v>30002</v>
      </c>
      <c r="D693" t="s">
        <v>7</v>
      </c>
      <c r="E693" t="s">
        <v>124</v>
      </c>
      <c r="F693" t="s">
        <v>15</v>
      </c>
    </row>
    <row r="694" spans="1:6">
      <c r="A694" t="s">
        <v>6</v>
      </c>
      <c r="B694" s="1">
        <v>45848.383761574078</v>
      </c>
      <c r="C694">
        <v>30002</v>
      </c>
      <c r="D694" t="s">
        <v>7</v>
      </c>
      <c r="E694" t="s">
        <v>124</v>
      </c>
      <c r="F694" t="s">
        <v>15</v>
      </c>
    </row>
    <row r="695" spans="1:6">
      <c r="A695" t="s">
        <v>6</v>
      </c>
      <c r="B695" s="1">
        <v>45848.383483796293</v>
      </c>
      <c r="C695">
        <v>30002</v>
      </c>
      <c r="D695" t="s">
        <v>7</v>
      </c>
      <c r="E695" t="s">
        <v>124</v>
      </c>
      <c r="F695" t="s">
        <v>15</v>
      </c>
    </row>
    <row r="696" spans="1:6">
      <c r="A696" t="s">
        <v>6</v>
      </c>
      <c r="B696" s="1">
        <v>45848.383344907408</v>
      </c>
      <c r="C696">
        <v>30002</v>
      </c>
      <c r="D696" t="s">
        <v>7</v>
      </c>
      <c r="E696" t="s">
        <v>124</v>
      </c>
      <c r="F696" t="s">
        <v>15</v>
      </c>
    </row>
    <row r="697" spans="1:6">
      <c r="A697" t="s">
        <v>6</v>
      </c>
      <c r="B697" s="1">
        <v>45848.382847222223</v>
      </c>
      <c r="C697">
        <v>30002</v>
      </c>
      <c r="D697" t="s">
        <v>7</v>
      </c>
      <c r="E697" t="s">
        <v>124</v>
      </c>
      <c r="F697" t="s">
        <v>15</v>
      </c>
    </row>
    <row r="698" spans="1:6">
      <c r="A698" t="s">
        <v>6</v>
      </c>
      <c r="B698" s="1">
        <v>45848.382511574076</v>
      </c>
      <c r="C698">
        <v>30002</v>
      </c>
      <c r="D698" t="s">
        <v>7</v>
      </c>
      <c r="E698" t="s">
        <v>124</v>
      </c>
      <c r="F698" t="s">
        <v>15</v>
      </c>
    </row>
    <row r="699" spans="1:6">
      <c r="A699" t="s">
        <v>6</v>
      </c>
      <c r="B699" s="1">
        <v>45847.440254629626</v>
      </c>
      <c r="C699">
        <v>30002</v>
      </c>
      <c r="D699" t="s">
        <v>7</v>
      </c>
      <c r="E699" t="s">
        <v>124</v>
      </c>
      <c r="F699" t="s">
        <v>15</v>
      </c>
    </row>
    <row r="700" spans="1:6">
      <c r="A700" t="s">
        <v>6</v>
      </c>
      <c r="B700" s="1">
        <v>45847.434247685182</v>
      </c>
      <c r="C700">
        <v>30002</v>
      </c>
      <c r="D700" t="s">
        <v>7</v>
      </c>
      <c r="E700" t="s">
        <v>124</v>
      </c>
      <c r="F700" t="s">
        <v>15</v>
      </c>
    </row>
    <row r="701" spans="1:6">
      <c r="A701" t="s">
        <v>6</v>
      </c>
      <c r="B701" s="1">
        <v>45847.429988425924</v>
      </c>
      <c r="C701">
        <v>30002</v>
      </c>
      <c r="D701" t="s">
        <v>7</v>
      </c>
      <c r="E701" t="s">
        <v>124</v>
      </c>
      <c r="F701" t="s">
        <v>15</v>
      </c>
    </row>
    <row r="702" spans="1:6">
      <c r="A702" t="s">
        <v>6</v>
      </c>
      <c r="B702" s="1">
        <v>45847.429699074077</v>
      </c>
      <c r="C702">
        <v>30002</v>
      </c>
      <c r="D702" t="s">
        <v>7</v>
      </c>
      <c r="E702" t="s">
        <v>124</v>
      </c>
      <c r="F702" t="s">
        <v>15</v>
      </c>
    </row>
    <row r="703" spans="1:6">
      <c r="A703" t="s">
        <v>6</v>
      </c>
      <c r="B703" s="1">
        <v>45847.427187499998</v>
      </c>
      <c r="C703">
        <v>30002</v>
      </c>
      <c r="D703" t="s">
        <v>7</v>
      </c>
      <c r="E703" t="s">
        <v>124</v>
      </c>
      <c r="F703" t="s">
        <v>15</v>
      </c>
    </row>
    <row r="704" spans="1:6">
      <c r="A704" t="s">
        <v>6</v>
      </c>
      <c r="B704" s="1">
        <v>45846.455023148148</v>
      </c>
      <c r="C704">
        <v>30002</v>
      </c>
      <c r="D704" t="s">
        <v>7</v>
      </c>
      <c r="E704" t="s">
        <v>124</v>
      </c>
      <c r="F704" t="s">
        <v>15</v>
      </c>
    </row>
    <row r="705" spans="1:6">
      <c r="A705" t="s">
        <v>6</v>
      </c>
      <c r="B705" s="1">
        <v>45846.440208333333</v>
      </c>
      <c r="C705">
        <v>30002</v>
      </c>
      <c r="D705" t="s">
        <v>7</v>
      </c>
      <c r="E705" t="s">
        <v>124</v>
      </c>
      <c r="F705" t="s">
        <v>15</v>
      </c>
    </row>
    <row r="706" spans="1:6">
      <c r="A706" t="s">
        <v>6</v>
      </c>
      <c r="B706" s="1">
        <v>45846.438321759262</v>
      </c>
      <c r="C706">
        <v>30002</v>
      </c>
      <c r="D706" t="s">
        <v>7</v>
      </c>
      <c r="E706" t="s">
        <v>124</v>
      </c>
      <c r="F706" t="s">
        <v>15</v>
      </c>
    </row>
    <row r="707" spans="1:6">
      <c r="A707" t="s">
        <v>6</v>
      </c>
      <c r="B707" s="1">
        <v>45846.438101851854</v>
      </c>
      <c r="C707">
        <v>30002</v>
      </c>
      <c r="D707" t="s">
        <v>7</v>
      </c>
      <c r="E707" t="s">
        <v>124</v>
      </c>
      <c r="F707" t="s">
        <v>15</v>
      </c>
    </row>
    <row r="708" spans="1:6">
      <c r="A708" t="s">
        <v>6</v>
      </c>
      <c r="B708" s="1">
        <v>45846.437719907408</v>
      </c>
      <c r="C708">
        <v>30002</v>
      </c>
      <c r="D708" t="s">
        <v>7</v>
      </c>
      <c r="E708" t="s">
        <v>124</v>
      </c>
      <c r="F708" t="s">
        <v>15</v>
      </c>
    </row>
    <row r="709" spans="1:6">
      <c r="A709" t="s">
        <v>6</v>
      </c>
      <c r="B709" s="1">
        <v>45846.437476851854</v>
      </c>
      <c r="C709">
        <v>30002</v>
      </c>
      <c r="D709" t="s">
        <v>7</v>
      </c>
      <c r="E709" t="s">
        <v>124</v>
      </c>
      <c r="F709" t="s">
        <v>15</v>
      </c>
    </row>
    <row r="710" spans="1:6">
      <c r="A710" t="s">
        <v>6</v>
      </c>
      <c r="B710" s="1">
        <v>45846.437002314815</v>
      </c>
      <c r="C710">
        <v>30002</v>
      </c>
      <c r="D710" t="s">
        <v>7</v>
      </c>
      <c r="E710" t="s">
        <v>124</v>
      </c>
      <c r="F710" t="s">
        <v>15</v>
      </c>
    </row>
    <row r="711" spans="1:6">
      <c r="A711" t="s">
        <v>6</v>
      </c>
      <c r="B711" s="1">
        <v>45846.436354166668</v>
      </c>
      <c r="C711">
        <v>30002</v>
      </c>
      <c r="D711" t="s">
        <v>7</v>
      </c>
      <c r="E711" t="s">
        <v>124</v>
      </c>
      <c r="F711" t="s">
        <v>15</v>
      </c>
    </row>
    <row r="712" spans="1:6">
      <c r="A712" t="s">
        <v>6</v>
      </c>
      <c r="B712" s="1">
        <v>45846.386134259257</v>
      </c>
      <c r="C712">
        <v>30002</v>
      </c>
      <c r="D712" t="s">
        <v>7</v>
      </c>
      <c r="E712" t="s">
        <v>124</v>
      </c>
      <c r="F712" t="s">
        <v>15</v>
      </c>
    </row>
    <row r="713" spans="1:6">
      <c r="A713" t="s">
        <v>6</v>
      </c>
      <c r="B713" s="1">
        <v>45846.381018518521</v>
      </c>
      <c r="C713">
        <v>30002</v>
      </c>
      <c r="D713" t="s">
        <v>7</v>
      </c>
      <c r="E713" t="s">
        <v>124</v>
      </c>
      <c r="F713" t="s">
        <v>15</v>
      </c>
    </row>
    <row r="714" spans="1:6">
      <c r="A714" t="s">
        <v>6</v>
      </c>
      <c r="B714" s="1">
        <v>45845.630300925928</v>
      </c>
      <c r="C714">
        <v>30002</v>
      </c>
      <c r="D714" t="s">
        <v>7</v>
      </c>
      <c r="E714" t="s">
        <v>124</v>
      </c>
      <c r="F714" t="s">
        <v>15</v>
      </c>
    </row>
    <row r="715" spans="1:6">
      <c r="A715" t="s">
        <v>6</v>
      </c>
      <c r="B715" s="1">
        <v>45845.581504629627</v>
      </c>
      <c r="C715">
        <v>30002</v>
      </c>
      <c r="D715" t="s">
        <v>7</v>
      </c>
      <c r="E715" t="s">
        <v>124</v>
      </c>
      <c r="F715" t="s">
        <v>15</v>
      </c>
    </row>
    <row r="716" spans="1:6">
      <c r="A716" t="s">
        <v>6</v>
      </c>
      <c r="B716" s="1">
        <v>45845.570914351854</v>
      </c>
      <c r="C716">
        <v>30002</v>
      </c>
      <c r="D716" t="s">
        <v>7</v>
      </c>
      <c r="E716" t="s">
        <v>124</v>
      </c>
      <c r="F716" t="s">
        <v>15</v>
      </c>
    </row>
    <row r="717" spans="1:6">
      <c r="A717" t="s">
        <v>6</v>
      </c>
      <c r="B717" s="1">
        <v>45845.558495370373</v>
      </c>
      <c r="C717">
        <v>30002</v>
      </c>
      <c r="D717" t="s">
        <v>7</v>
      </c>
      <c r="E717" t="s">
        <v>124</v>
      </c>
      <c r="F717" t="s">
        <v>15</v>
      </c>
    </row>
    <row r="718" spans="1:6">
      <c r="A718" t="s">
        <v>6</v>
      </c>
      <c r="B718" s="1">
        <v>45845.552719907406</v>
      </c>
      <c r="C718">
        <v>30002</v>
      </c>
      <c r="D718" t="s">
        <v>7</v>
      </c>
      <c r="E718" t="s">
        <v>124</v>
      </c>
      <c r="F718" t="s">
        <v>15</v>
      </c>
    </row>
    <row r="719" spans="1:6">
      <c r="A719" t="s">
        <v>6</v>
      </c>
      <c r="B719" s="1">
        <v>45845.551446759258</v>
      </c>
      <c r="C719">
        <v>30002</v>
      </c>
      <c r="D719" t="s">
        <v>7</v>
      </c>
      <c r="E719" t="s">
        <v>124</v>
      </c>
      <c r="F719" t="s">
        <v>15</v>
      </c>
    </row>
    <row r="720" spans="1:6">
      <c r="A720" t="s">
        <v>6</v>
      </c>
      <c r="B720" s="1">
        <v>45845.550798611112</v>
      </c>
      <c r="C720">
        <v>30002</v>
      </c>
      <c r="D720" t="s">
        <v>7</v>
      </c>
      <c r="E720" t="s">
        <v>124</v>
      </c>
      <c r="F720" t="s">
        <v>15</v>
      </c>
    </row>
    <row r="721" spans="1:6">
      <c r="A721" t="s">
        <v>6</v>
      </c>
      <c r="B721" s="1">
        <v>45845.450381944444</v>
      </c>
      <c r="C721">
        <v>30002</v>
      </c>
      <c r="D721" t="s">
        <v>7</v>
      </c>
      <c r="E721" t="s">
        <v>124</v>
      </c>
      <c r="F721" t="s">
        <v>15</v>
      </c>
    </row>
    <row r="722" spans="1:6">
      <c r="A722" t="s">
        <v>6</v>
      </c>
      <c r="B722" s="1">
        <v>45845.449305555558</v>
      </c>
      <c r="C722">
        <v>30002</v>
      </c>
      <c r="D722" t="s">
        <v>7</v>
      </c>
      <c r="E722" t="s">
        <v>124</v>
      </c>
      <c r="F722" t="s">
        <v>15</v>
      </c>
    </row>
    <row r="723" spans="1:6">
      <c r="A723" t="s">
        <v>6</v>
      </c>
      <c r="B723" s="1">
        <v>45845.369942129626</v>
      </c>
      <c r="C723">
        <v>30002</v>
      </c>
      <c r="D723" t="s">
        <v>7</v>
      </c>
      <c r="E723" t="s">
        <v>124</v>
      </c>
      <c r="F723" t="s">
        <v>15</v>
      </c>
    </row>
    <row r="724" spans="1:6">
      <c r="A724" t="s">
        <v>6</v>
      </c>
      <c r="B724" s="1">
        <v>45845.368692129632</v>
      </c>
      <c r="C724">
        <v>30002</v>
      </c>
      <c r="D724" t="s">
        <v>7</v>
      </c>
      <c r="E724" t="s">
        <v>124</v>
      </c>
      <c r="F724" t="s">
        <v>15</v>
      </c>
    </row>
    <row r="725" spans="1:6">
      <c r="A725" t="s">
        <v>6</v>
      </c>
      <c r="B725" s="1">
        <v>45845.368530092594</v>
      </c>
      <c r="C725">
        <v>30002</v>
      </c>
      <c r="D725" t="s">
        <v>7</v>
      </c>
      <c r="E725" t="s">
        <v>124</v>
      </c>
      <c r="F725" t="s">
        <v>15</v>
      </c>
    </row>
    <row r="726" spans="1:6">
      <c r="A726" t="s">
        <v>6</v>
      </c>
      <c r="B726" s="1">
        <v>45845.36824074074</v>
      </c>
      <c r="C726">
        <v>30002</v>
      </c>
      <c r="D726" t="s">
        <v>7</v>
      </c>
      <c r="E726" t="s">
        <v>124</v>
      </c>
      <c r="F726" t="s">
        <v>15</v>
      </c>
    </row>
    <row r="727" spans="1:6">
      <c r="A727" t="s">
        <v>6</v>
      </c>
      <c r="B727" s="1">
        <v>45845.367858796293</v>
      </c>
      <c r="C727">
        <v>30002</v>
      </c>
      <c r="D727" t="s">
        <v>7</v>
      </c>
      <c r="E727" t="s">
        <v>124</v>
      </c>
      <c r="F727" t="s">
        <v>15</v>
      </c>
    </row>
    <row r="728" spans="1:6">
      <c r="A728" t="s">
        <v>6</v>
      </c>
      <c r="B728" s="1">
        <v>45845.367511574077</v>
      </c>
      <c r="C728">
        <v>30002</v>
      </c>
      <c r="D728" t="s">
        <v>7</v>
      </c>
      <c r="E728" t="s">
        <v>124</v>
      </c>
      <c r="F728" t="s">
        <v>15</v>
      </c>
    </row>
    <row r="729" spans="1:6">
      <c r="A729" t="s">
        <v>6</v>
      </c>
      <c r="B729" s="1">
        <v>45845.367418981485</v>
      </c>
      <c r="C729">
        <v>30002</v>
      </c>
      <c r="D729" t="s">
        <v>7</v>
      </c>
      <c r="E729" t="s">
        <v>124</v>
      </c>
      <c r="F729" t="s">
        <v>15</v>
      </c>
    </row>
    <row r="730" spans="1:6">
      <c r="A730" t="s">
        <v>6</v>
      </c>
      <c r="B730" s="1">
        <v>45845.356134259258</v>
      </c>
      <c r="C730">
        <v>30002</v>
      </c>
      <c r="D730" t="s">
        <v>7</v>
      </c>
      <c r="E730" t="s">
        <v>124</v>
      </c>
      <c r="F730" t="s">
        <v>15</v>
      </c>
    </row>
    <row r="731" spans="1:6">
      <c r="A731" t="s">
        <v>6</v>
      </c>
      <c r="B731" s="1">
        <v>45845.354537037034</v>
      </c>
      <c r="C731">
        <v>30002</v>
      </c>
      <c r="D731" t="s">
        <v>7</v>
      </c>
      <c r="E731" t="s">
        <v>124</v>
      </c>
      <c r="F731" t="s">
        <v>15</v>
      </c>
    </row>
    <row r="732" spans="1:6">
      <c r="A732" t="s">
        <v>6</v>
      </c>
      <c r="B732" s="1">
        <v>45841.631493055553</v>
      </c>
      <c r="C732">
        <v>30002</v>
      </c>
      <c r="D732" t="s">
        <v>7</v>
      </c>
      <c r="E732" t="s">
        <v>124</v>
      </c>
      <c r="F732" t="s">
        <v>15</v>
      </c>
    </row>
    <row r="733" spans="1:6">
      <c r="A733" t="s">
        <v>6</v>
      </c>
      <c r="B733" s="1">
        <v>45841.397546296299</v>
      </c>
      <c r="C733">
        <v>30002</v>
      </c>
      <c r="D733" t="s">
        <v>7</v>
      </c>
      <c r="E733" t="s">
        <v>124</v>
      </c>
      <c r="F733" t="s">
        <v>15</v>
      </c>
    </row>
    <row r="734" spans="1:6">
      <c r="A734" t="s">
        <v>6</v>
      </c>
      <c r="B734" s="1">
        <v>45841.386747685188</v>
      </c>
      <c r="C734">
        <v>30002</v>
      </c>
      <c r="D734" t="s">
        <v>7</v>
      </c>
      <c r="E734" t="s">
        <v>124</v>
      </c>
      <c r="F734" t="s">
        <v>15</v>
      </c>
    </row>
    <row r="735" spans="1:6">
      <c r="A735" t="s">
        <v>6</v>
      </c>
      <c r="B735" s="1">
        <v>45841.381331018521</v>
      </c>
      <c r="C735">
        <v>30002</v>
      </c>
      <c r="D735" t="s">
        <v>7</v>
      </c>
      <c r="E735" t="s">
        <v>124</v>
      </c>
      <c r="F735" t="s">
        <v>15</v>
      </c>
    </row>
    <row r="736" spans="1:6">
      <c r="A736" t="s">
        <v>6</v>
      </c>
      <c r="B736" s="1">
        <v>45841.379467592589</v>
      </c>
      <c r="C736">
        <v>30002</v>
      </c>
      <c r="D736" t="s">
        <v>7</v>
      </c>
      <c r="E736" t="s">
        <v>124</v>
      </c>
      <c r="F736" t="s">
        <v>15</v>
      </c>
    </row>
    <row r="737" spans="1:6">
      <c r="A737" t="s">
        <v>6</v>
      </c>
      <c r="B737" s="1">
        <v>45841.378136574072</v>
      </c>
      <c r="C737">
        <v>30002</v>
      </c>
      <c r="D737" t="s">
        <v>7</v>
      </c>
      <c r="E737" t="s">
        <v>124</v>
      </c>
      <c r="F737" t="s">
        <v>15</v>
      </c>
    </row>
    <row r="738" spans="1:6">
      <c r="A738" t="s">
        <v>6</v>
      </c>
      <c r="B738" s="1">
        <v>45840.449444444443</v>
      </c>
      <c r="C738">
        <v>30002</v>
      </c>
      <c r="D738" t="s">
        <v>7</v>
      </c>
      <c r="E738" t="s">
        <v>124</v>
      </c>
      <c r="F738" t="s">
        <v>15</v>
      </c>
    </row>
    <row r="739" spans="1:6">
      <c r="A739" t="s">
        <v>6</v>
      </c>
      <c r="B739" s="1">
        <v>45866.686898148146</v>
      </c>
      <c r="C739">
        <v>30002</v>
      </c>
      <c r="D739" t="s">
        <v>7</v>
      </c>
      <c r="E739" t="s">
        <v>124</v>
      </c>
      <c r="F739" t="s">
        <v>22</v>
      </c>
    </row>
    <row r="740" spans="1:6">
      <c r="A740" t="s">
        <v>6</v>
      </c>
      <c r="B740" s="1">
        <v>45841.308946759258</v>
      </c>
      <c r="C740">
        <v>30002</v>
      </c>
      <c r="D740" t="s">
        <v>7</v>
      </c>
      <c r="E740" t="s">
        <v>124</v>
      </c>
      <c r="F740" t="s">
        <v>22</v>
      </c>
    </row>
    <row r="741" spans="1:6">
      <c r="A741" t="s">
        <v>6</v>
      </c>
      <c r="B741" s="1">
        <v>45841.3046412037</v>
      </c>
      <c r="C741">
        <v>30002</v>
      </c>
      <c r="D741" t="s">
        <v>7</v>
      </c>
      <c r="E741" t="s">
        <v>124</v>
      </c>
      <c r="F741" t="s">
        <v>22</v>
      </c>
    </row>
    <row r="742" spans="1:6">
      <c r="A742" t="s">
        <v>6</v>
      </c>
      <c r="B742" s="1">
        <v>45841.303761574076</v>
      </c>
      <c r="C742">
        <v>30002</v>
      </c>
      <c r="D742" t="s">
        <v>7</v>
      </c>
      <c r="E742" t="s">
        <v>124</v>
      </c>
      <c r="F742" t="s">
        <v>22</v>
      </c>
    </row>
    <row r="743" spans="1:6">
      <c r="A743" t="s">
        <v>6</v>
      </c>
      <c r="B743" s="1">
        <v>45841.303194444445</v>
      </c>
      <c r="C743">
        <v>30002</v>
      </c>
      <c r="D743" t="s">
        <v>7</v>
      </c>
      <c r="E743" t="s">
        <v>124</v>
      </c>
      <c r="F743" t="s">
        <v>22</v>
      </c>
    </row>
    <row r="744" spans="1:6">
      <c r="A744" t="s">
        <v>6</v>
      </c>
      <c r="B744" s="1">
        <v>45841.301226851851</v>
      </c>
      <c r="C744">
        <v>30002</v>
      </c>
      <c r="D744" t="s">
        <v>7</v>
      </c>
      <c r="E744" t="s">
        <v>124</v>
      </c>
      <c r="F744" t="s">
        <v>22</v>
      </c>
    </row>
    <row r="745" spans="1:6">
      <c r="A745" t="s">
        <v>6</v>
      </c>
      <c r="B745" s="1">
        <v>45841.2966087963</v>
      </c>
      <c r="C745">
        <v>30002</v>
      </c>
      <c r="D745" t="s">
        <v>7</v>
      </c>
      <c r="E745" t="s">
        <v>124</v>
      </c>
      <c r="F745" t="s">
        <v>22</v>
      </c>
    </row>
    <row r="746" spans="1:6">
      <c r="A746" t="s">
        <v>6</v>
      </c>
      <c r="B746" s="1">
        <v>45840.185312499998</v>
      </c>
      <c r="C746">
        <v>30002</v>
      </c>
      <c r="D746" t="s">
        <v>7</v>
      </c>
      <c r="E746" t="s">
        <v>124</v>
      </c>
      <c r="F746" t="s">
        <v>22</v>
      </c>
    </row>
    <row r="747" spans="1:6">
      <c r="A747" t="s">
        <v>6</v>
      </c>
      <c r="B747" s="1">
        <v>45847.578587962962</v>
      </c>
      <c r="C747">
        <v>30002</v>
      </c>
      <c r="D747" t="s">
        <v>7</v>
      </c>
      <c r="E747" t="s">
        <v>124</v>
      </c>
      <c r="F747" t="s">
        <v>23</v>
      </c>
    </row>
    <row r="748" spans="1:6">
      <c r="A748" t="s">
        <v>6</v>
      </c>
      <c r="B748" s="1">
        <v>45845.612766203703</v>
      </c>
      <c r="C748">
        <v>30002</v>
      </c>
      <c r="D748" t="s">
        <v>7</v>
      </c>
      <c r="E748" t="s">
        <v>124</v>
      </c>
      <c r="F748" t="s">
        <v>23</v>
      </c>
    </row>
    <row r="749" spans="1:6">
      <c r="A749" t="s">
        <v>6</v>
      </c>
      <c r="B749" s="1">
        <v>45845.605439814812</v>
      </c>
      <c r="C749">
        <v>30002</v>
      </c>
      <c r="D749" t="s">
        <v>7</v>
      </c>
      <c r="E749" t="s">
        <v>124</v>
      </c>
      <c r="F749" t="s">
        <v>23</v>
      </c>
    </row>
    <row r="750" spans="1:6">
      <c r="A750" t="s">
        <v>6</v>
      </c>
      <c r="B750" s="1">
        <v>45845.338645833333</v>
      </c>
      <c r="C750">
        <v>30002</v>
      </c>
      <c r="D750" t="s">
        <v>7</v>
      </c>
      <c r="E750" t="s">
        <v>124</v>
      </c>
      <c r="F750" t="s">
        <v>23</v>
      </c>
    </row>
    <row r="751" spans="1:6">
      <c r="A751" t="s">
        <v>6</v>
      </c>
      <c r="B751" s="1">
        <v>45845.321875000001</v>
      </c>
      <c r="C751">
        <v>30002</v>
      </c>
      <c r="D751" t="s">
        <v>7</v>
      </c>
      <c r="E751" t="s">
        <v>124</v>
      </c>
      <c r="F751" t="s">
        <v>23</v>
      </c>
    </row>
    <row r="752" spans="1:6">
      <c r="A752" t="s">
        <v>6</v>
      </c>
      <c r="B752" s="1">
        <v>45848.491331018522</v>
      </c>
      <c r="C752">
        <v>30002</v>
      </c>
      <c r="D752" t="s">
        <v>7</v>
      </c>
      <c r="E752" t="s">
        <v>124</v>
      </c>
      <c r="F752" t="s">
        <v>27</v>
      </c>
    </row>
    <row r="753" spans="1:6">
      <c r="A753" t="s">
        <v>6</v>
      </c>
      <c r="B753" s="1">
        <v>45848.490787037037</v>
      </c>
      <c r="C753">
        <v>30002</v>
      </c>
      <c r="D753" t="s">
        <v>7</v>
      </c>
      <c r="E753" t="s">
        <v>124</v>
      </c>
      <c r="F753" t="s">
        <v>27</v>
      </c>
    </row>
    <row r="754" spans="1:6">
      <c r="A754" t="s">
        <v>6</v>
      </c>
      <c r="B754" s="1">
        <v>45848.490682870368</v>
      </c>
      <c r="C754">
        <v>30002</v>
      </c>
      <c r="D754" t="s">
        <v>7</v>
      </c>
      <c r="E754" t="s">
        <v>124</v>
      </c>
      <c r="F754" t="s">
        <v>27</v>
      </c>
    </row>
    <row r="755" spans="1:6">
      <c r="A755" t="s">
        <v>6</v>
      </c>
      <c r="B755" s="1">
        <v>45853.561377314814</v>
      </c>
      <c r="C755">
        <v>30002</v>
      </c>
      <c r="D755" t="s">
        <v>7</v>
      </c>
      <c r="E755" t="s">
        <v>124</v>
      </c>
      <c r="F755" t="s">
        <v>24</v>
      </c>
    </row>
    <row r="756" spans="1:6">
      <c r="A756" t="s">
        <v>6</v>
      </c>
      <c r="B756" s="1">
        <v>45846.307673611111</v>
      </c>
      <c r="C756">
        <v>30002</v>
      </c>
      <c r="D756" t="s">
        <v>7</v>
      </c>
      <c r="E756" t="s">
        <v>124</v>
      </c>
      <c r="F756" t="s">
        <v>25</v>
      </c>
    </row>
    <row r="757" spans="1:6">
      <c r="A757" t="s">
        <v>6</v>
      </c>
      <c r="B757" s="1">
        <v>45846.304398148146</v>
      </c>
      <c r="C757">
        <v>30002</v>
      </c>
      <c r="D757" t="s">
        <v>7</v>
      </c>
      <c r="E757" t="s">
        <v>124</v>
      </c>
      <c r="F757" t="s">
        <v>25</v>
      </c>
    </row>
    <row r="758" spans="1:6">
      <c r="A758" t="s">
        <v>6</v>
      </c>
      <c r="B758" s="1">
        <v>45849.348194444443</v>
      </c>
      <c r="C758">
        <v>30002</v>
      </c>
      <c r="D758" t="s">
        <v>7</v>
      </c>
      <c r="E758" t="s">
        <v>124</v>
      </c>
      <c r="F758" t="s">
        <v>97</v>
      </c>
    </row>
    <row r="759" spans="1:6">
      <c r="A759" t="s">
        <v>6</v>
      </c>
      <c r="B759" s="1">
        <v>45847.405243055553</v>
      </c>
      <c r="C759">
        <v>30002</v>
      </c>
      <c r="D759" t="s">
        <v>7</v>
      </c>
      <c r="E759" t="s">
        <v>124</v>
      </c>
      <c r="F759" t="s">
        <v>11</v>
      </c>
    </row>
    <row r="760" spans="1:6">
      <c r="A760" t="s">
        <v>6</v>
      </c>
      <c r="B760" s="1">
        <v>45846.319189814814</v>
      </c>
      <c r="C760">
        <v>30002</v>
      </c>
      <c r="D760" t="s">
        <v>7</v>
      </c>
      <c r="E760" t="s">
        <v>125</v>
      </c>
      <c r="F760" t="s">
        <v>19</v>
      </c>
    </row>
    <row r="761" spans="1:6">
      <c r="A761" t="s">
        <v>6</v>
      </c>
      <c r="B761" s="1">
        <v>45846.383611111109</v>
      </c>
      <c r="C761">
        <v>30002</v>
      </c>
      <c r="D761" t="s">
        <v>7</v>
      </c>
      <c r="E761" t="s">
        <v>125</v>
      </c>
      <c r="F761" t="s">
        <v>119</v>
      </c>
    </row>
    <row r="762" spans="1:6">
      <c r="A762" t="s">
        <v>6</v>
      </c>
      <c r="B762" s="1">
        <v>45846.382210648146</v>
      </c>
      <c r="C762">
        <v>30002</v>
      </c>
      <c r="D762" t="s">
        <v>7</v>
      </c>
      <c r="E762" t="s">
        <v>125</v>
      </c>
      <c r="F762" t="s">
        <v>119</v>
      </c>
    </row>
    <row r="763" spans="1:6">
      <c r="A763" t="s">
        <v>6</v>
      </c>
      <c r="B763" s="1">
        <v>45845.915729166663</v>
      </c>
      <c r="C763">
        <v>30002</v>
      </c>
      <c r="D763" t="s">
        <v>7</v>
      </c>
      <c r="E763" t="s">
        <v>126</v>
      </c>
      <c r="F763" t="s">
        <v>102</v>
      </c>
    </row>
    <row r="764" spans="1:6">
      <c r="A764" t="s">
        <v>6</v>
      </c>
      <c r="B764" s="1">
        <v>45848.493680555555</v>
      </c>
      <c r="C764">
        <v>30002</v>
      </c>
      <c r="D764" t="s">
        <v>7</v>
      </c>
      <c r="E764" t="s">
        <v>126</v>
      </c>
      <c r="F764" t="s">
        <v>13</v>
      </c>
    </row>
    <row r="765" spans="1:6">
      <c r="A765" t="s">
        <v>6</v>
      </c>
      <c r="B765" s="1">
        <v>45848.463958333334</v>
      </c>
      <c r="C765">
        <v>30002</v>
      </c>
      <c r="D765" t="s">
        <v>7</v>
      </c>
      <c r="E765" t="s">
        <v>126</v>
      </c>
      <c r="F765" t="s">
        <v>13</v>
      </c>
    </row>
    <row r="766" spans="1:6">
      <c r="A766" t="s">
        <v>6</v>
      </c>
      <c r="B766" s="1">
        <v>45847.661851851852</v>
      </c>
      <c r="C766">
        <v>30002</v>
      </c>
      <c r="D766" t="s">
        <v>7</v>
      </c>
      <c r="E766" t="s">
        <v>126</v>
      </c>
      <c r="F766" t="s">
        <v>19</v>
      </c>
    </row>
    <row r="767" spans="1:6">
      <c r="A767" t="s">
        <v>6</v>
      </c>
      <c r="B767" s="1">
        <v>45847.659085648149</v>
      </c>
      <c r="C767">
        <v>30002</v>
      </c>
      <c r="D767" t="s">
        <v>7</v>
      </c>
      <c r="E767" t="s">
        <v>126</v>
      </c>
      <c r="F767" t="s">
        <v>19</v>
      </c>
    </row>
    <row r="768" spans="1:6">
      <c r="A768" t="s">
        <v>6</v>
      </c>
      <c r="B768" s="1">
        <v>45846.260601851849</v>
      </c>
      <c r="C768">
        <v>30002</v>
      </c>
      <c r="D768" t="s">
        <v>7</v>
      </c>
      <c r="E768" t="s">
        <v>126</v>
      </c>
      <c r="F768" t="s">
        <v>19</v>
      </c>
    </row>
    <row r="769" spans="1:6">
      <c r="A769" t="s">
        <v>6</v>
      </c>
      <c r="B769" s="1">
        <v>45846.257638888892</v>
      </c>
      <c r="C769">
        <v>30002</v>
      </c>
      <c r="D769" t="s">
        <v>7</v>
      </c>
      <c r="E769" t="s">
        <v>126</v>
      </c>
      <c r="F769" t="s">
        <v>19</v>
      </c>
    </row>
    <row r="770" spans="1:6">
      <c r="A770" t="s">
        <v>6</v>
      </c>
      <c r="B770" s="1">
        <v>45846.257314814815</v>
      </c>
      <c r="C770">
        <v>30002</v>
      </c>
      <c r="D770" t="s">
        <v>7</v>
      </c>
      <c r="E770" t="s">
        <v>126</v>
      </c>
      <c r="F770" t="s">
        <v>19</v>
      </c>
    </row>
    <row r="771" spans="1:6">
      <c r="A771" t="s">
        <v>6</v>
      </c>
      <c r="B771" s="1">
        <v>45855.701562499999</v>
      </c>
      <c r="C771">
        <v>30002</v>
      </c>
      <c r="D771" t="s">
        <v>7</v>
      </c>
      <c r="E771" t="s">
        <v>126</v>
      </c>
      <c r="F771" t="s">
        <v>22</v>
      </c>
    </row>
    <row r="772" spans="1:6">
      <c r="A772" t="s">
        <v>6</v>
      </c>
      <c r="B772" s="1">
        <v>45855.701226851852</v>
      </c>
      <c r="C772">
        <v>30002</v>
      </c>
      <c r="D772" t="s">
        <v>7</v>
      </c>
      <c r="E772" t="s">
        <v>126</v>
      </c>
      <c r="F772" t="s">
        <v>22</v>
      </c>
    </row>
    <row r="773" spans="1:6">
      <c r="A773" t="s">
        <v>6</v>
      </c>
      <c r="B773" s="1">
        <v>45855.70045138889</v>
      </c>
      <c r="C773">
        <v>30002</v>
      </c>
      <c r="D773" t="s">
        <v>7</v>
      </c>
      <c r="E773" t="s">
        <v>126</v>
      </c>
      <c r="F773" t="s">
        <v>22</v>
      </c>
    </row>
    <row r="774" spans="1:6">
      <c r="A774" t="s">
        <v>6</v>
      </c>
      <c r="B774" s="1">
        <v>45855.700127314813</v>
      </c>
      <c r="C774">
        <v>30002</v>
      </c>
      <c r="D774" t="s">
        <v>7</v>
      </c>
      <c r="E774" t="s">
        <v>126</v>
      </c>
      <c r="F774" t="s">
        <v>22</v>
      </c>
    </row>
    <row r="775" spans="1:6">
      <c r="A775" t="s">
        <v>6</v>
      </c>
      <c r="B775" s="1">
        <v>45852.363009259258</v>
      </c>
      <c r="C775">
        <v>30002</v>
      </c>
      <c r="D775" t="s">
        <v>7</v>
      </c>
      <c r="E775" t="s">
        <v>126</v>
      </c>
      <c r="F775" t="s">
        <v>22</v>
      </c>
    </row>
    <row r="776" spans="1:6">
      <c r="A776" t="s">
        <v>6</v>
      </c>
      <c r="B776" s="1">
        <v>45852.361990740741</v>
      </c>
      <c r="C776">
        <v>30002</v>
      </c>
      <c r="D776" t="s">
        <v>7</v>
      </c>
      <c r="E776" t="s">
        <v>126</v>
      </c>
      <c r="F776" t="s">
        <v>22</v>
      </c>
    </row>
    <row r="777" spans="1:6">
      <c r="A777" t="s">
        <v>6</v>
      </c>
      <c r="B777" s="1">
        <v>45846.001250000001</v>
      </c>
      <c r="C777">
        <v>30002</v>
      </c>
      <c r="D777" t="s">
        <v>7</v>
      </c>
      <c r="E777" t="s">
        <v>126</v>
      </c>
      <c r="F777" t="s">
        <v>22</v>
      </c>
    </row>
    <row r="778" spans="1:6">
      <c r="A778" t="s">
        <v>6</v>
      </c>
      <c r="B778" s="1">
        <v>45841.676111111112</v>
      </c>
      <c r="C778">
        <v>30002</v>
      </c>
      <c r="D778" t="s">
        <v>7</v>
      </c>
      <c r="E778" t="s">
        <v>126</v>
      </c>
      <c r="F778" t="s">
        <v>22</v>
      </c>
    </row>
    <row r="779" spans="1:6">
      <c r="A779" t="s">
        <v>6</v>
      </c>
      <c r="B779" s="1">
        <v>45841.674687500003</v>
      </c>
      <c r="C779">
        <v>30002</v>
      </c>
      <c r="D779" t="s">
        <v>7</v>
      </c>
      <c r="E779" t="s">
        <v>126</v>
      </c>
      <c r="F779" t="s">
        <v>22</v>
      </c>
    </row>
    <row r="780" spans="1:6">
      <c r="A780" t="s">
        <v>6</v>
      </c>
      <c r="B780" s="1">
        <v>45841.673344907409</v>
      </c>
      <c r="C780">
        <v>30002</v>
      </c>
      <c r="D780" t="s">
        <v>7</v>
      </c>
      <c r="E780" t="s">
        <v>126</v>
      </c>
      <c r="F780" t="s">
        <v>22</v>
      </c>
    </row>
    <row r="781" spans="1:6">
      <c r="A781" t="s">
        <v>6</v>
      </c>
      <c r="B781" s="1">
        <v>45840.7268287037</v>
      </c>
      <c r="C781">
        <v>30002</v>
      </c>
      <c r="D781" t="s">
        <v>7</v>
      </c>
      <c r="E781" t="s">
        <v>126</v>
      </c>
      <c r="F781" t="s">
        <v>22</v>
      </c>
    </row>
    <row r="782" spans="1:6">
      <c r="A782" t="s">
        <v>6</v>
      </c>
      <c r="B782" s="1">
        <v>45840.725451388891</v>
      </c>
      <c r="C782">
        <v>30002</v>
      </c>
      <c r="D782" t="s">
        <v>7</v>
      </c>
      <c r="E782" t="s">
        <v>126</v>
      </c>
      <c r="F782" t="s">
        <v>22</v>
      </c>
    </row>
    <row r="783" spans="1:6">
      <c r="A783" t="s">
        <v>6</v>
      </c>
      <c r="B783" s="1">
        <v>45840.708287037036</v>
      </c>
      <c r="C783">
        <v>30002</v>
      </c>
      <c r="D783" t="s">
        <v>7</v>
      </c>
      <c r="E783" t="s">
        <v>126</v>
      </c>
      <c r="F783" t="s">
        <v>22</v>
      </c>
    </row>
    <row r="784" spans="1:6">
      <c r="A784" t="s">
        <v>6</v>
      </c>
      <c r="B784" s="1">
        <v>45840.705185185187</v>
      </c>
      <c r="C784">
        <v>30002</v>
      </c>
      <c r="D784" t="s">
        <v>7</v>
      </c>
      <c r="E784" t="s">
        <v>126</v>
      </c>
      <c r="F784" t="s">
        <v>22</v>
      </c>
    </row>
    <row r="785" spans="1:6">
      <c r="A785" t="s">
        <v>6</v>
      </c>
      <c r="B785" s="1">
        <v>45839.762812499997</v>
      </c>
      <c r="C785">
        <v>30002</v>
      </c>
      <c r="D785" t="s">
        <v>7</v>
      </c>
      <c r="E785" t="s">
        <v>126</v>
      </c>
      <c r="F785" t="s">
        <v>22</v>
      </c>
    </row>
    <row r="786" spans="1:6">
      <c r="A786" t="s">
        <v>6</v>
      </c>
      <c r="B786" s="1">
        <v>45839.667962962965</v>
      </c>
      <c r="C786">
        <v>30002</v>
      </c>
      <c r="D786" t="s">
        <v>7</v>
      </c>
      <c r="E786" t="s">
        <v>126</v>
      </c>
      <c r="F786" t="s">
        <v>22</v>
      </c>
    </row>
    <row r="787" spans="1:6">
      <c r="A787" t="s">
        <v>6</v>
      </c>
      <c r="B787" s="1">
        <v>45849.349861111114</v>
      </c>
      <c r="C787">
        <v>30002</v>
      </c>
      <c r="D787" t="s">
        <v>7</v>
      </c>
      <c r="E787" t="s">
        <v>126</v>
      </c>
      <c r="F787" t="s">
        <v>97</v>
      </c>
    </row>
    <row r="788" spans="1:6">
      <c r="A788" t="s">
        <v>6</v>
      </c>
      <c r="B788" s="1">
        <v>45852.751817129632</v>
      </c>
      <c r="C788">
        <v>30002</v>
      </c>
      <c r="D788" t="s">
        <v>7</v>
      </c>
      <c r="E788" t="s">
        <v>127</v>
      </c>
      <c r="F788" t="s">
        <v>36</v>
      </c>
    </row>
    <row r="789" spans="1:6">
      <c r="A789" t="s">
        <v>6</v>
      </c>
      <c r="B789" s="1">
        <v>45847.430034722223</v>
      </c>
      <c r="C789">
        <v>30002</v>
      </c>
      <c r="D789" t="s">
        <v>7</v>
      </c>
      <c r="E789" t="s">
        <v>127</v>
      </c>
      <c r="F789" t="s">
        <v>36</v>
      </c>
    </row>
    <row r="790" spans="1:6">
      <c r="A790" t="s">
        <v>6</v>
      </c>
      <c r="B790" s="1">
        <v>45845.619745370372</v>
      </c>
      <c r="C790">
        <v>30002</v>
      </c>
      <c r="D790" t="s">
        <v>7</v>
      </c>
      <c r="E790" t="s">
        <v>127</v>
      </c>
      <c r="F790" t="s">
        <v>36</v>
      </c>
    </row>
    <row r="791" spans="1:6">
      <c r="A791" t="s">
        <v>6</v>
      </c>
      <c r="B791" s="1">
        <v>45852.367048611108</v>
      </c>
      <c r="C791">
        <v>30002</v>
      </c>
      <c r="D791" t="s">
        <v>7</v>
      </c>
      <c r="E791" t="s">
        <v>127</v>
      </c>
      <c r="F791" t="s">
        <v>27</v>
      </c>
    </row>
    <row r="792" spans="1:6">
      <c r="A792" t="s">
        <v>6</v>
      </c>
      <c r="B792" s="1">
        <v>45852.36409722222</v>
      </c>
      <c r="C792">
        <v>30002</v>
      </c>
      <c r="D792" t="s">
        <v>7</v>
      </c>
      <c r="E792" t="s">
        <v>127</v>
      </c>
      <c r="F792" t="s">
        <v>27</v>
      </c>
    </row>
    <row r="793" spans="1:6">
      <c r="A793" t="s">
        <v>6</v>
      </c>
      <c r="B793" s="1">
        <v>45852.362916666665</v>
      </c>
      <c r="C793">
        <v>30002</v>
      </c>
      <c r="D793" t="s">
        <v>7</v>
      </c>
      <c r="E793" t="s">
        <v>127</v>
      </c>
      <c r="F793" t="s">
        <v>27</v>
      </c>
    </row>
    <row r="794" spans="1:6">
      <c r="A794" t="s">
        <v>6</v>
      </c>
      <c r="B794" s="1">
        <v>45849.58697916667</v>
      </c>
      <c r="C794">
        <v>30002</v>
      </c>
      <c r="D794" t="s">
        <v>7</v>
      </c>
      <c r="E794" t="s">
        <v>127</v>
      </c>
      <c r="F794" t="s">
        <v>27</v>
      </c>
    </row>
    <row r="795" spans="1:6">
      <c r="A795" t="s">
        <v>6</v>
      </c>
      <c r="B795" s="1">
        <v>45849.52679398148</v>
      </c>
      <c r="C795">
        <v>30002</v>
      </c>
      <c r="D795" t="s">
        <v>7</v>
      </c>
      <c r="E795" t="s">
        <v>127</v>
      </c>
      <c r="F795" t="s">
        <v>27</v>
      </c>
    </row>
    <row r="796" spans="1:6">
      <c r="A796" t="s">
        <v>6</v>
      </c>
      <c r="B796" s="1">
        <v>45840.633680555555</v>
      </c>
      <c r="C796">
        <v>30002</v>
      </c>
      <c r="D796" t="s">
        <v>7</v>
      </c>
      <c r="E796" t="s">
        <v>127</v>
      </c>
      <c r="F796" t="s">
        <v>27</v>
      </c>
    </row>
    <row r="797" spans="1:6">
      <c r="A797" t="s">
        <v>6</v>
      </c>
      <c r="B797" s="1">
        <v>45852.357881944445</v>
      </c>
      <c r="C797">
        <v>30002</v>
      </c>
      <c r="D797" t="s">
        <v>7</v>
      </c>
      <c r="E797" t="s">
        <v>128</v>
      </c>
      <c r="F797" t="s">
        <v>27</v>
      </c>
    </row>
    <row r="798" spans="1:6">
      <c r="A798" t="s">
        <v>6</v>
      </c>
      <c r="B798" s="1">
        <v>45849.576608796298</v>
      </c>
      <c r="C798">
        <v>30002</v>
      </c>
      <c r="D798" t="s">
        <v>7</v>
      </c>
      <c r="E798" t="s">
        <v>128</v>
      </c>
      <c r="F798" t="s">
        <v>27</v>
      </c>
    </row>
    <row r="799" spans="1:6">
      <c r="A799" t="s">
        <v>6</v>
      </c>
      <c r="B799" s="1">
        <v>45852.588831018518</v>
      </c>
      <c r="C799">
        <v>30002</v>
      </c>
      <c r="D799" t="s">
        <v>7</v>
      </c>
      <c r="E799" t="s">
        <v>129</v>
      </c>
      <c r="F799" t="s">
        <v>19</v>
      </c>
    </row>
    <row r="800" spans="1:6">
      <c r="A800" t="s">
        <v>6</v>
      </c>
      <c r="B800" s="1">
        <v>45852.583460648151</v>
      </c>
      <c r="C800">
        <v>30002</v>
      </c>
      <c r="D800" t="s">
        <v>7</v>
      </c>
      <c r="E800" t="s">
        <v>129</v>
      </c>
      <c r="F800" t="s">
        <v>19</v>
      </c>
    </row>
    <row r="801" spans="1:6">
      <c r="A801" t="s">
        <v>6</v>
      </c>
      <c r="B801" s="1">
        <v>45852.581516203703</v>
      </c>
      <c r="C801">
        <v>30002</v>
      </c>
      <c r="D801" t="s">
        <v>7</v>
      </c>
      <c r="E801" t="s">
        <v>129</v>
      </c>
      <c r="F801" t="s">
        <v>19</v>
      </c>
    </row>
    <row r="802" spans="1:6">
      <c r="A802" t="s">
        <v>6</v>
      </c>
      <c r="B802" s="1">
        <v>45852.580925925926</v>
      </c>
      <c r="C802">
        <v>30002</v>
      </c>
      <c r="D802" t="s">
        <v>7</v>
      </c>
      <c r="E802" t="s">
        <v>129</v>
      </c>
      <c r="F802" t="s">
        <v>19</v>
      </c>
    </row>
    <row r="803" spans="1:6">
      <c r="A803" t="s">
        <v>6</v>
      </c>
      <c r="B803" s="1">
        <v>45852.58017361111</v>
      </c>
      <c r="C803">
        <v>30002</v>
      </c>
      <c r="D803" t="s">
        <v>7</v>
      </c>
      <c r="E803" t="s">
        <v>129</v>
      </c>
      <c r="F803" t="s">
        <v>19</v>
      </c>
    </row>
    <row r="804" spans="1:6">
      <c r="A804" t="s">
        <v>6</v>
      </c>
      <c r="B804" s="1">
        <v>45852.577719907407</v>
      </c>
      <c r="C804">
        <v>30002</v>
      </c>
      <c r="D804" t="s">
        <v>7</v>
      </c>
      <c r="E804" t="s">
        <v>129</v>
      </c>
      <c r="F804" t="s">
        <v>19</v>
      </c>
    </row>
    <row r="805" spans="1:6">
      <c r="A805" t="s">
        <v>6</v>
      </c>
      <c r="B805" s="1">
        <v>45852.572777777779</v>
      </c>
      <c r="C805">
        <v>30002</v>
      </c>
      <c r="D805" t="s">
        <v>7</v>
      </c>
      <c r="E805" t="s">
        <v>129</v>
      </c>
      <c r="F805" t="s">
        <v>19</v>
      </c>
    </row>
    <row r="806" spans="1:6">
      <c r="A806" t="s">
        <v>6</v>
      </c>
      <c r="B806" s="1">
        <v>45852.64340277778</v>
      </c>
      <c r="C806">
        <v>30002</v>
      </c>
      <c r="D806" t="s">
        <v>7</v>
      </c>
      <c r="E806" t="s">
        <v>129</v>
      </c>
      <c r="F806" t="s">
        <v>36</v>
      </c>
    </row>
    <row r="807" spans="1:6">
      <c r="A807" t="s">
        <v>6</v>
      </c>
      <c r="B807" s="1">
        <v>45853.327731481484</v>
      </c>
      <c r="C807">
        <v>30002</v>
      </c>
      <c r="D807" t="s">
        <v>7</v>
      </c>
      <c r="E807" t="s">
        <v>130</v>
      </c>
      <c r="F807" t="s">
        <v>19</v>
      </c>
    </row>
    <row r="808" spans="1:6">
      <c r="A808" t="s">
        <v>6</v>
      </c>
      <c r="B808" s="1">
        <v>45852.561597222222</v>
      </c>
      <c r="C808">
        <v>30002</v>
      </c>
      <c r="D808" t="s">
        <v>7</v>
      </c>
      <c r="E808" t="s">
        <v>130</v>
      </c>
      <c r="F808" t="s">
        <v>19</v>
      </c>
    </row>
    <row r="809" spans="1:6">
      <c r="A809" t="s">
        <v>6</v>
      </c>
      <c r="B809" s="1">
        <v>45852.561539351853</v>
      </c>
      <c r="C809">
        <v>30002</v>
      </c>
      <c r="D809" t="s">
        <v>7</v>
      </c>
      <c r="E809" t="s">
        <v>130</v>
      </c>
      <c r="F809" t="s">
        <v>19</v>
      </c>
    </row>
    <row r="810" spans="1:6">
      <c r="A810" t="s">
        <v>6</v>
      </c>
      <c r="B810" s="1">
        <v>45852.56113425926</v>
      </c>
      <c r="C810">
        <v>30002</v>
      </c>
      <c r="D810" t="s">
        <v>7</v>
      </c>
      <c r="E810" t="s">
        <v>130</v>
      </c>
      <c r="F810" t="s">
        <v>19</v>
      </c>
    </row>
    <row r="811" spans="1:6">
      <c r="A811" t="s">
        <v>6</v>
      </c>
      <c r="B811" s="1">
        <v>45845.912986111114</v>
      </c>
      <c r="C811">
        <v>30002</v>
      </c>
      <c r="D811" t="s">
        <v>7</v>
      </c>
      <c r="E811" t="s">
        <v>131</v>
      </c>
      <c r="F811" t="s">
        <v>102</v>
      </c>
    </row>
    <row r="812" spans="1:6">
      <c r="A812" t="s">
        <v>6</v>
      </c>
      <c r="B812" s="1">
        <v>45845.848611111112</v>
      </c>
      <c r="C812">
        <v>30002</v>
      </c>
      <c r="D812" t="s">
        <v>7</v>
      </c>
      <c r="E812" t="s">
        <v>131</v>
      </c>
      <c r="F812" t="s">
        <v>18</v>
      </c>
    </row>
    <row r="813" spans="1:6">
      <c r="A813" t="s">
        <v>6</v>
      </c>
      <c r="B813" s="1">
        <v>45845.848020833335</v>
      </c>
      <c r="C813">
        <v>30002</v>
      </c>
      <c r="D813" t="s">
        <v>7</v>
      </c>
      <c r="E813" t="s">
        <v>131</v>
      </c>
      <c r="F813" t="s">
        <v>18</v>
      </c>
    </row>
    <row r="814" spans="1:6">
      <c r="A814" t="s">
        <v>6</v>
      </c>
      <c r="B814" s="1">
        <v>45852.564513888887</v>
      </c>
      <c r="C814">
        <v>30002</v>
      </c>
      <c r="D814" t="s">
        <v>7</v>
      </c>
      <c r="E814" t="s">
        <v>131</v>
      </c>
      <c r="F814" t="s">
        <v>19</v>
      </c>
    </row>
    <row r="815" spans="1:6">
      <c r="A815" t="s">
        <v>6</v>
      </c>
      <c r="B815" s="1">
        <v>45852.547500000001</v>
      </c>
      <c r="C815">
        <v>30002</v>
      </c>
      <c r="D815" t="s">
        <v>7</v>
      </c>
      <c r="E815" t="s">
        <v>131</v>
      </c>
      <c r="F815" t="s">
        <v>19</v>
      </c>
    </row>
    <row r="816" spans="1:6">
      <c r="A816" t="s">
        <v>6</v>
      </c>
      <c r="B816" s="1">
        <v>45846.256597222222</v>
      </c>
      <c r="C816">
        <v>30002</v>
      </c>
      <c r="D816" t="s">
        <v>7</v>
      </c>
      <c r="E816" t="s">
        <v>131</v>
      </c>
      <c r="F816" t="s">
        <v>19</v>
      </c>
    </row>
    <row r="817" spans="1:6">
      <c r="A817" t="s">
        <v>6</v>
      </c>
      <c r="B817" s="1">
        <v>45842.630150462966</v>
      </c>
      <c r="C817">
        <v>30002</v>
      </c>
      <c r="D817" t="s">
        <v>7</v>
      </c>
      <c r="E817" t="s">
        <v>131</v>
      </c>
      <c r="F817" t="s">
        <v>19</v>
      </c>
    </row>
    <row r="818" spans="1:6">
      <c r="A818" t="s">
        <v>6</v>
      </c>
      <c r="B818" s="1">
        <v>45842.628344907411</v>
      </c>
      <c r="C818">
        <v>30002</v>
      </c>
      <c r="D818" t="s">
        <v>7</v>
      </c>
      <c r="E818" t="s">
        <v>131</v>
      </c>
      <c r="F818" t="s">
        <v>19</v>
      </c>
    </row>
    <row r="819" spans="1:6">
      <c r="A819" t="s">
        <v>6</v>
      </c>
      <c r="B819" s="1">
        <v>45846.299675925926</v>
      </c>
      <c r="C819">
        <v>30002</v>
      </c>
      <c r="D819" t="s">
        <v>7</v>
      </c>
      <c r="E819" t="s">
        <v>131</v>
      </c>
      <c r="F819" t="s">
        <v>97</v>
      </c>
    </row>
    <row r="820" spans="1:6">
      <c r="A820" t="s">
        <v>6</v>
      </c>
      <c r="B820" s="1">
        <v>45846.296331018515</v>
      </c>
      <c r="C820">
        <v>30002</v>
      </c>
      <c r="D820" t="s">
        <v>7</v>
      </c>
      <c r="E820" t="s">
        <v>131</v>
      </c>
      <c r="F820" t="s">
        <v>97</v>
      </c>
    </row>
    <row r="821" spans="1:6">
      <c r="A821" t="s">
        <v>6</v>
      </c>
      <c r="B821" s="1">
        <v>45846.295324074075</v>
      </c>
      <c r="C821">
        <v>30002</v>
      </c>
      <c r="D821" t="s">
        <v>7</v>
      </c>
      <c r="E821" t="s">
        <v>131</v>
      </c>
      <c r="F821" t="s">
        <v>97</v>
      </c>
    </row>
    <row r="822" spans="1:6">
      <c r="A822" t="s">
        <v>6</v>
      </c>
      <c r="B822" s="1">
        <v>45845.260393518518</v>
      </c>
      <c r="C822">
        <v>30002</v>
      </c>
      <c r="D822" t="s">
        <v>7</v>
      </c>
      <c r="E822" t="s">
        <v>131</v>
      </c>
      <c r="F822" t="s">
        <v>97</v>
      </c>
    </row>
    <row r="823" spans="1:6">
      <c r="A823" t="s">
        <v>6</v>
      </c>
      <c r="B823" s="1">
        <v>45860.560335648152</v>
      </c>
      <c r="C823">
        <v>30002</v>
      </c>
      <c r="D823" t="s">
        <v>7</v>
      </c>
      <c r="E823" t="s">
        <v>132</v>
      </c>
      <c r="F823" t="s">
        <v>27</v>
      </c>
    </row>
    <row r="824" spans="1:6">
      <c r="A824" t="s">
        <v>6</v>
      </c>
      <c r="B824" s="1">
        <v>45860.559178240743</v>
      </c>
      <c r="C824">
        <v>30002</v>
      </c>
      <c r="D824" t="s">
        <v>7</v>
      </c>
      <c r="E824" t="s">
        <v>132</v>
      </c>
      <c r="F824" t="s">
        <v>27</v>
      </c>
    </row>
    <row r="825" spans="1:6">
      <c r="A825" t="s">
        <v>6</v>
      </c>
      <c r="B825" s="1">
        <v>45853.381620370368</v>
      </c>
      <c r="C825">
        <v>30002</v>
      </c>
      <c r="D825" t="s">
        <v>7</v>
      </c>
      <c r="E825" t="s">
        <v>133</v>
      </c>
      <c r="F825" t="s">
        <v>134</v>
      </c>
    </row>
    <row r="826" spans="1:6">
      <c r="A826" t="s">
        <v>6</v>
      </c>
      <c r="B826" s="1">
        <v>45862.708831018521</v>
      </c>
      <c r="C826">
        <v>30002</v>
      </c>
      <c r="D826" t="s">
        <v>7</v>
      </c>
      <c r="E826" t="s">
        <v>133</v>
      </c>
      <c r="F826" t="s">
        <v>135</v>
      </c>
    </row>
    <row r="827" spans="1:6">
      <c r="A827" t="s">
        <v>6</v>
      </c>
      <c r="B827" s="1">
        <v>45862.70853009259</v>
      </c>
      <c r="C827">
        <v>30002</v>
      </c>
      <c r="D827" t="s">
        <v>7</v>
      </c>
      <c r="E827" t="s">
        <v>133</v>
      </c>
      <c r="F827" t="s">
        <v>135</v>
      </c>
    </row>
    <row r="828" spans="1:6">
      <c r="A828" t="s">
        <v>6</v>
      </c>
      <c r="B828" s="1">
        <v>45856.390532407408</v>
      </c>
      <c r="C828">
        <v>30002</v>
      </c>
      <c r="D828" t="s">
        <v>7</v>
      </c>
      <c r="E828" t="s">
        <v>136</v>
      </c>
      <c r="F828" t="s">
        <v>137</v>
      </c>
    </row>
    <row r="829" spans="1:6">
      <c r="A829" t="s">
        <v>6</v>
      </c>
      <c r="B829" s="1">
        <v>45856.385717592595</v>
      </c>
      <c r="C829">
        <v>30002</v>
      </c>
      <c r="D829" t="s">
        <v>7</v>
      </c>
      <c r="E829" t="s">
        <v>136</v>
      </c>
      <c r="F829" t="s">
        <v>137</v>
      </c>
    </row>
    <row r="830" spans="1:6">
      <c r="A830" t="s">
        <v>6</v>
      </c>
      <c r="B830" s="1">
        <v>45856.385462962964</v>
      </c>
      <c r="C830">
        <v>30002</v>
      </c>
      <c r="D830" t="s">
        <v>7</v>
      </c>
      <c r="E830" t="s">
        <v>136</v>
      </c>
      <c r="F830" t="s">
        <v>137</v>
      </c>
    </row>
    <row r="831" spans="1:6">
      <c r="A831" t="s">
        <v>6</v>
      </c>
      <c r="B831" s="1">
        <v>45856.384826388887</v>
      </c>
      <c r="C831">
        <v>30002</v>
      </c>
      <c r="D831" t="s">
        <v>7</v>
      </c>
      <c r="E831" t="s">
        <v>136</v>
      </c>
      <c r="F831" t="s">
        <v>137</v>
      </c>
    </row>
    <row r="832" spans="1:6">
      <c r="A832" t="s">
        <v>6</v>
      </c>
      <c r="B832" s="1">
        <v>45856.384085648147</v>
      </c>
      <c r="C832">
        <v>30002</v>
      </c>
      <c r="D832" t="s">
        <v>7</v>
      </c>
      <c r="E832" t="s">
        <v>136</v>
      </c>
      <c r="F832" t="s">
        <v>137</v>
      </c>
    </row>
    <row r="833" spans="1:6">
      <c r="A833" t="s">
        <v>6</v>
      </c>
      <c r="B833" s="1">
        <v>45859.528587962966</v>
      </c>
      <c r="C833">
        <v>30002</v>
      </c>
      <c r="D833" t="s">
        <v>7</v>
      </c>
      <c r="E833" t="s">
        <v>136</v>
      </c>
      <c r="F833" t="s">
        <v>65</v>
      </c>
    </row>
    <row r="834" spans="1:6">
      <c r="A834" t="s">
        <v>6</v>
      </c>
      <c r="B834" s="1">
        <v>45853.145451388889</v>
      </c>
      <c r="C834">
        <v>30002</v>
      </c>
      <c r="D834" t="s">
        <v>7</v>
      </c>
      <c r="E834" t="s">
        <v>136</v>
      </c>
      <c r="F834" t="s">
        <v>65</v>
      </c>
    </row>
    <row r="835" spans="1:6">
      <c r="A835" t="s">
        <v>6</v>
      </c>
      <c r="B835" s="1">
        <v>45852.631944444445</v>
      </c>
      <c r="C835">
        <v>30002</v>
      </c>
      <c r="D835" t="s">
        <v>7</v>
      </c>
      <c r="E835" t="s">
        <v>136</v>
      </c>
      <c r="F835" t="s">
        <v>105</v>
      </c>
    </row>
    <row r="836" spans="1:6">
      <c r="A836" t="s">
        <v>6</v>
      </c>
      <c r="B836" s="1">
        <v>45852.631724537037</v>
      </c>
      <c r="C836">
        <v>30002</v>
      </c>
      <c r="D836" t="s">
        <v>7</v>
      </c>
      <c r="E836" t="s">
        <v>136</v>
      </c>
      <c r="F836" t="s">
        <v>105</v>
      </c>
    </row>
    <row r="837" spans="1:6">
      <c r="A837" t="s">
        <v>6</v>
      </c>
      <c r="B837" s="1">
        <v>45852.631608796299</v>
      </c>
      <c r="C837">
        <v>30002</v>
      </c>
      <c r="D837" t="s">
        <v>7</v>
      </c>
      <c r="E837" t="s">
        <v>136</v>
      </c>
      <c r="F837" t="s">
        <v>105</v>
      </c>
    </row>
    <row r="838" spans="1:6">
      <c r="A838" t="s">
        <v>6</v>
      </c>
      <c r="B838" s="1">
        <v>45852.631423611114</v>
      </c>
      <c r="C838">
        <v>30002</v>
      </c>
      <c r="D838" t="s">
        <v>7</v>
      </c>
      <c r="E838" t="s">
        <v>136</v>
      </c>
      <c r="F838" t="s">
        <v>105</v>
      </c>
    </row>
    <row r="839" spans="1:6">
      <c r="A839" t="s">
        <v>6</v>
      </c>
      <c r="B839" s="1">
        <v>45852.631030092591</v>
      </c>
      <c r="C839">
        <v>30002</v>
      </c>
      <c r="D839" t="s">
        <v>7</v>
      </c>
      <c r="E839" t="s">
        <v>136</v>
      </c>
      <c r="F839" t="s">
        <v>105</v>
      </c>
    </row>
    <row r="840" spans="1:6">
      <c r="A840" t="s">
        <v>6</v>
      </c>
      <c r="B840" s="1">
        <v>45852.677314814813</v>
      </c>
      <c r="C840">
        <v>30002</v>
      </c>
      <c r="D840" t="s">
        <v>7</v>
      </c>
      <c r="E840" t="s">
        <v>136</v>
      </c>
      <c r="F840" t="s">
        <v>9</v>
      </c>
    </row>
    <row r="841" spans="1:6">
      <c r="A841" t="s">
        <v>6</v>
      </c>
      <c r="B841" s="1">
        <v>45852.66574074074</v>
      </c>
      <c r="C841">
        <v>30002</v>
      </c>
      <c r="D841" t="s">
        <v>7</v>
      </c>
      <c r="E841" t="s">
        <v>136</v>
      </c>
      <c r="F841" t="s">
        <v>9</v>
      </c>
    </row>
    <row r="842" spans="1:6">
      <c r="A842" t="s">
        <v>6</v>
      </c>
      <c r="B842" s="1">
        <v>45852.66547453704</v>
      </c>
      <c r="C842">
        <v>30002</v>
      </c>
      <c r="D842" t="s">
        <v>7</v>
      </c>
      <c r="E842" t="s">
        <v>136</v>
      </c>
      <c r="F842" t="s">
        <v>9</v>
      </c>
    </row>
    <row r="843" spans="1:6">
      <c r="A843" t="s">
        <v>6</v>
      </c>
      <c r="B843" s="1">
        <v>45852.599062499998</v>
      </c>
      <c r="C843">
        <v>30002</v>
      </c>
      <c r="D843" t="s">
        <v>7</v>
      </c>
      <c r="E843" t="s">
        <v>136</v>
      </c>
      <c r="F843" t="s">
        <v>9</v>
      </c>
    </row>
    <row r="844" spans="1:6">
      <c r="A844" t="s">
        <v>6</v>
      </c>
      <c r="B844" s="1">
        <v>45852.370243055557</v>
      </c>
      <c r="C844">
        <v>30002</v>
      </c>
      <c r="D844" t="s">
        <v>7</v>
      </c>
      <c r="E844" t="s">
        <v>136</v>
      </c>
      <c r="F844" t="s">
        <v>9</v>
      </c>
    </row>
    <row r="845" spans="1:6">
      <c r="A845" t="s">
        <v>6</v>
      </c>
      <c r="B845" s="1">
        <v>45852.369687500002</v>
      </c>
      <c r="C845">
        <v>30002</v>
      </c>
      <c r="D845" t="s">
        <v>7</v>
      </c>
      <c r="E845" t="s">
        <v>136</v>
      </c>
      <c r="F845" t="s">
        <v>9</v>
      </c>
    </row>
    <row r="846" spans="1:6">
      <c r="A846" t="s">
        <v>6</v>
      </c>
      <c r="B846" s="1">
        <v>45852.369490740741</v>
      </c>
      <c r="C846">
        <v>30002</v>
      </c>
      <c r="D846" t="s">
        <v>7</v>
      </c>
      <c r="E846" t="s">
        <v>136</v>
      </c>
      <c r="F846" t="s">
        <v>9</v>
      </c>
    </row>
    <row r="847" spans="1:6">
      <c r="A847" t="s">
        <v>6</v>
      </c>
      <c r="B847" s="1">
        <v>45852.369317129633</v>
      </c>
      <c r="C847">
        <v>30002</v>
      </c>
      <c r="D847" t="s">
        <v>7</v>
      </c>
      <c r="E847" t="s">
        <v>136</v>
      </c>
      <c r="F847" t="s">
        <v>9</v>
      </c>
    </row>
    <row r="848" spans="1:6">
      <c r="A848" t="s">
        <v>6</v>
      </c>
      <c r="B848" s="1">
        <v>45852.368750000001</v>
      </c>
      <c r="C848">
        <v>30002</v>
      </c>
      <c r="D848" t="s">
        <v>7</v>
      </c>
      <c r="E848" t="s">
        <v>136</v>
      </c>
      <c r="F848" t="s">
        <v>9</v>
      </c>
    </row>
    <row r="849" spans="1:6">
      <c r="A849" t="s">
        <v>6</v>
      </c>
      <c r="B849" s="1">
        <v>45848.606585648151</v>
      </c>
      <c r="C849">
        <v>30002</v>
      </c>
      <c r="D849" t="s">
        <v>7</v>
      </c>
      <c r="E849" t="s">
        <v>136</v>
      </c>
      <c r="F849" t="s">
        <v>9</v>
      </c>
    </row>
    <row r="850" spans="1:6">
      <c r="A850" t="s">
        <v>6</v>
      </c>
      <c r="B850" s="1">
        <v>45847.408877314818</v>
      </c>
      <c r="C850">
        <v>30002</v>
      </c>
      <c r="D850" t="s">
        <v>7</v>
      </c>
      <c r="E850" t="s">
        <v>136</v>
      </c>
      <c r="F850" t="s">
        <v>9</v>
      </c>
    </row>
    <row r="851" spans="1:6">
      <c r="A851" t="s">
        <v>6</v>
      </c>
      <c r="B851" s="1">
        <v>45859.3512962963</v>
      </c>
      <c r="C851">
        <v>30002</v>
      </c>
      <c r="D851" t="s">
        <v>7</v>
      </c>
      <c r="E851" t="s">
        <v>136</v>
      </c>
      <c r="F851" t="s">
        <v>106</v>
      </c>
    </row>
    <row r="852" spans="1:6">
      <c r="A852" t="s">
        <v>6</v>
      </c>
      <c r="B852" s="1">
        <v>45841.58258101852</v>
      </c>
      <c r="C852">
        <v>30002</v>
      </c>
      <c r="D852" t="s">
        <v>7</v>
      </c>
      <c r="E852" t="s">
        <v>138</v>
      </c>
      <c r="F852" t="s">
        <v>102</v>
      </c>
    </row>
    <row r="853" spans="1:6">
      <c r="A853" t="s">
        <v>6</v>
      </c>
      <c r="B853" s="1">
        <v>45859.601412037038</v>
      </c>
      <c r="C853">
        <v>30002</v>
      </c>
      <c r="D853" t="s">
        <v>7</v>
      </c>
      <c r="E853" t="s">
        <v>138</v>
      </c>
      <c r="F853" t="s">
        <v>42</v>
      </c>
    </row>
    <row r="854" spans="1:6">
      <c r="A854" t="s">
        <v>6</v>
      </c>
      <c r="B854" s="1">
        <v>45859.599479166667</v>
      </c>
      <c r="C854">
        <v>30002</v>
      </c>
      <c r="D854" t="s">
        <v>7</v>
      </c>
      <c r="E854" t="s">
        <v>138</v>
      </c>
      <c r="F854" t="s">
        <v>42</v>
      </c>
    </row>
    <row r="855" spans="1:6">
      <c r="A855" t="s">
        <v>6</v>
      </c>
      <c r="B855" s="1">
        <v>45859.599409722221</v>
      </c>
      <c r="C855">
        <v>30002</v>
      </c>
      <c r="D855" t="s">
        <v>7</v>
      </c>
      <c r="E855" t="s">
        <v>138</v>
      </c>
      <c r="F855" t="s">
        <v>42</v>
      </c>
    </row>
    <row r="856" spans="1:6">
      <c r="A856" t="s">
        <v>6</v>
      </c>
      <c r="B856" s="1">
        <v>45855.47828703704</v>
      </c>
      <c r="C856">
        <v>30002</v>
      </c>
      <c r="D856" t="s">
        <v>7</v>
      </c>
      <c r="E856" t="s">
        <v>138</v>
      </c>
      <c r="F856" t="s">
        <v>42</v>
      </c>
    </row>
    <row r="857" spans="1:6">
      <c r="A857" t="s">
        <v>6</v>
      </c>
      <c r="B857" s="1">
        <v>45852.690636574072</v>
      </c>
      <c r="C857">
        <v>30002</v>
      </c>
      <c r="D857" t="s">
        <v>7</v>
      </c>
      <c r="E857" t="s">
        <v>138</v>
      </c>
      <c r="F857" t="s">
        <v>42</v>
      </c>
    </row>
    <row r="858" spans="1:6">
      <c r="A858" t="s">
        <v>6</v>
      </c>
      <c r="B858" s="1">
        <v>45852.690474537034</v>
      </c>
      <c r="C858">
        <v>30002</v>
      </c>
      <c r="D858" t="s">
        <v>7</v>
      </c>
      <c r="E858" t="s">
        <v>138</v>
      </c>
      <c r="F858" t="s">
        <v>42</v>
      </c>
    </row>
    <row r="859" spans="1:6">
      <c r="A859" t="s">
        <v>6</v>
      </c>
      <c r="B859" s="1">
        <v>45852.68990740741</v>
      </c>
      <c r="C859">
        <v>30002</v>
      </c>
      <c r="D859" t="s">
        <v>7</v>
      </c>
      <c r="E859" t="s">
        <v>138</v>
      </c>
      <c r="F859" t="s">
        <v>42</v>
      </c>
    </row>
    <row r="860" spans="1:6">
      <c r="A860" t="s">
        <v>6</v>
      </c>
      <c r="B860" s="1">
        <v>45852.689814814818</v>
      </c>
      <c r="C860">
        <v>30002</v>
      </c>
      <c r="D860" t="s">
        <v>7</v>
      </c>
      <c r="E860" t="s">
        <v>138</v>
      </c>
      <c r="F860" t="s">
        <v>42</v>
      </c>
    </row>
    <row r="861" spans="1:6">
      <c r="A861" t="s">
        <v>6</v>
      </c>
      <c r="B861" s="1">
        <v>45852.689745370371</v>
      </c>
      <c r="C861">
        <v>30002</v>
      </c>
      <c r="D861" t="s">
        <v>7</v>
      </c>
      <c r="E861" t="s">
        <v>138</v>
      </c>
      <c r="F861" t="s">
        <v>42</v>
      </c>
    </row>
    <row r="862" spans="1:6">
      <c r="A862" t="s">
        <v>6</v>
      </c>
      <c r="B862" s="1">
        <v>45852.689456018517</v>
      </c>
      <c r="C862">
        <v>30002</v>
      </c>
      <c r="D862" t="s">
        <v>7</v>
      </c>
      <c r="E862" t="s">
        <v>138</v>
      </c>
      <c r="F862" t="s">
        <v>42</v>
      </c>
    </row>
    <row r="863" spans="1:6">
      <c r="A863" t="s">
        <v>6</v>
      </c>
      <c r="B863" s="1">
        <v>45852.689351851855</v>
      </c>
      <c r="C863">
        <v>30002</v>
      </c>
      <c r="D863" t="s">
        <v>7</v>
      </c>
      <c r="E863" t="s">
        <v>138</v>
      </c>
      <c r="F863" t="s">
        <v>42</v>
      </c>
    </row>
    <row r="864" spans="1:6">
      <c r="A864" t="s">
        <v>6</v>
      </c>
      <c r="B864" s="1">
        <v>45852.689212962963</v>
      </c>
      <c r="C864">
        <v>30002</v>
      </c>
      <c r="D864" t="s">
        <v>7</v>
      </c>
      <c r="E864" t="s">
        <v>138</v>
      </c>
      <c r="F864" t="s">
        <v>42</v>
      </c>
    </row>
    <row r="865" spans="1:6">
      <c r="A865" t="s">
        <v>6</v>
      </c>
      <c r="B865" s="1">
        <v>45852.689039351855</v>
      </c>
      <c r="C865">
        <v>30002</v>
      </c>
      <c r="D865" t="s">
        <v>7</v>
      </c>
      <c r="E865" t="s">
        <v>138</v>
      </c>
      <c r="F865" t="s">
        <v>42</v>
      </c>
    </row>
    <row r="866" spans="1:6">
      <c r="A866" t="s">
        <v>6</v>
      </c>
      <c r="B866" s="1">
        <v>45848.379074074073</v>
      </c>
      <c r="C866">
        <v>30002</v>
      </c>
      <c r="D866" t="s">
        <v>7</v>
      </c>
      <c r="E866" t="s">
        <v>138</v>
      </c>
      <c r="F866" t="s">
        <v>42</v>
      </c>
    </row>
    <row r="867" spans="1:6">
      <c r="A867" t="s">
        <v>6</v>
      </c>
      <c r="B867" s="1">
        <v>45848.345775462964</v>
      </c>
      <c r="C867">
        <v>30002</v>
      </c>
      <c r="D867" t="s">
        <v>7</v>
      </c>
      <c r="E867" t="s">
        <v>138</v>
      </c>
      <c r="F867" t="s">
        <v>42</v>
      </c>
    </row>
    <row r="868" spans="1:6">
      <c r="A868" t="s">
        <v>6</v>
      </c>
      <c r="B868" s="1">
        <v>45847.42391203704</v>
      </c>
      <c r="C868">
        <v>30002</v>
      </c>
      <c r="D868" t="s">
        <v>7</v>
      </c>
      <c r="E868" t="s">
        <v>138</v>
      </c>
      <c r="F868" t="s">
        <v>103</v>
      </c>
    </row>
    <row r="869" spans="1:6">
      <c r="A869" t="s">
        <v>6</v>
      </c>
      <c r="B869" s="1">
        <v>45847.421087962961</v>
      </c>
      <c r="C869">
        <v>30002</v>
      </c>
      <c r="D869" t="s">
        <v>7</v>
      </c>
      <c r="E869" t="s">
        <v>138</v>
      </c>
      <c r="F869" t="s">
        <v>103</v>
      </c>
    </row>
    <row r="870" spans="1:6">
      <c r="A870" t="s">
        <v>6</v>
      </c>
      <c r="B870" s="1">
        <v>45855.459583333337</v>
      </c>
      <c r="C870">
        <v>30002</v>
      </c>
      <c r="D870" t="s">
        <v>7</v>
      </c>
      <c r="E870" t="s">
        <v>138</v>
      </c>
      <c r="F870" t="s">
        <v>36</v>
      </c>
    </row>
    <row r="871" spans="1:6">
      <c r="A871" t="s">
        <v>6</v>
      </c>
      <c r="B871" s="1">
        <v>45855.457418981481</v>
      </c>
      <c r="C871">
        <v>30002</v>
      </c>
      <c r="D871" t="s">
        <v>7</v>
      </c>
      <c r="E871" t="s">
        <v>138</v>
      </c>
      <c r="F871" t="s">
        <v>36</v>
      </c>
    </row>
    <row r="872" spans="1:6">
      <c r="A872" t="s">
        <v>6</v>
      </c>
      <c r="B872" s="1">
        <v>45854.616736111115</v>
      </c>
      <c r="C872">
        <v>30002</v>
      </c>
      <c r="D872" t="s">
        <v>7</v>
      </c>
      <c r="E872" t="s">
        <v>138</v>
      </c>
      <c r="F872" t="s">
        <v>36</v>
      </c>
    </row>
    <row r="873" spans="1:6">
      <c r="A873" t="s">
        <v>6</v>
      </c>
      <c r="B873" s="1">
        <v>45853.59003472222</v>
      </c>
      <c r="C873">
        <v>30002</v>
      </c>
      <c r="D873" t="s">
        <v>7</v>
      </c>
      <c r="E873" t="s">
        <v>138</v>
      </c>
      <c r="F873" t="s">
        <v>36</v>
      </c>
    </row>
    <row r="874" spans="1:6">
      <c r="A874" t="s">
        <v>6</v>
      </c>
      <c r="B874" s="1">
        <v>45853.568124999998</v>
      </c>
      <c r="C874">
        <v>30002</v>
      </c>
      <c r="D874" t="s">
        <v>7</v>
      </c>
      <c r="E874" t="s">
        <v>138</v>
      </c>
      <c r="F874" t="s">
        <v>36</v>
      </c>
    </row>
    <row r="875" spans="1:6">
      <c r="A875" t="s">
        <v>6</v>
      </c>
      <c r="B875" s="1">
        <v>45846.684907407405</v>
      </c>
      <c r="C875">
        <v>30002</v>
      </c>
      <c r="D875" t="s">
        <v>7</v>
      </c>
      <c r="E875" t="s">
        <v>138</v>
      </c>
      <c r="F875" t="s">
        <v>23</v>
      </c>
    </row>
    <row r="876" spans="1:6">
      <c r="A876" t="s">
        <v>6</v>
      </c>
      <c r="B876" s="1">
        <v>45846.680810185186</v>
      </c>
      <c r="C876">
        <v>30002</v>
      </c>
      <c r="D876" t="s">
        <v>7</v>
      </c>
      <c r="E876" t="s">
        <v>138</v>
      </c>
      <c r="F876" t="s">
        <v>23</v>
      </c>
    </row>
    <row r="877" spans="1:6">
      <c r="A877" t="s">
        <v>6</v>
      </c>
      <c r="B877" s="1">
        <v>45845.369340277779</v>
      </c>
      <c r="C877">
        <v>30002</v>
      </c>
      <c r="D877" t="s">
        <v>7</v>
      </c>
      <c r="E877" t="s">
        <v>138</v>
      </c>
      <c r="F877" t="s">
        <v>23</v>
      </c>
    </row>
    <row r="878" spans="1:6">
      <c r="A878" t="s">
        <v>6</v>
      </c>
      <c r="B878" s="1">
        <v>45845.367662037039</v>
      </c>
      <c r="C878">
        <v>30002</v>
      </c>
      <c r="D878" t="s">
        <v>7</v>
      </c>
      <c r="E878" t="s">
        <v>138</v>
      </c>
      <c r="F878" t="s">
        <v>23</v>
      </c>
    </row>
    <row r="879" spans="1:6">
      <c r="A879" t="s">
        <v>6</v>
      </c>
      <c r="B879" s="1">
        <v>45844.716539351852</v>
      </c>
      <c r="C879">
        <v>30002</v>
      </c>
      <c r="D879" t="s">
        <v>7</v>
      </c>
      <c r="E879" t="s">
        <v>138</v>
      </c>
      <c r="F879" t="s">
        <v>23</v>
      </c>
    </row>
    <row r="880" spans="1:6">
      <c r="A880" t="s">
        <v>6</v>
      </c>
      <c r="B880" s="1">
        <v>45852.449965277781</v>
      </c>
      <c r="C880">
        <v>30002</v>
      </c>
      <c r="D880" t="s">
        <v>7</v>
      </c>
      <c r="E880" t="s">
        <v>138</v>
      </c>
      <c r="F880" t="s">
        <v>27</v>
      </c>
    </row>
    <row r="881" spans="1:6">
      <c r="A881" t="s">
        <v>6</v>
      </c>
      <c r="B881" s="1">
        <v>45855.401400462964</v>
      </c>
      <c r="C881">
        <v>30002</v>
      </c>
      <c r="D881" t="s">
        <v>7</v>
      </c>
      <c r="E881" t="s">
        <v>138</v>
      </c>
      <c r="F881" t="s">
        <v>114</v>
      </c>
    </row>
    <row r="882" spans="1:6">
      <c r="A882" t="s">
        <v>6</v>
      </c>
      <c r="B882" s="1">
        <v>45855.401226851849</v>
      </c>
      <c r="C882">
        <v>30002</v>
      </c>
      <c r="D882" t="s">
        <v>7</v>
      </c>
      <c r="E882" t="s">
        <v>138</v>
      </c>
      <c r="F882" t="s">
        <v>114</v>
      </c>
    </row>
    <row r="883" spans="1:6">
      <c r="A883" t="s">
        <v>6</v>
      </c>
      <c r="B883" s="1">
        <v>45855.400312500002</v>
      </c>
      <c r="C883">
        <v>30002</v>
      </c>
      <c r="D883" t="s">
        <v>7</v>
      </c>
      <c r="E883" t="s">
        <v>138</v>
      </c>
      <c r="F883" t="s">
        <v>114</v>
      </c>
    </row>
    <row r="884" spans="1:6">
      <c r="A884" t="s">
        <v>6</v>
      </c>
      <c r="B884" s="1">
        <v>45855.399861111109</v>
      </c>
      <c r="C884">
        <v>30002</v>
      </c>
      <c r="D884" t="s">
        <v>7</v>
      </c>
      <c r="E884" t="s">
        <v>138</v>
      </c>
      <c r="F884" t="s">
        <v>114</v>
      </c>
    </row>
    <row r="885" spans="1:6">
      <c r="A885" t="s">
        <v>6</v>
      </c>
      <c r="B885" s="1">
        <v>45855.398993055554</v>
      </c>
      <c r="C885">
        <v>30002</v>
      </c>
      <c r="D885" t="s">
        <v>7</v>
      </c>
      <c r="E885" t="s">
        <v>138</v>
      </c>
      <c r="F885" t="s">
        <v>114</v>
      </c>
    </row>
    <row r="886" spans="1:6">
      <c r="A886" t="s">
        <v>6</v>
      </c>
      <c r="B886" s="1">
        <v>45855.398298611108</v>
      </c>
      <c r="C886">
        <v>30002</v>
      </c>
      <c r="D886" t="s">
        <v>7</v>
      </c>
      <c r="E886" t="s">
        <v>138</v>
      </c>
      <c r="F886" t="s">
        <v>114</v>
      </c>
    </row>
    <row r="887" spans="1:6">
      <c r="A887" t="s">
        <v>6</v>
      </c>
      <c r="B887" s="1">
        <v>45855.397789351853</v>
      </c>
      <c r="C887">
        <v>30002</v>
      </c>
      <c r="D887" t="s">
        <v>7</v>
      </c>
      <c r="E887" t="s">
        <v>138</v>
      </c>
      <c r="F887" t="s">
        <v>114</v>
      </c>
    </row>
    <row r="888" spans="1:6">
      <c r="A888" t="s">
        <v>6</v>
      </c>
      <c r="B888" s="1">
        <v>45855.397476851853</v>
      </c>
      <c r="C888">
        <v>30002</v>
      </c>
      <c r="D888" t="s">
        <v>7</v>
      </c>
      <c r="E888" t="s">
        <v>138</v>
      </c>
      <c r="F888" t="s">
        <v>114</v>
      </c>
    </row>
    <row r="889" spans="1:6">
      <c r="A889" t="s">
        <v>6</v>
      </c>
      <c r="B889" s="1">
        <v>45855.39702546296</v>
      </c>
      <c r="C889">
        <v>30002</v>
      </c>
      <c r="D889" t="s">
        <v>7</v>
      </c>
      <c r="E889" t="s">
        <v>138</v>
      </c>
      <c r="F889" t="s">
        <v>114</v>
      </c>
    </row>
    <row r="890" spans="1:6">
      <c r="A890" t="s">
        <v>6</v>
      </c>
      <c r="B890" s="1">
        <v>45855.396481481483</v>
      </c>
      <c r="C890">
        <v>30002</v>
      </c>
      <c r="D890" t="s">
        <v>7</v>
      </c>
      <c r="E890" t="s">
        <v>138</v>
      </c>
      <c r="F890" t="s">
        <v>114</v>
      </c>
    </row>
    <row r="891" spans="1:6">
      <c r="A891" t="s">
        <v>6</v>
      </c>
      <c r="B891" s="1">
        <v>45855.396041666667</v>
      </c>
      <c r="C891">
        <v>30002</v>
      </c>
      <c r="D891" t="s">
        <v>7</v>
      </c>
      <c r="E891" t="s">
        <v>138</v>
      </c>
      <c r="F891" t="s">
        <v>114</v>
      </c>
    </row>
    <row r="892" spans="1:6">
      <c r="A892" t="s">
        <v>6</v>
      </c>
      <c r="B892" s="1">
        <v>45855.394502314812</v>
      </c>
      <c r="C892">
        <v>30002</v>
      </c>
      <c r="D892" t="s">
        <v>7</v>
      </c>
      <c r="E892" t="s">
        <v>138</v>
      </c>
      <c r="F892" t="s">
        <v>114</v>
      </c>
    </row>
    <row r="893" spans="1:6">
      <c r="A893" t="s">
        <v>6</v>
      </c>
      <c r="B893" s="1">
        <v>45855.394189814811</v>
      </c>
      <c r="C893">
        <v>30002</v>
      </c>
      <c r="D893" t="s">
        <v>7</v>
      </c>
      <c r="E893" t="s">
        <v>138</v>
      </c>
      <c r="F893" t="s">
        <v>114</v>
      </c>
    </row>
    <row r="894" spans="1:6">
      <c r="A894" t="s">
        <v>6</v>
      </c>
      <c r="B894" s="1">
        <v>45852.543680555558</v>
      </c>
      <c r="C894">
        <v>30002</v>
      </c>
      <c r="D894" t="s">
        <v>7</v>
      </c>
      <c r="E894" t="s">
        <v>138</v>
      </c>
      <c r="F894" t="s">
        <v>11</v>
      </c>
    </row>
    <row r="895" spans="1:6">
      <c r="A895" t="s">
        <v>6</v>
      </c>
      <c r="B895" s="1">
        <v>45852.54105324074</v>
      </c>
      <c r="C895">
        <v>30002</v>
      </c>
      <c r="D895" t="s">
        <v>7</v>
      </c>
      <c r="E895" t="s">
        <v>138</v>
      </c>
      <c r="F895" t="s">
        <v>11</v>
      </c>
    </row>
    <row r="896" spans="1:6">
      <c r="A896" t="s">
        <v>6</v>
      </c>
      <c r="B896" s="1">
        <v>45847.328900462962</v>
      </c>
      <c r="C896">
        <v>30002</v>
      </c>
      <c r="D896" t="s">
        <v>7</v>
      </c>
      <c r="E896" t="s">
        <v>138</v>
      </c>
      <c r="F896" t="s">
        <v>11</v>
      </c>
    </row>
    <row r="897" spans="1:6">
      <c r="A897" t="s">
        <v>6</v>
      </c>
      <c r="B897" s="1">
        <v>45847.327928240738</v>
      </c>
      <c r="C897">
        <v>30002</v>
      </c>
      <c r="D897" t="s">
        <v>7</v>
      </c>
      <c r="E897" t="s">
        <v>138</v>
      </c>
      <c r="F897" t="s">
        <v>11</v>
      </c>
    </row>
    <row r="898" spans="1:6">
      <c r="A898" t="s">
        <v>6</v>
      </c>
      <c r="B898" s="1">
        <v>45847.327870370369</v>
      </c>
      <c r="C898">
        <v>30002</v>
      </c>
      <c r="D898" t="s">
        <v>7</v>
      </c>
      <c r="E898" t="s">
        <v>138</v>
      </c>
      <c r="F898" t="s">
        <v>11</v>
      </c>
    </row>
    <row r="899" spans="1:6">
      <c r="A899" t="s">
        <v>6</v>
      </c>
      <c r="B899" s="1">
        <v>45847.327627314815</v>
      </c>
      <c r="C899">
        <v>30002</v>
      </c>
      <c r="D899" t="s">
        <v>7</v>
      </c>
      <c r="E899" t="s">
        <v>138</v>
      </c>
      <c r="F899" t="s">
        <v>11</v>
      </c>
    </row>
    <row r="900" spans="1:6">
      <c r="A900" t="s">
        <v>6</v>
      </c>
      <c r="B900" s="1">
        <v>45847.327546296299</v>
      </c>
      <c r="C900">
        <v>30002</v>
      </c>
      <c r="D900" t="s">
        <v>7</v>
      </c>
      <c r="E900" t="s">
        <v>138</v>
      </c>
      <c r="F900" t="s">
        <v>11</v>
      </c>
    </row>
    <row r="901" spans="1:6">
      <c r="A901" t="s">
        <v>6</v>
      </c>
      <c r="B901" s="1">
        <v>45847.327361111114</v>
      </c>
      <c r="C901">
        <v>30002</v>
      </c>
      <c r="D901" t="s">
        <v>7</v>
      </c>
      <c r="E901" t="s">
        <v>138</v>
      </c>
      <c r="F901" t="s">
        <v>11</v>
      </c>
    </row>
    <row r="902" spans="1:6">
      <c r="A902" t="s">
        <v>6</v>
      </c>
      <c r="B902" s="1">
        <v>45840.646539351852</v>
      </c>
      <c r="C902">
        <v>30002</v>
      </c>
      <c r="D902" t="s">
        <v>7</v>
      </c>
      <c r="E902" t="s">
        <v>138</v>
      </c>
      <c r="F902" t="s">
        <v>11</v>
      </c>
    </row>
    <row r="903" spans="1:6">
      <c r="A903" t="s">
        <v>6</v>
      </c>
      <c r="B903" s="1">
        <v>45840.635428240741</v>
      </c>
      <c r="C903">
        <v>30002</v>
      </c>
      <c r="D903" t="s">
        <v>7</v>
      </c>
      <c r="E903" t="s">
        <v>138</v>
      </c>
      <c r="F903" t="s">
        <v>11</v>
      </c>
    </row>
    <row r="904" spans="1:6">
      <c r="A904" t="s">
        <v>6</v>
      </c>
      <c r="B904" s="1">
        <v>45840.634548611109</v>
      </c>
      <c r="C904">
        <v>30002</v>
      </c>
      <c r="D904" t="s">
        <v>7</v>
      </c>
      <c r="E904" t="s">
        <v>138</v>
      </c>
      <c r="F904" t="s">
        <v>11</v>
      </c>
    </row>
    <row r="905" spans="1:6">
      <c r="A905" t="s">
        <v>6</v>
      </c>
      <c r="B905" s="1">
        <v>45840.633912037039</v>
      </c>
      <c r="C905">
        <v>30002</v>
      </c>
      <c r="D905" t="s">
        <v>7</v>
      </c>
      <c r="E905" t="s">
        <v>138</v>
      </c>
      <c r="F905" t="s">
        <v>11</v>
      </c>
    </row>
    <row r="906" spans="1:6">
      <c r="A906" t="s">
        <v>6</v>
      </c>
      <c r="B906" s="1">
        <v>45840.333449074074</v>
      </c>
      <c r="C906">
        <v>30002</v>
      </c>
      <c r="D906" t="s">
        <v>7</v>
      </c>
      <c r="E906" t="s">
        <v>138</v>
      </c>
      <c r="F906" t="s">
        <v>11</v>
      </c>
    </row>
    <row r="907" spans="1:6">
      <c r="A907" t="s">
        <v>6</v>
      </c>
      <c r="B907" s="1">
        <v>45840.54278935185</v>
      </c>
      <c r="C907">
        <v>30002</v>
      </c>
      <c r="D907" t="s">
        <v>7</v>
      </c>
      <c r="E907" t="s">
        <v>139</v>
      </c>
      <c r="F907" t="s">
        <v>103</v>
      </c>
    </row>
    <row r="908" spans="1:6">
      <c r="A908" t="s">
        <v>6</v>
      </c>
      <c r="B908" s="1">
        <v>45840.522581018522</v>
      </c>
      <c r="C908">
        <v>30002</v>
      </c>
      <c r="D908" t="s">
        <v>7</v>
      </c>
      <c r="E908" t="s">
        <v>139</v>
      </c>
      <c r="F908" t="s">
        <v>103</v>
      </c>
    </row>
    <row r="909" spans="1:6">
      <c r="A909" t="s">
        <v>6</v>
      </c>
      <c r="B909" s="1">
        <v>45840.518969907411</v>
      </c>
      <c r="C909">
        <v>30002</v>
      </c>
      <c r="D909" t="s">
        <v>7</v>
      </c>
      <c r="E909" t="s">
        <v>139</v>
      </c>
      <c r="F909" t="s">
        <v>103</v>
      </c>
    </row>
    <row r="910" spans="1:6">
      <c r="A910" t="s">
        <v>6</v>
      </c>
      <c r="B910" s="1">
        <v>45840.515844907408</v>
      </c>
      <c r="C910">
        <v>30002</v>
      </c>
      <c r="D910" t="s">
        <v>7</v>
      </c>
      <c r="E910" t="s">
        <v>139</v>
      </c>
      <c r="F910" t="s">
        <v>103</v>
      </c>
    </row>
    <row r="911" spans="1:6">
      <c r="A911" t="s">
        <v>6</v>
      </c>
      <c r="B911" s="1">
        <v>45840.512326388889</v>
      </c>
      <c r="C911">
        <v>30002</v>
      </c>
      <c r="D911" t="s">
        <v>7</v>
      </c>
      <c r="E911" t="s">
        <v>139</v>
      </c>
      <c r="F911" t="s">
        <v>103</v>
      </c>
    </row>
    <row r="912" spans="1:6">
      <c r="A912" t="s">
        <v>6</v>
      </c>
      <c r="B912" s="1">
        <v>45840.511631944442</v>
      </c>
      <c r="C912">
        <v>30002</v>
      </c>
      <c r="D912" t="s">
        <v>7</v>
      </c>
      <c r="E912" t="s">
        <v>139</v>
      </c>
      <c r="F912" t="s">
        <v>103</v>
      </c>
    </row>
    <row r="913" spans="1:6">
      <c r="A913" t="s">
        <v>6</v>
      </c>
      <c r="B913" s="1">
        <v>45840.511493055557</v>
      </c>
      <c r="C913">
        <v>30002</v>
      </c>
      <c r="D913" t="s">
        <v>7</v>
      </c>
      <c r="E913" t="s">
        <v>139</v>
      </c>
      <c r="F913" t="s">
        <v>103</v>
      </c>
    </row>
    <row r="914" spans="1:6">
      <c r="A914" t="s">
        <v>6</v>
      </c>
      <c r="B914" s="1">
        <v>45860.701724537037</v>
      </c>
      <c r="C914">
        <v>30002</v>
      </c>
      <c r="D914" t="s">
        <v>7</v>
      </c>
      <c r="E914" t="s">
        <v>139</v>
      </c>
      <c r="F914" t="s">
        <v>36</v>
      </c>
    </row>
    <row r="915" spans="1:6">
      <c r="A915" t="s">
        <v>6</v>
      </c>
      <c r="B915" s="1">
        <v>45860.421365740738</v>
      </c>
      <c r="C915">
        <v>30002</v>
      </c>
      <c r="D915" t="s">
        <v>7</v>
      </c>
      <c r="E915" t="s">
        <v>139</v>
      </c>
      <c r="F915" t="s">
        <v>36</v>
      </c>
    </row>
    <row r="916" spans="1:6">
      <c r="A916" t="s">
        <v>6</v>
      </c>
      <c r="B916" s="1">
        <v>45859.491574074076</v>
      </c>
      <c r="C916">
        <v>30002</v>
      </c>
      <c r="D916" t="s">
        <v>7</v>
      </c>
      <c r="E916" t="s">
        <v>139</v>
      </c>
      <c r="F916" t="s">
        <v>36</v>
      </c>
    </row>
    <row r="917" spans="1:6">
      <c r="A917" t="s">
        <v>6</v>
      </c>
      <c r="B917" s="1">
        <v>45856.779872685183</v>
      </c>
      <c r="C917">
        <v>30002</v>
      </c>
      <c r="D917" t="s">
        <v>7</v>
      </c>
      <c r="E917" t="s">
        <v>139</v>
      </c>
      <c r="F917" t="s">
        <v>36</v>
      </c>
    </row>
    <row r="918" spans="1:6">
      <c r="A918" t="s">
        <v>6</v>
      </c>
      <c r="B918" s="1">
        <v>45853.589675925927</v>
      </c>
      <c r="C918">
        <v>30002</v>
      </c>
      <c r="D918" t="s">
        <v>7</v>
      </c>
      <c r="E918" t="s">
        <v>139</v>
      </c>
      <c r="F918" t="s">
        <v>36</v>
      </c>
    </row>
    <row r="919" spans="1:6">
      <c r="A919" t="s">
        <v>6</v>
      </c>
      <c r="B919" s="1">
        <v>45853.570162037038</v>
      </c>
      <c r="C919">
        <v>30002</v>
      </c>
      <c r="D919" t="s">
        <v>7</v>
      </c>
      <c r="E919" t="s">
        <v>139</v>
      </c>
      <c r="F919" t="s">
        <v>36</v>
      </c>
    </row>
    <row r="920" spans="1:6">
      <c r="A920" t="s">
        <v>6</v>
      </c>
      <c r="B920" s="1">
        <v>45853.569525462961</v>
      </c>
      <c r="C920">
        <v>30002</v>
      </c>
      <c r="D920" t="s">
        <v>7</v>
      </c>
      <c r="E920" t="s">
        <v>139</v>
      </c>
      <c r="F920" t="s">
        <v>36</v>
      </c>
    </row>
    <row r="921" spans="1:6">
      <c r="A921" t="s">
        <v>6</v>
      </c>
      <c r="B921" s="1">
        <v>45853.568819444445</v>
      </c>
      <c r="C921">
        <v>30002</v>
      </c>
      <c r="D921" t="s">
        <v>7</v>
      </c>
      <c r="E921" t="s">
        <v>139</v>
      </c>
      <c r="F921" t="s">
        <v>36</v>
      </c>
    </row>
    <row r="922" spans="1:6">
      <c r="A922" t="s">
        <v>6</v>
      </c>
      <c r="B922" s="1">
        <v>45847.774409722224</v>
      </c>
      <c r="C922">
        <v>30002</v>
      </c>
      <c r="D922" t="s">
        <v>7</v>
      </c>
      <c r="E922" t="s">
        <v>139</v>
      </c>
      <c r="F922" t="s">
        <v>36</v>
      </c>
    </row>
    <row r="923" spans="1:6">
      <c r="A923" t="s">
        <v>6</v>
      </c>
      <c r="B923" s="1">
        <v>45847.757997685185</v>
      </c>
      <c r="C923">
        <v>30002</v>
      </c>
      <c r="D923" t="s">
        <v>7</v>
      </c>
      <c r="E923" t="s">
        <v>139</v>
      </c>
      <c r="F923" t="s">
        <v>36</v>
      </c>
    </row>
    <row r="924" spans="1:6">
      <c r="A924" t="s">
        <v>6</v>
      </c>
      <c r="B924" s="1">
        <v>45847.430995370371</v>
      </c>
      <c r="C924">
        <v>30002</v>
      </c>
      <c r="D924" t="s">
        <v>7</v>
      </c>
      <c r="E924" t="s">
        <v>139</v>
      </c>
      <c r="F924" t="s">
        <v>36</v>
      </c>
    </row>
    <row r="925" spans="1:6">
      <c r="A925" t="s">
        <v>6</v>
      </c>
      <c r="B925" s="1">
        <v>45845.621828703705</v>
      </c>
      <c r="C925">
        <v>30002</v>
      </c>
      <c r="D925" t="s">
        <v>7</v>
      </c>
      <c r="E925" t="s">
        <v>139</v>
      </c>
      <c r="F925" t="s">
        <v>36</v>
      </c>
    </row>
    <row r="926" spans="1:6">
      <c r="A926" t="s">
        <v>6</v>
      </c>
      <c r="B926" s="1">
        <v>45839.495312500003</v>
      </c>
      <c r="C926">
        <v>30002</v>
      </c>
      <c r="D926" t="s">
        <v>7</v>
      </c>
      <c r="E926" t="s">
        <v>139</v>
      </c>
      <c r="F926" t="s">
        <v>36</v>
      </c>
    </row>
    <row r="927" spans="1:6">
      <c r="A927" t="s">
        <v>6</v>
      </c>
      <c r="B927" s="1">
        <v>45867.341157407405</v>
      </c>
      <c r="C927">
        <v>30002</v>
      </c>
      <c r="D927" t="s">
        <v>7</v>
      </c>
      <c r="E927" t="s">
        <v>139</v>
      </c>
      <c r="F927" t="s">
        <v>27</v>
      </c>
    </row>
    <row r="928" spans="1:6">
      <c r="A928" t="s">
        <v>6</v>
      </c>
      <c r="B928" s="1">
        <v>45862.663599537038</v>
      </c>
      <c r="C928">
        <v>30002</v>
      </c>
      <c r="D928" t="s">
        <v>7</v>
      </c>
      <c r="E928" t="s">
        <v>139</v>
      </c>
      <c r="F928" t="s">
        <v>27</v>
      </c>
    </row>
    <row r="929" spans="1:6">
      <c r="A929" t="s">
        <v>6</v>
      </c>
      <c r="B929" s="1">
        <v>45862.662534722222</v>
      </c>
      <c r="C929">
        <v>30002</v>
      </c>
      <c r="D929" t="s">
        <v>7</v>
      </c>
      <c r="E929" t="s">
        <v>139</v>
      </c>
      <c r="F929" t="s">
        <v>27</v>
      </c>
    </row>
    <row r="930" spans="1:6">
      <c r="A930" t="s">
        <v>6</v>
      </c>
      <c r="B930" s="1">
        <v>45862.53733796296</v>
      </c>
      <c r="C930">
        <v>30002</v>
      </c>
      <c r="D930" t="s">
        <v>7</v>
      </c>
      <c r="E930" t="s">
        <v>139</v>
      </c>
      <c r="F930" t="s">
        <v>27</v>
      </c>
    </row>
    <row r="931" spans="1:6">
      <c r="A931" t="s">
        <v>6</v>
      </c>
      <c r="B931" s="1">
        <v>45852.403726851851</v>
      </c>
      <c r="C931">
        <v>30002</v>
      </c>
      <c r="D931" t="s">
        <v>7</v>
      </c>
      <c r="E931" t="s">
        <v>139</v>
      </c>
      <c r="F931" t="s">
        <v>27</v>
      </c>
    </row>
    <row r="932" spans="1:6">
      <c r="A932" t="s">
        <v>6</v>
      </c>
      <c r="B932" s="1">
        <v>45852.388333333336</v>
      </c>
      <c r="C932">
        <v>30002</v>
      </c>
      <c r="D932" t="s">
        <v>7</v>
      </c>
      <c r="E932" t="s">
        <v>139</v>
      </c>
      <c r="F932" t="s">
        <v>27</v>
      </c>
    </row>
    <row r="933" spans="1:6">
      <c r="A933" t="s">
        <v>6</v>
      </c>
      <c r="B933" s="1">
        <v>45852.341585648152</v>
      </c>
      <c r="C933">
        <v>30002</v>
      </c>
      <c r="D933" t="s">
        <v>7</v>
      </c>
      <c r="E933" t="s">
        <v>139</v>
      </c>
      <c r="F933" t="s">
        <v>27</v>
      </c>
    </row>
    <row r="934" spans="1:6">
      <c r="A934" t="s">
        <v>6</v>
      </c>
      <c r="B934" s="1">
        <v>45852.33525462963</v>
      </c>
      <c r="C934">
        <v>30002</v>
      </c>
      <c r="D934" t="s">
        <v>7</v>
      </c>
      <c r="E934" t="s">
        <v>139</v>
      </c>
      <c r="F934" t="s">
        <v>27</v>
      </c>
    </row>
    <row r="935" spans="1:6">
      <c r="A935" t="s">
        <v>6</v>
      </c>
      <c r="B935" s="1">
        <v>45849.448807870373</v>
      </c>
      <c r="C935">
        <v>30002</v>
      </c>
      <c r="D935" t="s">
        <v>7</v>
      </c>
      <c r="E935" t="s">
        <v>139</v>
      </c>
      <c r="F935" t="s">
        <v>27</v>
      </c>
    </row>
    <row r="936" spans="1:6">
      <c r="A936" t="s">
        <v>6</v>
      </c>
      <c r="B936" s="1">
        <v>45849.447766203702</v>
      </c>
      <c r="C936">
        <v>30002</v>
      </c>
      <c r="D936" t="s">
        <v>7</v>
      </c>
      <c r="E936" t="s">
        <v>139</v>
      </c>
      <c r="F936" t="s">
        <v>27</v>
      </c>
    </row>
    <row r="937" spans="1:6">
      <c r="A937" t="s">
        <v>6</v>
      </c>
      <c r="B937" s="1">
        <v>45849.429363425923</v>
      </c>
      <c r="C937">
        <v>30002</v>
      </c>
      <c r="D937" t="s">
        <v>7</v>
      </c>
      <c r="E937" t="s">
        <v>139</v>
      </c>
      <c r="F937" t="s">
        <v>27</v>
      </c>
    </row>
    <row r="938" spans="1:6">
      <c r="A938" t="s">
        <v>6</v>
      </c>
      <c r="B938" s="1">
        <v>45849.428935185184</v>
      </c>
      <c r="C938">
        <v>30002</v>
      </c>
      <c r="D938" t="s">
        <v>7</v>
      </c>
      <c r="E938" t="s">
        <v>139</v>
      </c>
      <c r="F938" t="s">
        <v>27</v>
      </c>
    </row>
    <row r="939" spans="1:6">
      <c r="A939" t="s">
        <v>6</v>
      </c>
      <c r="B939" s="1">
        <v>45840.407500000001</v>
      </c>
      <c r="C939">
        <v>30002</v>
      </c>
      <c r="D939" t="s">
        <v>7</v>
      </c>
      <c r="E939" t="s">
        <v>139</v>
      </c>
      <c r="F939" t="s">
        <v>27</v>
      </c>
    </row>
    <row r="940" spans="1:6">
      <c r="A940" t="s">
        <v>6</v>
      </c>
      <c r="B940" s="1">
        <v>45840.406354166669</v>
      </c>
      <c r="C940">
        <v>30002</v>
      </c>
      <c r="D940" t="s">
        <v>7</v>
      </c>
      <c r="E940" t="s">
        <v>139</v>
      </c>
      <c r="F940" t="s">
        <v>27</v>
      </c>
    </row>
    <row r="941" spans="1:6">
      <c r="A941" t="s">
        <v>6</v>
      </c>
      <c r="B941" s="1">
        <v>45853.318402777775</v>
      </c>
      <c r="C941">
        <v>30002</v>
      </c>
      <c r="D941" t="s">
        <v>7</v>
      </c>
      <c r="E941" t="s">
        <v>139</v>
      </c>
      <c r="F941" t="s">
        <v>11</v>
      </c>
    </row>
    <row r="942" spans="1:6">
      <c r="A942" t="s">
        <v>6</v>
      </c>
      <c r="B942" s="1">
        <v>45853.318182870367</v>
      </c>
      <c r="C942">
        <v>30002</v>
      </c>
      <c r="D942" t="s">
        <v>7</v>
      </c>
      <c r="E942" t="s">
        <v>139</v>
      </c>
      <c r="F942" t="s">
        <v>11</v>
      </c>
    </row>
    <row r="943" spans="1:6">
      <c r="A943" t="s">
        <v>6</v>
      </c>
      <c r="B943" s="1">
        <v>45840.367476851854</v>
      </c>
      <c r="C943">
        <v>30002</v>
      </c>
      <c r="D943" t="s">
        <v>7</v>
      </c>
      <c r="E943" t="s">
        <v>139</v>
      </c>
      <c r="F943" t="s">
        <v>11</v>
      </c>
    </row>
    <row r="944" spans="1:6">
      <c r="A944" t="s">
        <v>6</v>
      </c>
      <c r="B944" s="1">
        <v>45840.359988425924</v>
      </c>
      <c r="C944">
        <v>30002</v>
      </c>
      <c r="D944" t="s">
        <v>7</v>
      </c>
      <c r="E944" t="s">
        <v>139</v>
      </c>
      <c r="F944" t="s">
        <v>11</v>
      </c>
    </row>
    <row r="945" spans="1:6">
      <c r="A945" t="s">
        <v>6</v>
      </c>
      <c r="B945" s="1">
        <v>45840.359884259262</v>
      </c>
      <c r="C945">
        <v>30002</v>
      </c>
      <c r="D945" t="s">
        <v>7</v>
      </c>
      <c r="E945" t="s">
        <v>139</v>
      </c>
      <c r="F945" t="s">
        <v>11</v>
      </c>
    </row>
    <row r="946" spans="1:6">
      <c r="A946" t="s">
        <v>6</v>
      </c>
      <c r="B946" s="1">
        <v>45840.359317129631</v>
      </c>
      <c r="C946">
        <v>30002</v>
      </c>
      <c r="D946" t="s">
        <v>7</v>
      </c>
      <c r="E946" t="s">
        <v>139</v>
      </c>
      <c r="F946" t="s">
        <v>11</v>
      </c>
    </row>
    <row r="947" spans="1:6">
      <c r="A947" t="s">
        <v>6</v>
      </c>
      <c r="B947" s="1">
        <v>45840.51152777778</v>
      </c>
      <c r="C947">
        <v>30002</v>
      </c>
      <c r="D947" t="s">
        <v>7</v>
      </c>
      <c r="E947" t="s">
        <v>140</v>
      </c>
      <c r="F947" t="s">
        <v>101</v>
      </c>
    </row>
    <row r="948" spans="1:6">
      <c r="A948" t="s">
        <v>6</v>
      </c>
      <c r="B948" s="1">
        <v>45840.499768518515</v>
      </c>
      <c r="C948">
        <v>30002</v>
      </c>
      <c r="D948" t="s">
        <v>7</v>
      </c>
      <c r="E948" t="s">
        <v>140</v>
      </c>
      <c r="F948" t="s">
        <v>101</v>
      </c>
    </row>
    <row r="949" spans="1:6">
      <c r="A949" t="s">
        <v>6</v>
      </c>
      <c r="B949" s="1">
        <v>45840.499479166669</v>
      </c>
      <c r="C949">
        <v>30002</v>
      </c>
      <c r="D949" t="s">
        <v>7</v>
      </c>
      <c r="E949" t="s">
        <v>140</v>
      </c>
      <c r="F949" t="s">
        <v>101</v>
      </c>
    </row>
    <row r="950" spans="1:6">
      <c r="A950" t="s">
        <v>6</v>
      </c>
      <c r="B950" s="1">
        <v>45840.489421296297</v>
      </c>
      <c r="C950">
        <v>30002</v>
      </c>
      <c r="D950" t="s">
        <v>7</v>
      </c>
      <c r="E950" t="s">
        <v>140</v>
      </c>
      <c r="F950" t="s">
        <v>101</v>
      </c>
    </row>
    <row r="951" spans="1:6">
      <c r="A951" t="s">
        <v>6</v>
      </c>
      <c r="B951" s="1">
        <v>45840.488807870373</v>
      </c>
      <c r="C951">
        <v>30002</v>
      </c>
      <c r="D951" t="s">
        <v>7</v>
      </c>
      <c r="E951" t="s">
        <v>140</v>
      </c>
      <c r="F951" t="s">
        <v>101</v>
      </c>
    </row>
    <row r="952" spans="1:6">
      <c r="A952" t="s">
        <v>6</v>
      </c>
      <c r="B952" s="1">
        <v>45840.488680555558</v>
      </c>
      <c r="C952">
        <v>30002</v>
      </c>
      <c r="D952" t="s">
        <v>7</v>
      </c>
      <c r="E952" t="s">
        <v>140</v>
      </c>
      <c r="F952" t="s">
        <v>101</v>
      </c>
    </row>
    <row r="953" spans="1:6">
      <c r="A953" t="s">
        <v>6</v>
      </c>
      <c r="B953" s="1">
        <v>45840.488344907404</v>
      </c>
      <c r="C953">
        <v>30002</v>
      </c>
      <c r="D953" t="s">
        <v>7</v>
      </c>
      <c r="E953" t="s">
        <v>140</v>
      </c>
      <c r="F953" t="s">
        <v>101</v>
      </c>
    </row>
    <row r="954" spans="1:6">
      <c r="A954" t="s">
        <v>6</v>
      </c>
      <c r="B954" s="1">
        <v>45840.487314814818</v>
      </c>
      <c r="C954">
        <v>30002</v>
      </c>
      <c r="D954" t="s">
        <v>7</v>
      </c>
      <c r="E954" t="s">
        <v>140</v>
      </c>
      <c r="F954" t="s">
        <v>101</v>
      </c>
    </row>
    <row r="955" spans="1:6">
      <c r="A955" t="s">
        <v>6</v>
      </c>
      <c r="B955" s="1">
        <v>45840.486979166664</v>
      </c>
      <c r="C955">
        <v>30002</v>
      </c>
      <c r="D955" t="s">
        <v>7</v>
      </c>
      <c r="E955" t="s">
        <v>140</v>
      </c>
      <c r="F955" t="s">
        <v>101</v>
      </c>
    </row>
    <row r="956" spans="1:6">
      <c r="A956" t="s">
        <v>6</v>
      </c>
      <c r="B956" s="1">
        <v>45840.486168981479</v>
      </c>
      <c r="C956">
        <v>30002</v>
      </c>
      <c r="D956" t="s">
        <v>7</v>
      </c>
      <c r="E956" t="s">
        <v>140</v>
      </c>
      <c r="F956" t="s">
        <v>101</v>
      </c>
    </row>
    <row r="957" spans="1:6">
      <c r="A957" t="s">
        <v>6</v>
      </c>
      <c r="B957" s="1">
        <v>45867.428611111114</v>
      </c>
      <c r="C957">
        <v>30002</v>
      </c>
      <c r="D957" t="s">
        <v>7</v>
      </c>
      <c r="E957" t="s">
        <v>140</v>
      </c>
      <c r="F957" t="s">
        <v>13</v>
      </c>
    </row>
    <row r="958" spans="1:6">
      <c r="A958" t="s">
        <v>6</v>
      </c>
      <c r="B958" s="1">
        <v>45848.454629629632</v>
      </c>
      <c r="C958">
        <v>30002</v>
      </c>
      <c r="D958" t="s">
        <v>7</v>
      </c>
      <c r="E958" t="s">
        <v>140</v>
      </c>
      <c r="F958" t="s">
        <v>13</v>
      </c>
    </row>
    <row r="959" spans="1:6">
      <c r="A959" t="s">
        <v>6</v>
      </c>
      <c r="B959" s="1">
        <v>45848.449236111112</v>
      </c>
      <c r="C959">
        <v>30002</v>
      </c>
      <c r="D959" t="s">
        <v>7</v>
      </c>
      <c r="E959" t="s">
        <v>140</v>
      </c>
      <c r="F959" t="s">
        <v>13</v>
      </c>
    </row>
    <row r="960" spans="1:6">
      <c r="A960" t="s">
        <v>6</v>
      </c>
      <c r="B960" s="1">
        <v>45848.443865740737</v>
      </c>
      <c r="C960">
        <v>30002</v>
      </c>
      <c r="D960" t="s">
        <v>7</v>
      </c>
      <c r="E960" t="s">
        <v>140</v>
      </c>
      <c r="F960" t="s">
        <v>13</v>
      </c>
    </row>
    <row r="961" spans="1:6">
      <c r="A961" t="s">
        <v>6</v>
      </c>
      <c r="B961" s="1">
        <v>45839.400196759256</v>
      </c>
      <c r="C961">
        <v>30002</v>
      </c>
      <c r="D961" t="s">
        <v>7</v>
      </c>
      <c r="E961" t="s">
        <v>140</v>
      </c>
      <c r="F961" t="s">
        <v>13</v>
      </c>
    </row>
    <row r="962" spans="1:6">
      <c r="A962" t="s">
        <v>6</v>
      </c>
      <c r="B962" s="1">
        <v>45869.609710648147</v>
      </c>
      <c r="C962">
        <v>30002</v>
      </c>
      <c r="D962" t="s">
        <v>7</v>
      </c>
      <c r="E962" t="s">
        <v>140</v>
      </c>
      <c r="F962" t="s">
        <v>141</v>
      </c>
    </row>
    <row r="963" spans="1:6">
      <c r="A963" t="s">
        <v>6</v>
      </c>
      <c r="B963" s="1">
        <v>45851.531458333331</v>
      </c>
      <c r="C963">
        <v>30002</v>
      </c>
      <c r="D963" t="s">
        <v>7</v>
      </c>
      <c r="E963" t="s">
        <v>140</v>
      </c>
      <c r="F963" t="s">
        <v>18</v>
      </c>
    </row>
    <row r="964" spans="1:6">
      <c r="A964" t="s">
        <v>6</v>
      </c>
      <c r="B964" s="1">
        <v>45869.750300925924</v>
      </c>
      <c r="C964">
        <v>30002</v>
      </c>
      <c r="D964" t="s">
        <v>7</v>
      </c>
      <c r="E964" t="s">
        <v>140</v>
      </c>
      <c r="F964" t="s">
        <v>103</v>
      </c>
    </row>
    <row r="965" spans="1:6">
      <c r="A965" t="s">
        <v>6</v>
      </c>
      <c r="B965" s="1">
        <v>45861.224305555559</v>
      </c>
      <c r="C965">
        <v>30002</v>
      </c>
      <c r="D965" t="s">
        <v>7</v>
      </c>
      <c r="E965" t="s">
        <v>140</v>
      </c>
      <c r="F965" t="s">
        <v>103</v>
      </c>
    </row>
    <row r="966" spans="1:6">
      <c r="A966" t="s">
        <v>6</v>
      </c>
      <c r="B966" s="1">
        <v>45859.231412037036</v>
      </c>
      <c r="C966">
        <v>30002</v>
      </c>
      <c r="D966" t="s">
        <v>7</v>
      </c>
      <c r="E966" t="s">
        <v>140</v>
      </c>
      <c r="F966" t="s">
        <v>103</v>
      </c>
    </row>
    <row r="967" spans="1:6">
      <c r="A967" t="s">
        <v>6</v>
      </c>
      <c r="B967" s="1">
        <v>45841.360543981478</v>
      </c>
      <c r="C967">
        <v>30002</v>
      </c>
      <c r="D967" t="s">
        <v>7</v>
      </c>
      <c r="E967" t="s">
        <v>140</v>
      </c>
      <c r="F967" t="s">
        <v>103</v>
      </c>
    </row>
    <row r="968" spans="1:6">
      <c r="A968" t="s">
        <v>6</v>
      </c>
      <c r="B968" s="1">
        <v>45840.547106481485</v>
      </c>
      <c r="C968">
        <v>30002</v>
      </c>
      <c r="D968" t="s">
        <v>7</v>
      </c>
      <c r="E968" t="s">
        <v>140</v>
      </c>
      <c r="F968" t="s">
        <v>103</v>
      </c>
    </row>
    <row r="969" spans="1:6">
      <c r="A969" t="s">
        <v>6</v>
      </c>
      <c r="B969" s="1">
        <v>45839.533587962964</v>
      </c>
      <c r="C969">
        <v>30002</v>
      </c>
      <c r="D969" t="s">
        <v>7</v>
      </c>
      <c r="E969" t="s">
        <v>140</v>
      </c>
      <c r="F969" t="s">
        <v>103</v>
      </c>
    </row>
    <row r="970" spans="1:6">
      <c r="A970" t="s">
        <v>6</v>
      </c>
      <c r="B970" s="1">
        <v>45839.52003472222</v>
      </c>
      <c r="C970">
        <v>30002</v>
      </c>
      <c r="D970" t="s">
        <v>7</v>
      </c>
      <c r="E970" t="s">
        <v>140</v>
      </c>
      <c r="F970" t="s">
        <v>103</v>
      </c>
    </row>
    <row r="971" spans="1:6">
      <c r="A971" t="s">
        <v>6</v>
      </c>
      <c r="B971" s="1">
        <v>45839.51116898148</v>
      </c>
      <c r="C971">
        <v>30002</v>
      </c>
      <c r="D971" t="s">
        <v>7</v>
      </c>
      <c r="E971" t="s">
        <v>140</v>
      </c>
      <c r="F971" t="s">
        <v>103</v>
      </c>
    </row>
    <row r="972" spans="1:6">
      <c r="A972" t="s">
        <v>6</v>
      </c>
      <c r="B972" s="1">
        <v>45839.508125</v>
      </c>
      <c r="C972">
        <v>30002</v>
      </c>
      <c r="D972" t="s">
        <v>7</v>
      </c>
      <c r="E972" t="s">
        <v>140</v>
      </c>
      <c r="F972" t="s">
        <v>103</v>
      </c>
    </row>
    <row r="973" spans="1:6">
      <c r="A973" t="s">
        <v>6</v>
      </c>
      <c r="B973" s="1">
        <v>45839.49417824074</v>
      </c>
      <c r="C973">
        <v>30002</v>
      </c>
      <c r="D973" t="s">
        <v>7</v>
      </c>
      <c r="E973" t="s">
        <v>140</v>
      </c>
      <c r="F973" t="s">
        <v>103</v>
      </c>
    </row>
    <row r="974" spans="1:6">
      <c r="A974" t="s">
        <v>6</v>
      </c>
      <c r="B974" s="1">
        <v>45862.268067129633</v>
      </c>
      <c r="C974">
        <v>30002</v>
      </c>
      <c r="D974" t="s">
        <v>7</v>
      </c>
      <c r="E974" t="s">
        <v>140</v>
      </c>
      <c r="F974" t="s">
        <v>19</v>
      </c>
    </row>
    <row r="975" spans="1:6">
      <c r="A975" t="s">
        <v>6</v>
      </c>
      <c r="B975" s="1">
        <v>45841.290497685186</v>
      </c>
      <c r="C975">
        <v>30002</v>
      </c>
      <c r="D975" t="s">
        <v>7</v>
      </c>
      <c r="E975" t="s">
        <v>140</v>
      </c>
      <c r="F975" t="s">
        <v>19</v>
      </c>
    </row>
    <row r="976" spans="1:6">
      <c r="A976" t="s">
        <v>6</v>
      </c>
      <c r="B976" s="1">
        <v>45841.290289351855</v>
      </c>
      <c r="C976">
        <v>30002</v>
      </c>
      <c r="D976" t="s">
        <v>7</v>
      </c>
      <c r="E976" t="s">
        <v>140</v>
      </c>
      <c r="F976" t="s">
        <v>19</v>
      </c>
    </row>
    <row r="977" spans="1:6">
      <c r="A977" t="s">
        <v>6</v>
      </c>
      <c r="B977" s="1">
        <v>45841.285277777781</v>
      </c>
      <c r="C977">
        <v>30002</v>
      </c>
      <c r="D977" t="s">
        <v>7</v>
      </c>
      <c r="E977" t="s">
        <v>140</v>
      </c>
      <c r="F977" t="s">
        <v>19</v>
      </c>
    </row>
    <row r="978" spans="1:6">
      <c r="A978" t="s">
        <v>6</v>
      </c>
      <c r="B978" s="1">
        <v>45841.26766203704</v>
      </c>
      <c r="C978">
        <v>30002</v>
      </c>
      <c r="D978" t="s">
        <v>7</v>
      </c>
      <c r="E978" t="s">
        <v>140</v>
      </c>
      <c r="F978" t="s">
        <v>19</v>
      </c>
    </row>
    <row r="979" spans="1:6">
      <c r="A979" t="s">
        <v>6</v>
      </c>
      <c r="B979" s="1">
        <v>45860.718368055554</v>
      </c>
      <c r="C979">
        <v>30002</v>
      </c>
      <c r="D979" t="s">
        <v>7</v>
      </c>
      <c r="E979" t="s">
        <v>140</v>
      </c>
      <c r="F979" t="s">
        <v>142</v>
      </c>
    </row>
    <row r="980" spans="1:6">
      <c r="A980" t="s">
        <v>6</v>
      </c>
      <c r="B980" s="1">
        <v>45853.566782407404</v>
      </c>
      <c r="C980">
        <v>30002</v>
      </c>
      <c r="D980" t="s">
        <v>7</v>
      </c>
      <c r="E980" t="s">
        <v>140</v>
      </c>
      <c r="F980" t="s">
        <v>24</v>
      </c>
    </row>
    <row r="981" spans="1:6">
      <c r="A981" t="s">
        <v>6</v>
      </c>
      <c r="B981" s="1">
        <v>45853.563425925924</v>
      </c>
      <c r="C981">
        <v>30002</v>
      </c>
      <c r="D981" t="s">
        <v>7</v>
      </c>
      <c r="E981" t="s">
        <v>140</v>
      </c>
      <c r="F981" t="s">
        <v>24</v>
      </c>
    </row>
    <row r="982" spans="1:6">
      <c r="A982" t="s">
        <v>6</v>
      </c>
      <c r="B982" s="1">
        <v>45859.427384259259</v>
      </c>
      <c r="C982">
        <v>30002</v>
      </c>
      <c r="D982" t="s">
        <v>7</v>
      </c>
      <c r="E982" t="s">
        <v>140</v>
      </c>
      <c r="F982" t="s">
        <v>25</v>
      </c>
    </row>
    <row r="983" spans="1:6">
      <c r="A983" t="s">
        <v>6</v>
      </c>
      <c r="B983" s="1">
        <v>45859.422349537039</v>
      </c>
      <c r="C983">
        <v>30002</v>
      </c>
      <c r="D983" t="s">
        <v>7</v>
      </c>
      <c r="E983" t="s">
        <v>140</v>
      </c>
      <c r="F983" t="s">
        <v>25</v>
      </c>
    </row>
    <row r="984" spans="1:6">
      <c r="A984" t="s">
        <v>6</v>
      </c>
      <c r="B984" s="1">
        <v>45859.421053240738</v>
      </c>
      <c r="C984">
        <v>30002</v>
      </c>
      <c r="D984" t="s">
        <v>7</v>
      </c>
      <c r="E984" t="s">
        <v>140</v>
      </c>
      <c r="F984" t="s">
        <v>25</v>
      </c>
    </row>
    <row r="985" spans="1:6">
      <c r="A985" t="s">
        <v>6</v>
      </c>
      <c r="B985" s="1">
        <v>45859.420983796299</v>
      </c>
      <c r="C985">
        <v>30002</v>
      </c>
      <c r="D985" t="s">
        <v>7</v>
      </c>
      <c r="E985" t="s">
        <v>140</v>
      </c>
      <c r="F985" t="s">
        <v>25</v>
      </c>
    </row>
    <row r="986" spans="1:6">
      <c r="A986" t="s">
        <v>6</v>
      </c>
      <c r="B986" s="1">
        <v>45859.420925925922</v>
      </c>
      <c r="C986">
        <v>30002</v>
      </c>
      <c r="D986" t="s">
        <v>7</v>
      </c>
      <c r="E986" t="s">
        <v>140</v>
      </c>
      <c r="F986" t="s">
        <v>25</v>
      </c>
    </row>
    <row r="987" spans="1:6">
      <c r="A987" t="s">
        <v>6</v>
      </c>
      <c r="B987" s="1">
        <v>45859.420752314814</v>
      </c>
      <c r="C987">
        <v>30002</v>
      </c>
      <c r="D987" t="s">
        <v>7</v>
      </c>
      <c r="E987" t="s">
        <v>140</v>
      </c>
      <c r="F987" t="s">
        <v>25</v>
      </c>
    </row>
    <row r="988" spans="1:6">
      <c r="A988" t="s">
        <v>6</v>
      </c>
      <c r="B988" s="1">
        <v>45859.420624999999</v>
      </c>
      <c r="C988">
        <v>30002</v>
      </c>
      <c r="D988" t="s">
        <v>7</v>
      </c>
      <c r="E988" t="s">
        <v>140</v>
      </c>
      <c r="F988" t="s">
        <v>25</v>
      </c>
    </row>
    <row r="989" spans="1:6">
      <c r="A989" t="s">
        <v>6</v>
      </c>
      <c r="B989" s="1">
        <v>45853.574861111112</v>
      </c>
      <c r="C989">
        <v>30002</v>
      </c>
      <c r="D989" t="s">
        <v>7</v>
      </c>
      <c r="E989" t="s">
        <v>143</v>
      </c>
      <c r="F989" t="s">
        <v>137</v>
      </c>
    </row>
    <row r="990" spans="1:6">
      <c r="A990" t="s">
        <v>6</v>
      </c>
      <c r="B990" s="1">
        <v>45863.63380787037</v>
      </c>
      <c r="C990">
        <v>30002</v>
      </c>
      <c r="D990" t="s">
        <v>7</v>
      </c>
      <c r="E990" t="s">
        <v>143</v>
      </c>
      <c r="F990" t="s">
        <v>102</v>
      </c>
    </row>
    <row r="991" spans="1:6">
      <c r="A991" t="s">
        <v>6</v>
      </c>
      <c r="B991" s="1">
        <v>45863.617476851854</v>
      </c>
      <c r="C991">
        <v>30002</v>
      </c>
      <c r="D991" t="s">
        <v>7</v>
      </c>
      <c r="E991" t="s">
        <v>143</v>
      </c>
      <c r="F991" t="s">
        <v>102</v>
      </c>
    </row>
    <row r="992" spans="1:6">
      <c r="A992" t="s">
        <v>6</v>
      </c>
      <c r="B992" s="1">
        <v>45856.602511574078</v>
      </c>
      <c r="C992">
        <v>30002</v>
      </c>
      <c r="D992" t="s">
        <v>7</v>
      </c>
      <c r="E992" t="s">
        <v>143</v>
      </c>
      <c r="F992" t="s">
        <v>102</v>
      </c>
    </row>
    <row r="993" spans="1:6">
      <c r="A993" t="s">
        <v>6</v>
      </c>
      <c r="B993" s="1">
        <v>45853.386319444442</v>
      </c>
      <c r="C993">
        <v>30002</v>
      </c>
      <c r="D993" t="s">
        <v>7</v>
      </c>
      <c r="E993" t="s">
        <v>143</v>
      </c>
      <c r="F993" t="s">
        <v>144</v>
      </c>
    </row>
    <row r="994" spans="1:6">
      <c r="A994" t="s">
        <v>6</v>
      </c>
      <c r="B994" s="1">
        <v>45853.383668981478</v>
      </c>
      <c r="C994">
        <v>30002</v>
      </c>
      <c r="D994" t="s">
        <v>7</v>
      </c>
      <c r="E994" t="s">
        <v>143</v>
      </c>
      <c r="F994" t="s">
        <v>144</v>
      </c>
    </row>
    <row r="995" spans="1:6">
      <c r="A995" t="s">
        <v>6</v>
      </c>
      <c r="B995" s="1">
        <v>45853.381886574076</v>
      </c>
      <c r="C995">
        <v>30002</v>
      </c>
      <c r="D995" t="s">
        <v>7</v>
      </c>
      <c r="E995" t="s">
        <v>143</v>
      </c>
      <c r="F995" t="s">
        <v>144</v>
      </c>
    </row>
    <row r="996" spans="1:6">
      <c r="A996" t="s">
        <v>6</v>
      </c>
      <c r="B996" s="1">
        <v>45853.38177083333</v>
      </c>
      <c r="C996">
        <v>30002</v>
      </c>
      <c r="D996" t="s">
        <v>7</v>
      </c>
      <c r="E996" t="s">
        <v>143</v>
      </c>
      <c r="F996" t="s">
        <v>144</v>
      </c>
    </row>
    <row r="997" spans="1:6">
      <c r="A997" t="s">
        <v>6</v>
      </c>
      <c r="B997" s="1">
        <v>45853.373923611114</v>
      </c>
      <c r="C997">
        <v>30002</v>
      </c>
      <c r="D997" t="s">
        <v>7</v>
      </c>
      <c r="E997" t="s">
        <v>143</v>
      </c>
      <c r="F997" t="s">
        <v>144</v>
      </c>
    </row>
    <row r="998" spans="1:6">
      <c r="A998" t="s">
        <v>6</v>
      </c>
      <c r="B998" s="1">
        <v>45859.601944444446</v>
      </c>
      <c r="C998">
        <v>30002</v>
      </c>
      <c r="D998" t="s">
        <v>7</v>
      </c>
      <c r="E998" t="s">
        <v>143</v>
      </c>
      <c r="F998" t="s">
        <v>42</v>
      </c>
    </row>
    <row r="999" spans="1:6">
      <c r="A999" t="s">
        <v>6</v>
      </c>
      <c r="B999" s="1">
        <v>45859.601875</v>
      </c>
      <c r="C999">
        <v>30002</v>
      </c>
      <c r="D999" t="s">
        <v>7</v>
      </c>
      <c r="E999" t="s">
        <v>143</v>
      </c>
      <c r="F999" t="s">
        <v>42</v>
      </c>
    </row>
    <row r="1000" spans="1:6">
      <c r="A1000" t="s">
        <v>6</v>
      </c>
      <c r="B1000" s="1">
        <v>45855.783159722225</v>
      </c>
      <c r="C1000">
        <v>30002</v>
      </c>
      <c r="D1000" t="s">
        <v>7</v>
      </c>
      <c r="E1000" t="s">
        <v>143</v>
      </c>
      <c r="F1000" t="s">
        <v>42</v>
      </c>
    </row>
    <row r="1001" spans="1:6">
      <c r="A1001" t="s">
        <v>6</v>
      </c>
      <c r="B1001" s="1">
        <v>45855.782905092594</v>
      </c>
      <c r="C1001">
        <v>30002</v>
      </c>
      <c r="D1001" t="s">
        <v>7</v>
      </c>
      <c r="E1001" t="s">
        <v>143</v>
      </c>
      <c r="F1001" t="s">
        <v>42</v>
      </c>
    </row>
    <row r="1002" spans="1:6">
      <c r="A1002" t="s">
        <v>6</v>
      </c>
      <c r="B1002" s="1">
        <v>45854.423379629632</v>
      </c>
      <c r="C1002">
        <v>30002</v>
      </c>
      <c r="D1002" t="s">
        <v>7</v>
      </c>
      <c r="E1002" t="s">
        <v>143</v>
      </c>
      <c r="F1002" t="s">
        <v>42</v>
      </c>
    </row>
    <row r="1003" spans="1:6">
      <c r="A1003" t="s">
        <v>6</v>
      </c>
      <c r="B1003" s="1">
        <v>45848.361678240741</v>
      </c>
      <c r="C1003">
        <v>30002</v>
      </c>
      <c r="D1003" t="s">
        <v>7</v>
      </c>
      <c r="E1003" t="s">
        <v>143</v>
      </c>
      <c r="F1003" t="s">
        <v>42</v>
      </c>
    </row>
    <row r="1004" spans="1:6">
      <c r="A1004" t="s">
        <v>6</v>
      </c>
      <c r="B1004" s="1">
        <v>45848.345092592594</v>
      </c>
      <c r="C1004">
        <v>30002</v>
      </c>
      <c r="D1004" t="s">
        <v>7</v>
      </c>
      <c r="E1004" t="s">
        <v>143</v>
      </c>
      <c r="F1004" t="s">
        <v>42</v>
      </c>
    </row>
    <row r="1005" spans="1:6">
      <c r="A1005" t="s">
        <v>6</v>
      </c>
      <c r="B1005" s="1">
        <v>45846.444467592592</v>
      </c>
      <c r="C1005">
        <v>30002</v>
      </c>
      <c r="D1005" t="s">
        <v>7</v>
      </c>
      <c r="E1005" t="s">
        <v>143</v>
      </c>
      <c r="F1005" t="s">
        <v>42</v>
      </c>
    </row>
    <row r="1006" spans="1:6">
      <c r="A1006" t="s">
        <v>6</v>
      </c>
      <c r="B1006" s="1">
        <v>45867.551388888889</v>
      </c>
      <c r="C1006">
        <v>30002</v>
      </c>
      <c r="D1006" t="s">
        <v>7</v>
      </c>
      <c r="E1006" t="s">
        <v>143</v>
      </c>
      <c r="F1006" t="s">
        <v>13</v>
      </c>
    </row>
    <row r="1007" spans="1:6">
      <c r="A1007" t="s">
        <v>6</v>
      </c>
      <c r="B1007" s="1">
        <v>45867.47079861111</v>
      </c>
      <c r="C1007">
        <v>30002</v>
      </c>
      <c r="D1007" t="s">
        <v>7</v>
      </c>
      <c r="E1007" t="s">
        <v>143</v>
      </c>
      <c r="F1007" t="s">
        <v>13</v>
      </c>
    </row>
    <row r="1008" spans="1:6">
      <c r="A1008" t="s">
        <v>6</v>
      </c>
      <c r="B1008" s="1">
        <v>45861.450555555559</v>
      </c>
      <c r="C1008">
        <v>30002</v>
      </c>
      <c r="D1008" t="s">
        <v>7</v>
      </c>
      <c r="E1008" t="s">
        <v>143</v>
      </c>
      <c r="F1008" t="s">
        <v>13</v>
      </c>
    </row>
    <row r="1009" spans="1:6">
      <c r="A1009" t="s">
        <v>6</v>
      </c>
      <c r="B1009" s="1">
        <v>45852.626527777778</v>
      </c>
      <c r="C1009">
        <v>30002</v>
      </c>
      <c r="D1009" t="s">
        <v>7</v>
      </c>
      <c r="E1009" t="s">
        <v>143</v>
      </c>
      <c r="F1009" t="s">
        <v>13</v>
      </c>
    </row>
    <row r="1010" spans="1:6">
      <c r="A1010" t="s">
        <v>6</v>
      </c>
      <c r="B1010" s="1">
        <v>45848.527071759258</v>
      </c>
      <c r="C1010">
        <v>30002</v>
      </c>
      <c r="D1010" t="s">
        <v>7</v>
      </c>
      <c r="E1010" t="s">
        <v>143</v>
      </c>
      <c r="F1010" t="s">
        <v>13</v>
      </c>
    </row>
    <row r="1011" spans="1:6">
      <c r="A1011" t="s">
        <v>6</v>
      </c>
      <c r="B1011" s="1">
        <v>45848.522245370368</v>
      </c>
      <c r="C1011">
        <v>30002</v>
      </c>
      <c r="D1011" t="s">
        <v>7</v>
      </c>
      <c r="E1011" t="s">
        <v>143</v>
      </c>
      <c r="F1011" t="s">
        <v>13</v>
      </c>
    </row>
    <row r="1012" spans="1:6">
      <c r="A1012" t="s">
        <v>6</v>
      </c>
      <c r="B1012" s="1">
        <v>45848.520208333335</v>
      </c>
      <c r="C1012">
        <v>30002</v>
      </c>
      <c r="D1012" t="s">
        <v>7</v>
      </c>
      <c r="E1012" t="s">
        <v>143</v>
      </c>
      <c r="F1012" t="s">
        <v>13</v>
      </c>
    </row>
    <row r="1013" spans="1:6">
      <c r="A1013" t="s">
        <v>6</v>
      </c>
      <c r="B1013" s="1">
        <v>45848.516562500001</v>
      </c>
      <c r="C1013">
        <v>30002</v>
      </c>
      <c r="D1013" t="s">
        <v>7</v>
      </c>
      <c r="E1013" t="s">
        <v>143</v>
      </c>
      <c r="F1013" t="s">
        <v>13</v>
      </c>
    </row>
    <row r="1014" spans="1:6">
      <c r="A1014" t="s">
        <v>6</v>
      </c>
      <c r="B1014" s="1">
        <v>45848.513912037037</v>
      </c>
      <c r="C1014">
        <v>30002</v>
      </c>
      <c r="D1014" t="s">
        <v>7</v>
      </c>
      <c r="E1014" t="s">
        <v>143</v>
      </c>
      <c r="F1014" t="s">
        <v>13</v>
      </c>
    </row>
    <row r="1015" spans="1:6">
      <c r="A1015" t="s">
        <v>6</v>
      </c>
      <c r="B1015" s="1">
        <v>45848.508194444446</v>
      </c>
      <c r="C1015">
        <v>30002</v>
      </c>
      <c r="D1015" t="s">
        <v>7</v>
      </c>
      <c r="E1015" t="s">
        <v>143</v>
      </c>
      <c r="F1015" t="s">
        <v>13</v>
      </c>
    </row>
    <row r="1016" spans="1:6">
      <c r="A1016" t="s">
        <v>6</v>
      </c>
      <c r="B1016" s="1">
        <v>45859.38082175926</v>
      </c>
      <c r="C1016">
        <v>30002</v>
      </c>
      <c r="D1016" t="s">
        <v>7</v>
      </c>
      <c r="E1016" t="s">
        <v>143</v>
      </c>
      <c r="F1016" t="s">
        <v>18</v>
      </c>
    </row>
    <row r="1017" spans="1:6">
      <c r="A1017" t="s">
        <v>6</v>
      </c>
      <c r="B1017" s="1">
        <v>45859.369305555556</v>
      </c>
      <c r="C1017">
        <v>30002</v>
      </c>
      <c r="D1017" t="s">
        <v>7</v>
      </c>
      <c r="E1017" t="s">
        <v>143</v>
      </c>
      <c r="F1017" t="s">
        <v>18</v>
      </c>
    </row>
    <row r="1018" spans="1:6">
      <c r="A1018" t="s">
        <v>6</v>
      </c>
      <c r="B1018" s="1">
        <v>45853.370937500003</v>
      </c>
      <c r="C1018">
        <v>30002</v>
      </c>
      <c r="D1018" t="s">
        <v>7</v>
      </c>
      <c r="E1018" t="s">
        <v>143</v>
      </c>
      <c r="F1018" t="s">
        <v>18</v>
      </c>
    </row>
    <row r="1019" spans="1:6">
      <c r="A1019" t="s">
        <v>6</v>
      </c>
      <c r="B1019" s="1">
        <v>45852.356180555558</v>
      </c>
      <c r="C1019">
        <v>30002</v>
      </c>
      <c r="D1019" t="s">
        <v>7</v>
      </c>
      <c r="E1019" t="s">
        <v>143</v>
      </c>
      <c r="F1019" t="s">
        <v>18</v>
      </c>
    </row>
    <row r="1020" spans="1:6">
      <c r="A1020" t="s">
        <v>6</v>
      </c>
      <c r="B1020" s="1">
        <v>45852.348344907405</v>
      </c>
      <c r="C1020">
        <v>30002</v>
      </c>
      <c r="D1020" t="s">
        <v>7</v>
      </c>
      <c r="E1020" t="s">
        <v>143</v>
      </c>
      <c r="F1020" t="s">
        <v>18</v>
      </c>
    </row>
    <row r="1021" spans="1:6">
      <c r="A1021" t="s">
        <v>6</v>
      </c>
      <c r="B1021" s="1">
        <v>45852.3437962963</v>
      </c>
      <c r="C1021">
        <v>30002</v>
      </c>
      <c r="D1021" t="s">
        <v>7</v>
      </c>
      <c r="E1021" t="s">
        <v>143</v>
      </c>
      <c r="F1021" t="s">
        <v>18</v>
      </c>
    </row>
    <row r="1022" spans="1:6">
      <c r="A1022" t="s">
        <v>6</v>
      </c>
      <c r="B1022" s="1">
        <v>45848.379629629628</v>
      </c>
      <c r="C1022">
        <v>30002</v>
      </c>
      <c r="D1022" t="s">
        <v>7</v>
      </c>
      <c r="E1022" t="s">
        <v>143</v>
      </c>
      <c r="F1022" t="s">
        <v>18</v>
      </c>
    </row>
    <row r="1023" spans="1:6">
      <c r="A1023" t="s">
        <v>6</v>
      </c>
      <c r="B1023" s="1">
        <v>45848.378240740742</v>
      </c>
      <c r="C1023">
        <v>30002</v>
      </c>
      <c r="D1023" t="s">
        <v>7</v>
      </c>
      <c r="E1023" t="s">
        <v>143</v>
      </c>
      <c r="F1023" t="s">
        <v>18</v>
      </c>
    </row>
    <row r="1024" spans="1:6">
      <c r="A1024" t="s">
        <v>6</v>
      </c>
      <c r="B1024" s="1">
        <v>45848.375833333332</v>
      </c>
      <c r="C1024">
        <v>30002</v>
      </c>
      <c r="D1024" t="s">
        <v>7</v>
      </c>
      <c r="E1024" t="s">
        <v>143</v>
      </c>
      <c r="F1024" t="s">
        <v>18</v>
      </c>
    </row>
    <row r="1025" spans="1:6">
      <c r="A1025" t="s">
        <v>6</v>
      </c>
      <c r="B1025" s="1">
        <v>45848.374606481484</v>
      </c>
      <c r="C1025">
        <v>30002</v>
      </c>
      <c r="D1025" t="s">
        <v>7</v>
      </c>
      <c r="E1025" t="s">
        <v>143</v>
      </c>
      <c r="F1025" t="s">
        <v>18</v>
      </c>
    </row>
    <row r="1026" spans="1:6">
      <c r="A1026" t="s">
        <v>6</v>
      </c>
      <c r="B1026" s="1">
        <v>45848.371828703705</v>
      </c>
      <c r="C1026">
        <v>30002</v>
      </c>
      <c r="D1026" t="s">
        <v>7</v>
      </c>
      <c r="E1026" t="s">
        <v>143</v>
      </c>
      <c r="F1026" t="s">
        <v>18</v>
      </c>
    </row>
    <row r="1027" spans="1:6">
      <c r="A1027" t="s">
        <v>6</v>
      </c>
      <c r="B1027" s="1">
        <v>45848.371377314812</v>
      </c>
      <c r="C1027">
        <v>30002</v>
      </c>
      <c r="D1027" t="s">
        <v>7</v>
      </c>
      <c r="E1027" t="s">
        <v>143</v>
      </c>
      <c r="F1027" t="s">
        <v>18</v>
      </c>
    </row>
    <row r="1028" spans="1:6">
      <c r="A1028" t="s">
        <v>6</v>
      </c>
      <c r="B1028" s="1">
        <v>45845.469004629631</v>
      </c>
      <c r="C1028">
        <v>30002</v>
      </c>
      <c r="D1028" t="s">
        <v>7</v>
      </c>
      <c r="E1028" t="s">
        <v>143</v>
      </c>
      <c r="F1028" t="s">
        <v>18</v>
      </c>
    </row>
    <row r="1029" spans="1:6">
      <c r="A1029" t="s">
        <v>6</v>
      </c>
      <c r="B1029" s="1">
        <v>45845.456365740742</v>
      </c>
      <c r="C1029">
        <v>30002</v>
      </c>
      <c r="D1029" t="s">
        <v>7</v>
      </c>
      <c r="E1029" t="s">
        <v>143</v>
      </c>
      <c r="F1029" t="s">
        <v>18</v>
      </c>
    </row>
    <row r="1030" spans="1:6">
      <c r="A1030" t="s">
        <v>6</v>
      </c>
      <c r="B1030" s="1">
        <v>45844.385057870371</v>
      </c>
      <c r="C1030">
        <v>30002</v>
      </c>
      <c r="D1030" t="s">
        <v>7</v>
      </c>
      <c r="E1030" t="s">
        <v>143</v>
      </c>
      <c r="F1030" t="s">
        <v>18</v>
      </c>
    </row>
    <row r="1031" spans="1:6">
      <c r="A1031" t="s">
        <v>6</v>
      </c>
      <c r="B1031" s="1">
        <v>45844.381898148145</v>
      </c>
      <c r="C1031">
        <v>30002</v>
      </c>
      <c r="D1031" t="s">
        <v>7</v>
      </c>
      <c r="E1031" t="s">
        <v>143</v>
      </c>
      <c r="F1031" t="s">
        <v>18</v>
      </c>
    </row>
    <row r="1032" spans="1:6">
      <c r="A1032" t="s">
        <v>6</v>
      </c>
      <c r="B1032" s="1">
        <v>45839.629513888889</v>
      </c>
      <c r="C1032">
        <v>30002</v>
      </c>
      <c r="D1032" t="s">
        <v>7</v>
      </c>
      <c r="E1032" t="s">
        <v>143</v>
      </c>
      <c r="F1032" t="s">
        <v>145</v>
      </c>
    </row>
    <row r="1033" spans="1:6">
      <c r="A1033" t="s">
        <v>6</v>
      </c>
      <c r="B1033" s="1">
        <v>45839.620578703703</v>
      </c>
      <c r="C1033">
        <v>30002</v>
      </c>
      <c r="D1033" t="s">
        <v>7</v>
      </c>
      <c r="E1033" t="s">
        <v>143</v>
      </c>
      <c r="F1033" t="s">
        <v>145</v>
      </c>
    </row>
    <row r="1034" spans="1:6">
      <c r="A1034" t="s">
        <v>6</v>
      </c>
      <c r="B1034" s="1">
        <v>45839.360081018516</v>
      </c>
      <c r="C1034">
        <v>30002</v>
      </c>
      <c r="D1034" t="s">
        <v>7</v>
      </c>
      <c r="E1034" t="s">
        <v>143</v>
      </c>
      <c r="F1034" t="s">
        <v>121</v>
      </c>
    </row>
    <row r="1035" spans="1:6">
      <c r="A1035" t="s">
        <v>6</v>
      </c>
      <c r="B1035" s="1">
        <v>45847.425509259258</v>
      </c>
      <c r="C1035">
        <v>30002</v>
      </c>
      <c r="D1035" t="s">
        <v>7</v>
      </c>
      <c r="E1035" t="s">
        <v>143</v>
      </c>
      <c r="F1035" t="s">
        <v>103</v>
      </c>
    </row>
    <row r="1036" spans="1:6">
      <c r="A1036" t="s">
        <v>6</v>
      </c>
      <c r="B1036" s="1">
        <v>45844.428414351853</v>
      </c>
      <c r="C1036">
        <v>30002</v>
      </c>
      <c r="D1036" t="s">
        <v>7</v>
      </c>
      <c r="E1036" t="s">
        <v>143</v>
      </c>
      <c r="F1036" t="s">
        <v>103</v>
      </c>
    </row>
    <row r="1037" spans="1:6">
      <c r="A1037" t="s">
        <v>6</v>
      </c>
      <c r="B1037" s="1">
        <v>45839.480717592596</v>
      </c>
      <c r="C1037">
        <v>30002</v>
      </c>
      <c r="D1037" t="s">
        <v>7</v>
      </c>
      <c r="E1037" t="s">
        <v>143</v>
      </c>
      <c r="F1037" t="s">
        <v>103</v>
      </c>
    </row>
    <row r="1038" spans="1:6">
      <c r="A1038" t="s">
        <v>6</v>
      </c>
      <c r="B1038" s="1">
        <v>45839.477199074077</v>
      </c>
      <c r="C1038">
        <v>30002</v>
      </c>
      <c r="D1038" t="s">
        <v>7</v>
      </c>
      <c r="E1038" t="s">
        <v>143</v>
      </c>
      <c r="F1038" t="s">
        <v>103</v>
      </c>
    </row>
    <row r="1039" spans="1:6">
      <c r="A1039" t="s">
        <v>6</v>
      </c>
      <c r="B1039" s="1">
        <v>45839.469085648147</v>
      </c>
      <c r="C1039">
        <v>30002</v>
      </c>
      <c r="D1039" t="s">
        <v>7</v>
      </c>
      <c r="E1039" t="s">
        <v>143</v>
      </c>
      <c r="F1039" t="s">
        <v>103</v>
      </c>
    </row>
    <row r="1040" spans="1:6">
      <c r="A1040" t="s">
        <v>6</v>
      </c>
      <c r="B1040" s="1">
        <v>45839.467916666668</v>
      </c>
      <c r="C1040">
        <v>30002</v>
      </c>
      <c r="D1040" t="s">
        <v>7</v>
      </c>
      <c r="E1040" t="s">
        <v>143</v>
      </c>
      <c r="F1040" t="s">
        <v>103</v>
      </c>
    </row>
    <row r="1041" spans="1:6">
      <c r="A1041" t="s">
        <v>6</v>
      </c>
      <c r="B1041" s="1">
        <v>45839.466377314813</v>
      </c>
      <c r="C1041">
        <v>30002</v>
      </c>
      <c r="D1041" t="s">
        <v>7</v>
      </c>
      <c r="E1041" t="s">
        <v>143</v>
      </c>
      <c r="F1041" t="s">
        <v>103</v>
      </c>
    </row>
    <row r="1042" spans="1:6">
      <c r="A1042" t="s">
        <v>6</v>
      </c>
      <c r="B1042" s="1">
        <v>45839.465879629628</v>
      </c>
      <c r="C1042">
        <v>30002</v>
      </c>
      <c r="D1042" t="s">
        <v>7</v>
      </c>
      <c r="E1042" t="s">
        <v>143</v>
      </c>
      <c r="F1042" t="s">
        <v>103</v>
      </c>
    </row>
    <row r="1043" spans="1:6">
      <c r="A1043" t="s">
        <v>6</v>
      </c>
      <c r="B1043" s="1">
        <v>45839.465567129628</v>
      </c>
      <c r="C1043">
        <v>30002</v>
      </c>
      <c r="D1043" t="s">
        <v>7</v>
      </c>
      <c r="E1043" t="s">
        <v>143</v>
      </c>
      <c r="F1043" t="s">
        <v>103</v>
      </c>
    </row>
    <row r="1044" spans="1:6">
      <c r="A1044" t="s">
        <v>6</v>
      </c>
      <c r="B1044" s="1">
        <v>45865.469872685186</v>
      </c>
      <c r="C1044">
        <v>30002</v>
      </c>
      <c r="D1044" t="s">
        <v>7</v>
      </c>
      <c r="E1044" t="s">
        <v>143</v>
      </c>
      <c r="F1044" t="s">
        <v>19</v>
      </c>
    </row>
    <row r="1045" spans="1:6">
      <c r="A1045" t="s">
        <v>6</v>
      </c>
      <c r="B1045" s="1">
        <v>45860.267916666664</v>
      </c>
      <c r="C1045">
        <v>30002</v>
      </c>
      <c r="D1045" t="s">
        <v>7</v>
      </c>
      <c r="E1045" t="s">
        <v>143</v>
      </c>
      <c r="F1045" t="s">
        <v>19</v>
      </c>
    </row>
    <row r="1046" spans="1:6">
      <c r="A1046" t="s">
        <v>6</v>
      </c>
      <c r="B1046" s="1">
        <v>45855.341249999998</v>
      </c>
      <c r="C1046">
        <v>30002</v>
      </c>
      <c r="D1046" t="s">
        <v>7</v>
      </c>
      <c r="E1046" t="s">
        <v>143</v>
      </c>
      <c r="F1046" t="s">
        <v>19</v>
      </c>
    </row>
    <row r="1047" spans="1:6">
      <c r="A1047" t="s">
        <v>6</v>
      </c>
      <c r="B1047" s="1">
        <v>45855.336840277778</v>
      </c>
      <c r="C1047">
        <v>30002</v>
      </c>
      <c r="D1047" t="s">
        <v>7</v>
      </c>
      <c r="E1047" t="s">
        <v>143</v>
      </c>
      <c r="F1047" t="s">
        <v>19</v>
      </c>
    </row>
    <row r="1048" spans="1:6">
      <c r="A1048" t="s">
        <v>6</v>
      </c>
      <c r="B1048" s="1">
        <v>45855.328553240739</v>
      </c>
      <c r="C1048">
        <v>30002</v>
      </c>
      <c r="D1048" t="s">
        <v>7</v>
      </c>
      <c r="E1048" t="s">
        <v>143</v>
      </c>
      <c r="F1048" t="s">
        <v>19</v>
      </c>
    </row>
    <row r="1049" spans="1:6">
      <c r="A1049" t="s">
        <v>6</v>
      </c>
      <c r="B1049" s="1">
        <v>45853.309363425928</v>
      </c>
      <c r="C1049">
        <v>30002</v>
      </c>
      <c r="D1049" t="s">
        <v>7</v>
      </c>
      <c r="E1049" t="s">
        <v>143</v>
      </c>
      <c r="F1049" t="s">
        <v>19</v>
      </c>
    </row>
    <row r="1050" spans="1:6">
      <c r="A1050" t="s">
        <v>6</v>
      </c>
      <c r="B1050" s="1">
        <v>45853.296261574076</v>
      </c>
      <c r="C1050">
        <v>30002</v>
      </c>
      <c r="D1050" t="s">
        <v>7</v>
      </c>
      <c r="E1050" t="s">
        <v>143</v>
      </c>
      <c r="F1050" t="s">
        <v>19</v>
      </c>
    </row>
    <row r="1051" spans="1:6">
      <c r="A1051" t="s">
        <v>6</v>
      </c>
      <c r="B1051" s="1">
        <v>45846.321493055555</v>
      </c>
      <c r="C1051">
        <v>30002</v>
      </c>
      <c r="D1051" t="s">
        <v>7</v>
      </c>
      <c r="E1051" t="s">
        <v>143</v>
      </c>
      <c r="F1051" t="s">
        <v>19</v>
      </c>
    </row>
    <row r="1052" spans="1:6">
      <c r="A1052" t="s">
        <v>6</v>
      </c>
      <c r="B1052" s="1">
        <v>45841.577569444446</v>
      </c>
      <c r="C1052">
        <v>30002</v>
      </c>
      <c r="D1052" t="s">
        <v>7</v>
      </c>
      <c r="E1052" t="s">
        <v>143</v>
      </c>
      <c r="F1052" t="s">
        <v>19</v>
      </c>
    </row>
    <row r="1053" spans="1:6">
      <c r="A1053" t="s">
        <v>6</v>
      </c>
      <c r="B1053" s="1">
        <v>45841.575578703705</v>
      </c>
      <c r="C1053">
        <v>30002</v>
      </c>
      <c r="D1053" t="s">
        <v>7</v>
      </c>
      <c r="E1053" t="s">
        <v>143</v>
      </c>
      <c r="F1053" t="s">
        <v>19</v>
      </c>
    </row>
    <row r="1054" spans="1:6">
      <c r="A1054" t="s">
        <v>6</v>
      </c>
      <c r="B1054" s="1">
        <v>45840.299583333333</v>
      </c>
      <c r="C1054">
        <v>30002</v>
      </c>
      <c r="D1054" t="s">
        <v>7</v>
      </c>
      <c r="E1054" t="s">
        <v>143</v>
      </c>
      <c r="F1054" t="s">
        <v>19</v>
      </c>
    </row>
    <row r="1055" spans="1:6">
      <c r="A1055" t="s">
        <v>6</v>
      </c>
      <c r="B1055" s="1">
        <v>45840.285914351851</v>
      </c>
      <c r="C1055">
        <v>30002</v>
      </c>
      <c r="D1055" t="s">
        <v>7</v>
      </c>
      <c r="E1055" t="s">
        <v>143</v>
      </c>
      <c r="F1055" t="s">
        <v>19</v>
      </c>
    </row>
    <row r="1056" spans="1:6">
      <c r="A1056" t="s">
        <v>6</v>
      </c>
      <c r="B1056" s="1">
        <v>45840.285636574074</v>
      </c>
      <c r="C1056">
        <v>30002</v>
      </c>
      <c r="D1056" t="s">
        <v>7</v>
      </c>
      <c r="E1056" t="s">
        <v>143</v>
      </c>
      <c r="F1056" t="s">
        <v>19</v>
      </c>
    </row>
    <row r="1057" spans="1:6">
      <c r="A1057" t="s">
        <v>6</v>
      </c>
      <c r="B1057" s="1">
        <v>45840.285520833335</v>
      </c>
      <c r="C1057">
        <v>30002</v>
      </c>
      <c r="D1057" t="s">
        <v>7</v>
      </c>
      <c r="E1057" t="s">
        <v>143</v>
      </c>
      <c r="F1057" t="s">
        <v>19</v>
      </c>
    </row>
    <row r="1058" spans="1:6">
      <c r="A1058" t="s">
        <v>6</v>
      </c>
      <c r="B1058" s="1">
        <v>45840.285370370373</v>
      </c>
      <c r="C1058">
        <v>30002</v>
      </c>
      <c r="D1058" t="s">
        <v>7</v>
      </c>
      <c r="E1058" t="s">
        <v>143</v>
      </c>
      <c r="F1058" t="s">
        <v>19</v>
      </c>
    </row>
    <row r="1059" spans="1:6">
      <c r="A1059" t="s">
        <v>6</v>
      </c>
      <c r="B1059" s="1">
        <v>45849.414467592593</v>
      </c>
      <c r="C1059">
        <v>30002</v>
      </c>
      <c r="D1059" t="s">
        <v>7</v>
      </c>
      <c r="E1059" t="s">
        <v>143</v>
      </c>
      <c r="F1059" t="s">
        <v>15</v>
      </c>
    </row>
    <row r="1060" spans="1:6">
      <c r="A1060" t="s">
        <v>6</v>
      </c>
      <c r="B1060" s="1">
        <v>45847.495740740742</v>
      </c>
      <c r="C1060">
        <v>30002</v>
      </c>
      <c r="D1060" t="s">
        <v>7</v>
      </c>
      <c r="E1060" t="s">
        <v>143</v>
      </c>
      <c r="F1060" t="s">
        <v>15</v>
      </c>
    </row>
    <row r="1061" spans="1:6">
      <c r="A1061" t="s">
        <v>6</v>
      </c>
      <c r="B1061" s="1">
        <v>45847.426689814813</v>
      </c>
      <c r="C1061">
        <v>30002</v>
      </c>
      <c r="D1061" t="s">
        <v>7</v>
      </c>
      <c r="E1061" t="s">
        <v>143</v>
      </c>
      <c r="F1061" t="s">
        <v>15</v>
      </c>
    </row>
    <row r="1062" spans="1:6">
      <c r="A1062" t="s">
        <v>6</v>
      </c>
      <c r="B1062" s="1">
        <v>45847.419594907406</v>
      </c>
      <c r="C1062">
        <v>30002</v>
      </c>
      <c r="D1062" t="s">
        <v>7</v>
      </c>
      <c r="E1062" t="s">
        <v>143</v>
      </c>
      <c r="F1062" t="s">
        <v>15</v>
      </c>
    </row>
    <row r="1063" spans="1:6">
      <c r="A1063" t="s">
        <v>6</v>
      </c>
      <c r="B1063" s="1">
        <v>45845.555555555555</v>
      </c>
      <c r="C1063">
        <v>30002</v>
      </c>
      <c r="D1063" t="s">
        <v>7</v>
      </c>
      <c r="E1063" t="s">
        <v>143</v>
      </c>
      <c r="F1063" t="s">
        <v>15</v>
      </c>
    </row>
    <row r="1064" spans="1:6">
      <c r="A1064" t="s">
        <v>6</v>
      </c>
      <c r="B1064" s="1">
        <v>45845.380844907406</v>
      </c>
      <c r="C1064">
        <v>30002</v>
      </c>
      <c r="D1064" t="s">
        <v>7</v>
      </c>
      <c r="E1064" t="s">
        <v>143</v>
      </c>
      <c r="F1064" t="s">
        <v>15</v>
      </c>
    </row>
    <row r="1065" spans="1:6">
      <c r="A1065" t="s">
        <v>6</v>
      </c>
      <c r="B1065" s="1">
        <v>45845.37232638889</v>
      </c>
      <c r="C1065">
        <v>30002</v>
      </c>
      <c r="D1065" t="s">
        <v>7</v>
      </c>
      <c r="E1065" t="s">
        <v>143</v>
      </c>
      <c r="F1065" t="s">
        <v>15</v>
      </c>
    </row>
    <row r="1066" spans="1:6">
      <c r="A1066" t="s">
        <v>6</v>
      </c>
      <c r="B1066" s="1">
        <v>45840.590509259258</v>
      </c>
      <c r="C1066">
        <v>30002</v>
      </c>
      <c r="D1066" t="s">
        <v>7</v>
      </c>
      <c r="E1066" t="s">
        <v>143</v>
      </c>
      <c r="F1066" t="s">
        <v>15</v>
      </c>
    </row>
    <row r="1067" spans="1:6">
      <c r="A1067" t="s">
        <v>6</v>
      </c>
      <c r="B1067" s="1">
        <v>45862.651516203703</v>
      </c>
      <c r="C1067">
        <v>30002</v>
      </c>
      <c r="D1067" t="s">
        <v>7</v>
      </c>
      <c r="E1067" t="s">
        <v>143</v>
      </c>
      <c r="F1067" t="s">
        <v>36</v>
      </c>
    </row>
    <row r="1068" spans="1:6">
      <c r="A1068" t="s">
        <v>6</v>
      </c>
      <c r="B1068" s="1">
        <v>45862.64770833333</v>
      </c>
      <c r="C1068">
        <v>30002</v>
      </c>
      <c r="D1068" t="s">
        <v>7</v>
      </c>
      <c r="E1068" t="s">
        <v>143</v>
      </c>
      <c r="F1068" t="s">
        <v>36</v>
      </c>
    </row>
    <row r="1069" spans="1:6">
      <c r="A1069" t="s">
        <v>6</v>
      </c>
      <c r="B1069" s="1">
        <v>45862.642442129632</v>
      </c>
      <c r="C1069">
        <v>30002</v>
      </c>
      <c r="D1069" t="s">
        <v>7</v>
      </c>
      <c r="E1069" t="s">
        <v>143</v>
      </c>
      <c r="F1069" t="s">
        <v>36</v>
      </c>
    </row>
    <row r="1070" spans="1:6">
      <c r="A1070" t="s">
        <v>6</v>
      </c>
      <c r="B1070" s="1">
        <v>45856.438506944447</v>
      </c>
      <c r="C1070">
        <v>30002</v>
      </c>
      <c r="D1070" t="s">
        <v>7</v>
      </c>
      <c r="E1070" t="s">
        <v>143</v>
      </c>
      <c r="F1070" t="s">
        <v>36</v>
      </c>
    </row>
    <row r="1071" spans="1:6">
      <c r="A1071" t="s">
        <v>6</v>
      </c>
      <c r="B1071" s="1">
        <v>45853.548750000002</v>
      </c>
      <c r="C1071">
        <v>30002</v>
      </c>
      <c r="D1071" t="s">
        <v>7</v>
      </c>
      <c r="E1071" t="s">
        <v>143</v>
      </c>
      <c r="F1071" t="s">
        <v>36</v>
      </c>
    </row>
    <row r="1072" spans="1:6">
      <c r="A1072" t="s">
        <v>6</v>
      </c>
      <c r="B1072" s="1">
        <v>45847.793900462966</v>
      </c>
      <c r="C1072">
        <v>30002</v>
      </c>
      <c r="D1072" t="s">
        <v>7</v>
      </c>
      <c r="E1072" t="s">
        <v>143</v>
      </c>
      <c r="F1072" t="s">
        <v>36</v>
      </c>
    </row>
    <row r="1073" spans="1:6">
      <c r="A1073" t="s">
        <v>6</v>
      </c>
      <c r="B1073" s="1">
        <v>45847.786435185182</v>
      </c>
      <c r="C1073">
        <v>30002</v>
      </c>
      <c r="D1073" t="s">
        <v>7</v>
      </c>
      <c r="E1073" t="s">
        <v>143</v>
      </c>
      <c r="F1073" t="s">
        <v>36</v>
      </c>
    </row>
    <row r="1074" spans="1:6">
      <c r="A1074" t="s">
        <v>6</v>
      </c>
      <c r="B1074" s="1">
        <v>45847.772499999999</v>
      </c>
      <c r="C1074">
        <v>30002</v>
      </c>
      <c r="D1074" t="s">
        <v>7</v>
      </c>
      <c r="E1074" t="s">
        <v>143</v>
      </c>
      <c r="F1074" t="s">
        <v>36</v>
      </c>
    </row>
    <row r="1075" spans="1:6">
      <c r="A1075" t="s">
        <v>6</v>
      </c>
      <c r="B1075" s="1">
        <v>45847.445937500001</v>
      </c>
      <c r="C1075">
        <v>30002</v>
      </c>
      <c r="D1075" t="s">
        <v>7</v>
      </c>
      <c r="E1075" t="s">
        <v>143</v>
      </c>
      <c r="F1075" t="s">
        <v>36</v>
      </c>
    </row>
    <row r="1076" spans="1:6">
      <c r="A1076" t="s">
        <v>6</v>
      </c>
      <c r="B1076" s="1">
        <v>45847.431273148148</v>
      </c>
      <c r="C1076">
        <v>30002</v>
      </c>
      <c r="D1076" t="s">
        <v>7</v>
      </c>
      <c r="E1076" t="s">
        <v>143</v>
      </c>
      <c r="F1076" t="s">
        <v>36</v>
      </c>
    </row>
    <row r="1077" spans="1:6">
      <c r="A1077" t="s">
        <v>6</v>
      </c>
      <c r="B1077" s="1">
        <v>45845.623356481483</v>
      </c>
      <c r="C1077">
        <v>30002</v>
      </c>
      <c r="D1077" t="s">
        <v>7</v>
      </c>
      <c r="E1077" t="s">
        <v>143</v>
      </c>
      <c r="F1077" t="s">
        <v>36</v>
      </c>
    </row>
    <row r="1078" spans="1:6">
      <c r="A1078" t="s">
        <v>6</v>
      </c>
      <c r="B1078" s="1">
        <v>45841.480254629627</v>
      </c>
      <c r="C1078">
        <v>30002</v>
      </c>
      <c r="D1078" t="s">
        <v>7</v>
      </c>
      <c r="E1078" t="s">
        <v>143</v>
      </c>
      <c r="F1078" t="s">
        <v>36</v>
      </c>
    </row>
    <row r="1079" spans="1:6">
      <c r="A1079" t="s">
        <v>6</v>
      </c>
      <c r="B1079" s="1">
        <v>45841.4768287037</v>
      </c>
      <c r="C1079">
        <v>30002</v>
      </c>
      <c r="D1079" t="s">
        <v>7</v>
      </c>
      <c r="E1079" t="s">
        <v>143</v>
      </c>
      <c r="F1079" t="s">
        <v>36</v>
      </c>
    </row>
    <row r="1080" spans="1:6">
      <c r="A1080" t="s">
        <v>6</v>
      </c>
      <c r="B1080" s="1">
        <v>45866.540543981479</v>
      </c>
      <c r="C1080">
        <v>30002</v>
      </c>
      <c r="D1080" t="s">
        <v>7</v>
      </c>
      <c r="E1080" t="s">
        <v>143</v>
      </c>
      <c r="F1080" t="s">
        <v>9</v>
      </c>
    </row>
    <row r="1081" spans="1:6">
      <c r="A1081" t="s">
        <v>6</v>
      </c>
      <c r="B1081" s="1">
        <v>45864.760057870371</v>
      </c>
      <c r="C1081">
        <v>30002</v>
      </c>
      <c r="D1081" t="s">
        <v>7</v>
      </c>
      <c r="E1081" t="s">
        <v>143</v>
      </c>
      <c r="F1081" t="s">
        <v>9</v>
      </c>
    </row>
    <row r="1082" spans="1:6">
      <c r="A1082" t="s">
        <v>6</v>
      </c>
      <c r="B1082" s="1">
        <v>45864.756643518522</v>
      </c>
      <c r="C1082">
        <v>30002</v>
      </c>
      <c r="D1082" t="s">
        <v>7</v>
      </c>
      <c r="E1082" t="s">
        <v>143</v>
      </c>
      <c r="F1082" t="s">
        <v>9</v>
      </c>
    </row>
    <row r="1083" spans="1:6">
      <c r="A1083" t="s">
        <v>6</v>
      </c>
      <c r="B1083" s="1">
        <v>45862.397048611114</v>
      </c>
      <c r="C1083">
        <v>30002</v>
      </c>
      <c r="D1083" t="s">
        <v>7</v>
      </c>
      <c r="E1083" t="s">
        <v>143</v>
      </c>
      <c r="F1083" t="s">
        <v>9</v>
      </c>
    </row>
    <row r="1084" spans="1:6">
      <c r="A1084" t="s">
        <v>6</v>
      </c>
      <c r="B1084" s="1">
        <v>45862.391261574077</v>
      </c>
      <c r="C1084">
        <v>30002</v>
      </c>
      <c r="D1084" t="s">
        <v>7</v>
      </c>
      <c r="E1084" t="s">
        <v>143</v>
      </c>
      <c r="F1084" t="s">
        <v>9</v>
      </c>
    </row>
    <row r="1085" spans="1:6">
      <c r="A1085" t="s">
        <v>6</v>
      </c>
      <c r="B1085" s="1">
        <v>45862.385891203703</v>
      </c>
      <c r="C1085">
        <v>30002</v>
      </c>
      <c r="D1085" t="s">
        <v>7</v>
      </c>
      <c r="E1085" t="s">
        <v>143</v>
      </c>
      <c r="F1085" t="s">
        <v>9</v>
      </c>
    </row>
    <row r="1086" spans="1:6">
      <c r="A1086" t="s">
        <v>6</v>
      </c>
      <c r="B1086" s="1">
        <v>45862.38559027778</v>
      </c>
      <c r="C1086">
        <v>30002</v>
      </c>
      <c r="D1086" t="s">
        <v>7</v>
      </c>
      <c r="E1086" t="s">
        <v>143</v>
      </c>
      <c r="F1086" t="s">
        <v>9</v>
      </c>
    </row>
    <row r="1087" spans="1:6">
      <c r="A1087" t="s">
        <v>6</v>
      </c>
      <c r="B1087" s="1">
        <v>45862.381354166668</v>
      </c>
      <c r="C1087">
        <v>30002</v>
      </c>
      <c r="D1087" t="s">
        <v>7</v>
      </c>
      <c r="E1087" t="s">
        <v>143</v>
      </c>
      <c r="F1087" t="s">
        <v>9</v>
      </c>
    </row>
    <row r="1088" spans="1:6">
      <c r="A1088" t="s">
        <v>6</v>
      </c>
      <c r="B1088" s="1">
        <v>45862.374432870369</v>
      </c>
      <c r="C1088">
        <v>30002</v>
      </c>
      <c r="D1088" t="s">
        <v>7</v>
      </c>
      <c r="E1088" t="s">
        <v>143</v>
      </c>
      <c r="F1088" t="s">
        <v>9</v>
      </c>
    </row>
    <row r="1089" spans="1:6">
      <c r="A1089" t="s">
        <v>6</v>
      </c>
      <c r="B1089" s="1">
        <v>45862.370682870373</v>
      </c>
      <c r="C1089">
        <v>30002</v>
      </c>
      <c r="D1089" t="s">
        <v>7</v>
      </c>
      <c r="E1089" t="s">
        <v>143</v>
      </c>
      <c r="F1089" t="s">
        <v>9</v>
      </c>
    </row>
    <row r="1090" spans="1:6">
      <c r="A1090" t="s">
        <v>6</v>
      </c>
      <c r="B1090" s="1">
        <v>45862.368032407408</v>
      </c>
      <c r="C1090">
        <v>30002</v>
      </c>
      <c r="D1090" t="s">
        <v>7</v>
      </c>
      <c r="E1090" t="s">
        <v>143</v>
      </c>
      <c r="F1090" t="s">
        <v>9</v>
      </c>
    </row>
    <row r="1091" spans="1:6">
      <c r="A1091" t="s">
        <v>6</v>
      </c>
      <c r="B1091" s="1">
        <v>45862.366249999999</v>
      </c>
      <c r="C1091">
        <v>30002</v>
      </c>
      <c r="D1091" t="s">
        <v>7</v>
      </c>
      <c r="E1091" t="s">
        <v>143</v>
      </c>
      <c r="F1091" t="s">
        <v>9</v>
      </c>
    </row>
    <row r="1092" spans="1:6">
      <c r="A1092" t="s">
        <v>6</v>
      </c>
      <c r="B1092" s="1">
        <v>45862.364664351851</v>
      </c>
      <c r="C1092">
        <v>30002</v>
      </c>
      <c r="D1092" t="s">
        <v>7</v>
      </c>
      <c r="E1092" t="s">
        <v>143</v>
      </c>
      <c r="F1092" t="s">
        <v>9</v>
      </c>
    </row>
    <row r="1093" spans="1:6">
      <c r="A1093" t="s">
        <v>6</v>
      </c>
      <c r="B1093" s="1">
        <v>45862.364212962966</v>
      </c>
      <c r="C1093">
        <v>30002</v>
      </c>
      <c r="D1093" t="s">
        <v>7</v>
      </c>
      <c r="E1093" t="s">
        <v>143</v>
      </c>
      <c r="F1093" t="s">
        <v>9</v>
      </c>
    </row>
    <row r="1094" spans="1:6">
      <c r="A1094" t="s">
        <v>6</v>
      </c>
      <c r="B1094" s="1">
        <v>45862.363518518519</v>
      </c>
      <c r="C1094">
        <v>30002</v>
      </c>
      <c r="D1094" t="s">
        <v>7</v>
      </c>
      <c r="E1094" t="s">
        <v>143</v>
      </c>
      <c r="F1094" t="s">
        <v>9</v>
      </c>
    </row>
    <row r="1095" spans="1:6">
      <c r="A1095" t="s">
        <v>6</v>
      </c>
      <c r="B1095" s="1">
        <v>45860.677025462966</v>
      </c>
      <c r="C1095">
        <v>30002</v>
      </c>
      <c r="D1095" t="s">
        <v>7</v>
      </c>
      <c r="E1095" t="s">
        <v>143</v>
      </c>
      <c r="F1095" t="s">
        <v>9</v>
      </c>
    </row>
    <row r="1096" spans="1:6">
      <c r="A1096" t="s">
        <v>6</v>
      </c>
      <c r="B1096" s="1">
        <v>45860.676655092589</v>
      </c>
      <c r="C1096">
        <v>30002</v>
      </c>
      <c r="D1096" t="s">
        <v>7</v>
      </c>
      <c r="E1096" t="s">
        <v>143</v>
      </c>
      <c r="F1096" t="s">
        <v>9</v>
      </c>
    </row>
    <row r="1097" spans="1:6">
      <c r="A1097" t="s">
        <v>6</v>
      </c>
      <c r="B1097" s="1">
        <v>45860.672048611108</v>
      </c>
      <c r="C1097">
        <v>30002</v>
      </c>
      <c r="D1097" t="s">
        <v>7</v>
      </c>
      <c r="E1097" t="s">
        <v>143</v>
      </c>
      <c r="F1097" t="s">
        <v>9</v>
      </c>
    </row>
    <row r="1098" spans="1:6">
      <c r="A1098" t="s">
        <v>6</v>
      </c>
      <c r="B1098" s="1">
        <v>45860.669606481482</v>
      </c>
      <c r="C1098">
        <v>30002</v>
      </c>
      <c r="D1098" t="s">
        <v>7</v>
      </c>
      <c r="E1098" t="s">
        <v>143</v>
      </c>
      <c r="F1098" t="s">
        <v>9</v>
      </c>
    </row>
    <row r="1099" spans="1:6">
      <c r="A1099" t="s">
        <v>6</v>
      </c>
      <c r="B1099" s="1">
        <v>45860.667372685188</v>
      </c>
      <c r="C1099">
        <v>30002</v>
      </c>
      <c r="D1099" t="s">
        <v>7</v>
      </c>
      <c r="E1099" t="s">
        <v>143</v>
      </c>
      <c r="F1099" t="s">
        <v>9</v>
      </c>
    </row>
    <row r="1100" spans="1:6">
      <c r="A1100" t="s">
        <v>6</v>
      </c>
      <c r="B1100" s="1">
        <v>45860.664814814816</v>
      </c>
      <c r="C1100">
        <v>30002</v>
      </c>
      <c r="D1100" t="s">
        <v>7</v>
      </c>
      <c r="E1100" t="s">
        <v>143</v>
      </c>
      <c r="F1100" t="s">
        <v>9</v>
      </c>
    </row>
    <row r="1101" spans="1:6">
      <c r="A1101" t="s">
        <v>6</v>
      </c>
      <c r="B1101" s="1">
        <v>45860.660960648151</v>
      </c>
      <c r="C1101">
        <v>30002</v>
      </c>
      <c r="D1101" t="s">
        <v>7</v>
      </c>
      <c r="E1101" t="s">
        <v>143</v>
      </c>
      <c r="F1101" t="s">
        <v>9</v>
      </c>
    </row>
    <row r="1102" spans="1:6">
      <c r="A1102" t="s">
        <v>6</v>
      </c>
      <c r="B1102" s="1">
        <v>45860.65996527778</v>
      </c>
      <c r="C1102">
        <v>30002</v>
      </c>
      <c r="D1102" t="s">
        <v>7</v>
      </c>
      <c r="E1102" t="s">
        <v>143</v>
      </c>
      <c r="F1102" t="s">
        <v>9</v>
      </c>
    </row>
    <row r="1103" spans="1:6">
      <c r="A1103" t="s">
        <v>6</v>
      </c>
      <c r="B1103" s="1">
        <v>45860.659050925926</v>
      </c>
      <c r="C1103">
        <v>30002</v>
      </c>
      <c r="D1103" t="s">
        <v>7</v>
      </c>
      <c r="E1103" t="s">
        <v>143</v>
      </c>
      <c r="F1103" t="s">
        <v>9</v>
      </c>
    </row>
    <row r="1104" spans="1:6">
      <c r="A1104" t="s">
        <v>6</v>
      </c>
      <c r="B1104" s="1">
        <v>45860.658888888887</v>
      </c>
      <c r="C1104">
        <v>30002</v>
      </c>
      <c r="D1104" t="s">
        <v>7</v>
      </c>
      <c r="E1104" t="s">
        <v>143</v>
      </c>
      <c r="F1104" t="s">
        <v>9</v>
      </c>
    </row>
    <row r="1105" spans="1:6">
      <c r="A1105" t="s">
        <v>6</v>
      </c>
      <c r="B1105" s="1">
        <v>45860.35564814815</v>
      </c>
      <c r="C1105">
        <v>30002</v>
      </c>
      <c r="D1105" t="s">
        <v>7</v>
      </c>
      <c r="E1105" t="s">
        <v>143</v>
      </c>
      <c r="F1105" t="s">
        <v>9</v>
      </c>
    </row>
    <row r="1106" spans="1:6">
      <c r="A1106" t="s">
        <v>6</v>
      </c>
      <c r="B1106" s="1">
        <v>45860.331956018519</v>
      </c>
      <c r="C1106">
        <v>30002</v>
      </c>
      <c r="D1106" t="s">
        <v>7</v>
      </c>
      <c r="E1106" t="s">
        <v>143</v>
      </c>
      <c r="F1106" t="s">
        <v>9</v>
      </c>
    </row>
    <row r="1107" spans="1:6">
      <c r="A1107" t="s">
        <v>6</v>
      </c>
      <c r="B1107" s="1">
        <v>45860.331655092596</v>
      </c>
      <c r="C1107">
        <v>30002</v>
      </c>
      <c r="D1107" t="s">
        <v>7</v>
      </c>
      <c r="E1107" t="s">
        <v>143</v>
      </c>
      <c r="F1107" t="s">
        <v>9</v>
      </c>
    </row>
    <row r="1108" spans="1:6">
      <c r="A1108" t="s">
        <v>6</v>
      </c>
      <c r="B1108" s="1">
        <v>45860.331099537034</v>
      </c>
      <c r="C1108">
        <v>30002</v>
      </c>
      <c r="D1108" t="s">
        <v>7</v>
      </c>
      <c r="E1108" t="s">
        <v>143</v>
      </c>
      <c r="F1108" t="s">
        <v>9</v>
      </c>
    </row>
    <row r="1109" spans="1:6">
      <c r="A1109" t="s">
        <v>6</v>
      </c>
      <c r="B1109" s="1">
        <v>45868.396249999998</v>
      </c>
      <c r="C1109">
        <v>30002</v>
      </c>
      <c r="D1109" t="s">
        <v>7</v>
      </c>
      <c r="E1109" t="s">
        <v>143</v>
      </c>
      <c r="F1109" t="s">
        <v>66</v>
      </c>
    </row>
    <row r="1110" spans="1:6">
      <c r="A1110" t="s">
        <v>6</v>
      </c>
      <c r="B1110" s="1">
        <v>45868.393761574072</v>
      </c>
      <c r="C1110">
        <v>30002</v>
      </c>
      <c r="D1110" t="s">
        <v>7</v>
      </c>
      <c r="E1110" t="s">
        <v>143</v>
      </c>
      <c r="F1110" t="s">
        <v>66</v>
      </c>
    </row>
    <row r="1111" spans="1:6">
      <c r="A1111" t="s">
        <v>6</v>
      </c>
      <c r="B1111" s="1">
        <v>45868.383125</v>
      </c>
      <c r="C1111">
        <v>30002</v>
      </c>
      <c r="D1111" t="s">
        <v>7</v>
      </c>
      <c r="E1111" t="s">
        <v>143</v>
      </c>
      <c r="F1111" t="s">
        <v>66</v>
      </c>
    </row>
    <row r="1112" spans="1:6">
      <c r="A1112" t="s">
        <v>6</v>
      </c>
      <c r="B1112" s="1">
        <v>45868.377974537034</v>
      </c>
      <c r="C1112">
        <v>30002</v>
      </c>
      <c r="D1112" t="s">
        <v>7</v>
      </c>
      <c r="E1112" t="s">
        <v>143</v>
      </c>
      <c r="F1112" t="s">
        <v>66</v>
      </c>
    </row>
    <row r="1113" spans="1:6">
      <c r="A1113" t="s">
        <v>6</v>
      </c>
      <c r="B1113" s="1">
        <v>45868.377581018518</v>
      </c>
      <c r="C1113">
        <v>30002</v>
      </c>
      <c r="D1113" t="s">
        <v>7</v>
      </c>
      <c r="E1113" t="s">
        <v>143</v>
      </c>
      <c r="F1113" t="s">
        <v>66</v>
      </c>
    </row>
    <row r="1114" spans="1:6">
      <c r="A1114" t="s">
        <v>6</v>
      </c>
      <c r="B1114" s="1">
        <v>45868.377175925925</v>
      </c>
      <c r="C1114">
        <v>30002</v>
      </c>
      <c r="D1114" t="s">
        <v>7</v>
      </c>
      <c r="E1114" t="s">
        <v>143</v>
      </c>
      <c r="F1114" t="s">
        <v>66</v>
      </c>
    </row>
    <row r="1115" spans="1:6">
      <c r="A1115" t="s">
        <v>6</v>
      </c>
      <c r="B1115" s="1">
        <v>45868.377025462964</v>
      </c>
      <c r="C1115">
        <v>30002</v>
      </c>
      <c r="D1115" t="s">
        <v>7</v>
      </c>
      <c r="E1115" t="s">
        <v>143</v>
      </c>
      <c r="F1115" t="s">
        <v>66</v>
      </c>
    </row>
    <row r="1116" spans="1:6">
      <c r="A1116" t="s">
        <v>6</v>
      </c>
      <c r="B1116" s="1">
        <v>45868.376921296294</v>
      </c>
      <c r="C1116">
        <v>30002</v>
      </c>
      <c r="D1116" t="s">
        <v>7</v>
      </c>
      <c r="E1116" t="s">
        <v>143</v>
      </c>
      <c r="F1116" t="s">
        <v>66</v>
      </c>
    </row>
    <row r="1117" spans="1:6">
      <c r="A1117" t="s">
        <v>6</v>
      </c>
      <c r="B1117" s="1">
        <v>45868.376168981478</v>
      </c>
      <c r="C1117">
        <v>30002</v>
      </c>
      <c r="D1117" t="s">
        <v>7</v>
      </c>
      <c r="E1117" t="s">
        <v>143</v>
      </c>
      <c r="F1117" t="s">
        <v>66</v>
      </c>
    </row>
    <row r="1118" spans="1:6">
      <c r="A1118" t="s">
        <v>6</v>
      </c>
      <c r="B1118" s="1">
        <v>45868.375555555554</v>
      </c>
      <c r="C1118">
        <v>30002</v>
      </c>
      <c r="D1118" t="s">
        <v>7</v>
      </c>
      <c r="E1118" t="s">
        <v>143</v>
      </c>
      <c r="F1118" t="s">
        <v>66</v>
      </c>
    </row>
    <row r="1119" spans="1:6">
      <c r="A1119" t="s">
        <v>6</v>
      </c>
      <c r="B1119" s="1">
        <v>45868.375439814816</v>
      </c>
      <c r="C1119">
        <v>30002</v>
      </c>
      <c r="D1119" t="s">
        <v>7</v>
      </c>
      <c r="E1119" t="s">
        <v>143</v>
      </c>
      <c r="F1119" t="s">
        <v>66</v>
      </c>
    </row>
    <row r="1120" spans="1:6">
      <c r="A1120" t="s">
        <v>6</v>
      </c>
      <c r="B1120" s="1">
        <v>45868.375289351854</v>
      </c>
      <c r="C1120">
        <v>30002</v>
      </c>
      <c r="D1120" t="s">
        <v>7</v>
      </c>
      <c r="E1120" t="s">
        <v>143</v>
      </c>
      <c r="F1120" t="s">
        <v>66</v>
      </c>
    </row>
    <row r="1121" spans="1:6">
      <c r="A1121" t="s">
        <v>6</v>
      </c>
      <c r="B1121" s="1">
        <v>45863.579513888886</v>
      </c>
      <c r="C1121">
        <v>30002</v>
      </c>
      <c r="D1121" t="s">
        <v>7</v>
      </c>
      <c r="E1121" t="s">
        <v>143</v>
      </c>
      <c r="F1121" t="s">
        <v>66</v>
      </c>
    </row>
    <row r="1122" spans="1:6">
      <c r="A1122" t="s">
        <v>6</v>
      </c>
      <c r="B1122" s="1">
        <v>45863.579432870371</v>
      </c>
      <c r="C1122">
        <v>30002</v>
      </c>
      <c r="D1122" t="s">
        <v>7</v>
      </c>
      <c r="E1122" t="s">
        <v>143</v>
      </c>
      <c r="F1122" t="s">
        <v>66</v>
      </c>
    </row>
    <row r="1123" spans="1:6">
      <c r="A1123" t="s">
        <v>6</v>
      </c>
      <c r="B1123" s="1">
        <v>45863.579212962963</v>
      </c>
      <c r="C1123">
        <v>30002</v>
      </c>
      <c r="D1123" t="s">
        <v>7</v>
      </c>
      <c r="E1123" t="s">
        <v>143</v>
      </c>
      <c r="F1123" t="s">
        <v>66</v>
      </c>
    </row>
    <row r="1124" spans="1:6">
      <c r="A1124" t="s">
        <v>6</v>
      </c>
      <c r="B1124" s="1">
        <v>45863.578055555554</v>
      </c>
      <c r="C1124">
        <v>30002</v>
      </c>
      <c r="D1124" t="s">
        <v>7</v>
      </c>
      <c r="E1124" t="s">
        <v>143</v>
      </c>
      <c r="F1124" t="s">
        <v>66</v>
      </c>
    </row>
    <row r="1125" spans="1:6">
      <c r="A1125" t="s">
        <v>6</v>
      </c>
      <c r="B1125" s="1">
        <v>45862.45721064815</v>
      </c>
      <c r="C1125">
        <v>30002</v>
      </c>
      <c r="D1125" t="s">
        <v>7</v>
      </c>
      <c r="E1125" t="s">
        <v>143</v>
      </c>
      <c r="F1125" t="s">
        <v>23</v>
      </c>
    </row>
    <row r="1126" spans="1:6">
      <c r="A1126" t="s">
        <v>6</v>
      </c>
      <c r="B1126" s="1">
        <v>45862.455347222225</v>
      </c>
      <c r="C1126">
        <v>30002</v>
      </c>
      <c r="D1126" t="s">
        <v>7</v>
      </c>
      <c r="E1126" t="s">
        <v>143</v>
      </c>
      <c r="F1126" t="s">
        <v>23</v>
      </c>
    </row>
    <row r="1127" spans="1:6">
      <c r="A1127" t="s">
        <v>6</v>
      </c>
      <c r="B1127" s="1">
        <v>45860.327141203707</v>
      </c>
      <c r="C1127">
        <v>30002</v>
      </c>
      <c r="D1127" t="s">
        <v>7</v>
      </c>
      <c r="E1127" t="s">
        <v>143</v>
      </c>
      <c r="F1127" t="s">
        <v>23</v>
      </c>
    </row>
    <row r="1128" spans="1:6">
      <c r="A1128" t="s">
        <v>6</v>
      </c>
      <c r="B1128" s="1">
        <v>45859.395324074074</v>
      </c>
      <c r="C1128">
        <v>30002</v>
      </c>
      <c r="D1128" t="s">
        <v>7</v>
      </c>
      <c r="E1128" t="s">
        <v>143</v>
      </c>
      <c r="F1128" t="s">
        <v>23</v>
      </c>
    </row>
    <row r="1129" spans="1:6">
      <c r="A1129" t="s">
        <v>6</v>
      </c>
      <c r="B1129" s="1">
        <v>45849.626805555556</v>
      </c>
      <c r="C1129">
        <v>30002</v>
      </c>
      <c r="D1129" t="s">
        <v>7</v>
      </c>
      <c r="E1129" t="s">
        <v>143</v>
      </c>
      <c r="F1129" t="s">
        <v>23</v>
      </c>
    </row>
    <row r="1130" spans="1:6">
      <c r="A1130" t="s">
        <v>6</v>
      </c>
      <c r="B1130" s="1">
        <v>45849.615243055552</v>
      </c>
      <c r="C1130">
        <v>30002</v>
      </c>
      <c r="D1130" t="s">
        <v>7</v>
      </c>
      <c r="E1130" t="s">
        <v>143</v>
      </c>
      <c r="F1130" t="s">
        <v>23</v>
      </c>
    </row>
    <row r="1131" spans="1:6">
      <c r="A1131" t="s">
        <v>6</v>
      </c>
      <c r="B1131" s="1">
        <v>45845.367407407408</v>
      </c>
      <c r="C1131">
        <v>30002</v>
      </c>
      <c r="D1131" t="s">
        <v>7</v>
      </c>
      <c r="E1131" t="s">
        <v>143</v>
      </c>
      <c r="F1131" t="s">
        <v>23</v>
      </c>
    </row>
    <row r="1132" spans="1:6">
      <c r="A1132" t="s">
        <v>6</v>
      </c>
      <c r="B1132" s="1">
        <v>45844.685706018521</v>
      </c>
      <c r="C1132">
        <v>30002</v>
      </c>
      <c r="D1132" t="s">
        <v>7</v>
      </c>
      <c r="E1132" t="s">
        <v>143</v>
      </c>
      <c r="F1132" t="s">
        <v>23</v>
      </c>
    </row>
    <row r="1133" spans="1:6">
      <c r="A1133" t="s">
        <v>6</v>
      </c>
      <c r="B1133" s="1">
        <v>45868.674861111111</v>
      </c>
      <c r="C1133">
        <v>30002</v>
      </c>
      <c r="D1133" t="s">
        <v>7</v>
      </c>
      <c r="E1133" t="s">
        <v>143</v>
      </c>
      <c r="F1133" t="s">
        <v>27</v>
      </c>
    </row>
    <row r="1134" spans="1:6">
      <c r="A1134" t="s">
        <v>6</v>
      </c>
      <c r="B1134" s="1">
        <v>45868.672314814816</v>
      </c>
      <c r="C1134">
        <v>30002</v>
      </c>
      <c r="D1134" t="s">
        <v>7</v>
      </c>
      <c r="E1134" t="s">
        <v>143</v>
      </c>
      <c r="F1134" t="s">
        <v>27</v>
      </c>
    </row>
    <row r="1135" spans="1:6">
      <c r="A1135" t="s">
        <v>6</v>
      </c>
      <c r="B1135" s="1">
        <v>45867.407314814816</v>
      </c>
      <c r="C1135">
        <v>30002</v>
      </c>
      <c r="D1135" t="s">
        <v>7</v>
      </c>
      <c r="E1135" t="s">
        <v>143</v>
      </c>
      <c r="F1135" t="s">
        <v>27</v>
      </c>
    </row>
    <row r="1136" spans="1:6">
      <c r="A1136" t="s">
        <v>6</v>
      </c>
      <c r="B1136" s="1">
        <v>45867.341666666667</v>
      </c>
      <c r="C1136">
        <v>30002</v>
      </c>
      <c r="D1136" t="s">
        <v>7</v>
      </c>
      <c r="E1136" t="s">
        <v>143</v>
      </c>
      <c r="F1136" t="s">
        <v>27</v>
      </c>
    </row>
    <row r="1137" spans="1:6">
      <c r="A1137" t="s">
        <v>6</v>
      </c>
      <c r="B1137" s="1">
        <v>45862.664317129631</v>
      </c>
      <c r="C1137">
        <v>30002</v>
      </c>
      <c r="D1137" t="s">
        <v>7</v>
      </c>
      <c r="E1137" t="s">
        <v>143</v>
      </c>
      <c r="F1137" t="s">
        <v>27</v>
      </c>
    </row>
    <row r="1138" spans="1:6">
      <c r="A1138" t="s">
        <v>6</v>
      </c>
      <c r="B1138" s="1">
        <v>45862.618449074071</v>
      </c>
      <c r="C1138">
        <v>30002</v>
      </c>
      <c r="D1138" t="s">
        <v>7</v>
      </c>
      <c r="E1138" t="s">
        <v>143</v>
      </c>
      <c r="F1138" t="s">
        <v>27</v>
      </c>
    </row>
    <row r="1139" spans="1:6">
      <c r="A1139" t="s">
        <v>6</v>
      </c>
      <c r="B1139" s="1">
        <v>45862.615787037037</v>
      </c>
      <c r="C1139">
        <v>30002</v>
      </c>
      <c r="D1139" t="s">
        <v>7</v>
      </c>
      <c r="E1139" t="s">
        <v>143</v>
      </c>
      <c r="F1139" t="s">
        <v>27</v>
      </c>
    </row>
    <row r="1140" spans="1:6">
      <c r="A1140" t="s">
        <v>6</v>
      </c>
      <c r="B1140" s="1">
        <v>45862.615590277775</v>
      </c>
      <c r="C1140">
        <v>30002</v>
      </c>
      <c r="D1140" t="s">
        <v>7</v>
      </c>
      <c r="E1140" t="s">
        <v>143</v>
      </c>
      <c r="F1140" t="s">
        <v>27</v>
      </c>
    </row>
    <row r="1141" spans="1:6">
      <c r="A1141" t="s">
        <v>6</v>
      </c>
      <c r="B1141" s="1">
        <v>45862.377118055556</v>
      </c>
      <c r="C1141">
        <v>30002</v>
      </c>
      <c r="D1141" t="s">
        <v>7</v>
      </c>
      <c r="E1141" t="s">
        <v>143</v>
      </c>
      <c r="F1141" t="s">
        <v>27</v>
      </c>
    </row>
    <row r="1142" spans="1:6">
      <c r="A1142" t="s">
        <v>6</v>
      </c>
      <c r="B1142" s="1">
        <v>45862.370474537034</v>
      </c>
      <c r="C1142">
        <v>30002</v>
      </c>
      <c r="D1142" t="s">
        <v>7</v>
      </c>
      <c r="E1142" t="s">
        <v>143</v>
      </c>
      <c r="F1142" t="s">
        <v>27</v>
      </c>
    </row>
    <row r="1143" spans="1:6">
      <c r="A1143" t="s">
        <v>6</v>
      </c>
      <c r="B1143" s="1">
        <v>45862.370347222219</v>
      </c>
      <c r="C1143">
        <v>30002</v>
      </c>
      <c r="D1143" t="s">
        <v>7</v>
      </c>
      <c r="E1143" t="s">
        <v>143</v>
      </c>
      <c r="F1143" t="s">
        <v>27</v>
      </c>
    </row>
    <row r="1144" spans="1:6">
      <c r="A1144" t="s">
        <v>6</v>
      </c>
      <c r="B1144" s="1">
        <v>45862.370289351849</v>
      </c>
      <c r="C1144">
        <v>30002</v>
      </c>
      <c r="D1144" t="s">
        <v>7</v>
      </c>
      <c r="E1144" t="s">
        <v>143</v>
      </c>
      <c r="F1144" t="s">
        <v>27</v>
      </c>
    </row>
    <row r="1145" spans="1:6">
      <c r="A1145" t="s">
        <v>6</v>
      </c>
      <c r="B1145" s="1">
        <v>45862.367986111109</v>
      </c>
      <c r="C1145">
        <v>30002</v>
      </c>
      <c r="D1145" t="s">
        <v>7</v>
      </c>
      <c r="E1145" t="s">
        <v>143</v>
      </c>
      <c r="F1145" t="s">
        <v>27</v>
      </c>
    </row>
    <row r="1146" spans="1:6">
      <c r="A1146" t="s">
        <v>6</v>
      </c>
      <c r="B1146" s="1">
        <v>45862.367256944446</v>
      </c>
      <c r="C1146">
        <v>30002</v>
      </c>
      <c r="D1146" t="s">
        <v>7</v>
      </c>
      <c r="E1146" t="s">
        <v>143</v>
      </c>
      <c r="F1146" t="s">
        <v>27</v>
      </c>
    </row>
    <row r="1147" spans="1:6">
      <c r="A1147" t="s">
        <v>6</v>
      </c>
      <c r="B1147" s="1">
        <v>45862.364444444444</v>
      </c>
      <c r="C1147">
        <v>30002</v>
      </c>
      <c r="D1147" t="s">
        <v>7</v>
      </c>
      <c r="E1147" t="s">
        <v>143</v>
      </c>
      <c r="F1147" t="s">
        <v>27</v>
      </c>
    </row>
    <row r="1148" spans="1:6">
      <c r="A1148" t="s">
        <v>6</v>
      </c>
      <c r="B1148" s="1">
        <v>45862.363587962966</v>
      </c>
      <c r="C1148">
        <v>30002</v>
      </c>
      <c r="D1148" t="s">
        <v>7</v>
      </c>
      <c r="E1148" t="s">
        <v>143</v>
      </c>
      <c r="F1148" t="s">
        <v>27</v>
      </c>
    </row>
    <row r="1149" spans="1:6">
      <c r="A1149" t="s">
        <v>6</v>
      </c>
      <c r="B1149" s="1">
        <v>45862.348124999997</v>
      </c>
      <c r="C1149">
        <v>30002</v>
      </c>
      <c r="D1149" t="s">
        <v>7</v>
      </c>
      <c r="E1149" t="s">
        <v>143</v>
      </c>
      <c r="F1149" t="s">
        <v>27</v>
      </c>
    </row>
    <row r="1150" spans="1:6">
      <c r="A1150" t="s">
        <v>6</v>
      </c>
      <c r="B1150" s="1">
        <v>45862.32984953704</v>
      </c>
      <c r="C1150">
        <v>30002</v>
      </c>
      <c r="D1150" t="s">
        <v>7</v>
      </c>
      <c r="E1150" t="s">
        <v>143</v>
      </c>
      <c r="F1150" t="s">
        <v>27</v>
      </c>
    </row>
    <row r="1151" spans="1:6">
      <c r="A1151" t="s">
        <v>6</v>
      </c>
      <c r="B1151" s="1">
        <v>45862.329143518517</v>
      </c>
      <c r="C1151">
        <v>30002</v>
      </c>
      <c r="D1151" t="s">
        <v>7</v>
      </c>
      <c r="E1151" t="s">
        <v>143</v>
      </c>
      <c r="F1151" t="s">
        <v>27</v>
      </c>
    </row>
    <row r="1152" spans="1:6">
      <c r="A1152" t="s">
        <v>6</v>
      </c>
      <c r="B1152" s="1">
        <v>45862.328657407408</v>
      </c>
      <c r="C1152">
        <v>30002</v>
      </c>
      <c r="D1152" t="s">
        <v>7</v>
      </c>
      <c r="E1152" t="s">
        <v>143</v>
      </c>
      <c r="F1152" t="s">
        <v>27</v>
      </c>
    </row>
    <row r="1153" spans="1:6">
      <c r="A1153" t="s">
        <v>6</v>
      </c>
      <c r="B1153" s="1">
        <v>45862.328356481485</v>
      </c>
      <c r="C1153">
        <v>30002</v>
      </c>
      <c r="D1153" t="s">
        <v>7</v>
      </c>
      <c r="E1153" t="s">
        <v>143</v>
      </c>
      <c r="F1153" t="s">
        <v>27</v>
      </c>
    </row>
    <row r="1154" spans="1:6">
      <c r="A1154" t="s">
        <v>6</v>
      </c>
      <c r="B1154" s="1">
        <v>45862.327245370368</v>
      </c>
      <c r="C1154">
        <v>30002</v>
      </c>
      <c r="D1154" t="s">
        <v>7</v>
      </c>
      <c r="E1154" t="s">
        <v>143</v>
      </c>
      <c r="F1154" t="s">
        <v>27</v>
      </c>
    </row>
    <row r="1155" spans="1:6">
      <c r="A1155" t="s">
        <v>6</v>
      </c>
      <c r="B1155" s="1">
        <v>45860.655243055553</v>
      </c>
      <c r="C1155">
        <v>30002</v>
      </c>
      <c r="D1155" t="s">
        <v>7</v>
      </c>
      <c r="E1155" t="s">
        <v>143</v>
      </c>
      <c r="F1155" t="s">
        <v>27</v>
      </c>
    </row>
    <row r="1156" spans="1:6">
      <c r="A1156" t="s">
        <v>6</v>
      </c>
      <c r="B1156" s="1">
        <v>45860.655034722222</v>
      </c>
      <c r="C1156">
        <v>30002</v>
      </c>
      <c r="D1156" t="s">
        <v>7</v>
      </c>
      <c r="E1156" t="s">
        <v>143</v>
      </c>
      <c r="F1156" t="s">
        <v>27</v>
      </c>
    </row>
    <row r="1157" spans="1:6">
      <c r="A1157" t="s">
        <v>6</v>
      </c>
      <c r="B1157" s="1">
        <v>45860.644756944443</v>
      </c>
      <c r="C1157">
        <v>30002</v>
      </c>
      <c r="D1157" t="s">
        <v>7</v>
      </c>
      <c r="E1157" t="s">
        <v>143</v>
      </c>
      <c r="F1157" t="s">
        <v>27</v>
      </c>
    </row>
    <row r="1158" spans="1:6">
      <c r="A1158" t="s">
        <v>6</v>
      </c>
      <c r="B1158" s="1">
        <v>45860.558078703703</v>
      </c>
      <c r="C1158">
        <v>30002</v>
      </c>
      <c r="D1158" t="s">
        <v>7</v>
      </c>
      <c r="E1158" t="s">
        <v>143</v>
      </c>
      <c r="F1158" t="s">
        <v>27</v>
      </c>
    </row>
    <row r="1159" spans="1:6">
      <c r="A1159" t="s">
        <v>6</v>
      </c>
      <c r="B1159" s="1">
        <v>45860.541898148149</v>
      </c>
      <c r="C1159">
        <v>30002</v>
      </c>
      <c r="D1159" t="s">
        <v>7</v>
      </c>
      <c r="E1159" t="s">
        <v>143</v>
      </c>
      <c r="F1159" t="s">
        <v>27</v>
      </c>
    </row>
    <row r="1160" spans="1:6">
      <c r="A1160" t="s">
        <v>6</v>
      </c>
      <c r="B1160" s="1">
        <v>45860.522789351853</v>
      </c>
      <c r="C1160">
        <v>30002</v>
      </c>
      <c r="D1160" t="s">
        <v>7</v>
      </c>
      <c r="E1160" t="s">
        <v>143</v>
      </c>
      <c r="F1160" t="s">
        <v>27</v>
      </c>
    </row>
    <row r="1161" spans="1:6">
      <c r="A1161" t="s">
        <v>6</v>
      </c>
      <c r="B1161" s="1">
        <v>45860.522511574076</v>
      </c>
      <c r="C1161">
        <v>30002</v>
      </c>
      <c r="D1161" t="s">
        <v>7</v>
      </c>
      <c r="E1161" t="s">
        <v>143</v>
      </c>
      <c r="F1161" t="s">
        <v>27</v>
      </c>
    </row>
    <row r="1162" spans="1:6">
      <c r="A1162" t="s">
        <v>6</v>
      </c>
      <c r="B1162" s="1">
        <v>45860.522141203706</v>
      </c>
      <c r="C1162">
        <v>30002</v>
      </c>
      <c r="D1162" t="s">
        <v>7</v>
      </c>
      <c r="E1162" t="s">
        <v>143</v>
      </c>
      <c r="F1162" t="s">
        <v>27</v>
      </c>
    </row>
    <row r="1163" spans="1:6">
      <c r="A1163" t="s">
        <v>6</v>
      </c>
      <c r="B1163" s="1">
        <v>45852.387384259258</v>
      </c>
      <c r="C1163">
        <v>30002</v>
      </c>
      <c r="D1163" t="s">
        <v>7</v>
      </c>
      <c r="E1163" t="s">
        <v>143</v>
      </c>
      <c r="F1163" t="s">
        <v>27</v>
      </c>
    </row>
    <row r="1164" spans="1:6">
      <c r="A1164" t="s">
        <v>6</v>
      </c>
      <c r="B1164" s="1">
        <v>45852.351979166669</v>
      </c>
      <c r="C1164">
        <v>30002</v>
      </c>
      <c r="D1164" t="s">
        <v>7</v>
      </c>
      <c r="E1164" t="s">
        <v>143</v>
      </c>
      <c r="F1164" t="s">
        <v>27</v>
      </c>
    </row>
    <row r="1165" spans="1:6">
      <c r="A1165" t="s">
        <v>6</v>
      </c>
      <c r="B1165" s="1">
        <v>45852.342488425929</v>
      </c>
      <c r="C1165">
        <v>30002</v>
      </c>
      <c r="D1165" t="s">
        <v>7</v>
      </c>
      <c r="E1165" t="s">
        <v>143</v>
      </c>
      <c r="F1165" t="s">
        <v>27</v>
      </c>
    </row>
    <row r="1166" spans="1:6">
      <c r="A1166" t="s">
        <v>6</v>
      </c>
      <c r="B1166" s="1">
        <v>45848.489247685182</v>
      </c>
      <c r="C1166">
        <v>30002</v>
      </c>
      <c r="D1166" t="s">
        <v>7</v>
      </c>
      <c r="E1166" t="s">
        <v>143</v>
      </c>
      <c r="F1166" t="s">
        <v>27</v>
      </c>
    </row>
    <row r="1167" spans="1:6">
      <c r="A1167" t="s">
        <v>6</v>
      </c>
      <c r="B1167" s="1">
        <v>45848.458043981482</v>
      </c>
      <c r="C1167">
        <v>30002</v>
      </c>
      <c r="D1167" t="s">
        <v>7</v>
      </c>
      <c r="E1167" t="s">
        <v>143</v>
      </c>
      <c r="F1167" t="s">
        <v>27</v>
      </c>
    </row>
    <row r="1168" spans="1:6">
      <c r="A1168" t="s">
        <v>6</v>
      </c>
      <c r="B1168" s="1">
        <v>45848.45385416667</v>
      </c>
      <c r="C1168">
        <v>30002</v>
      </c>
      <c r="D1168" t="s">
        <v>7</v>
      </c>
      <c r="E1168" t="s">
        <v>143</v>
      </c>
      <c r="F1168" t="s">
        <v>27</v>
      </c>
    </row>
    <row r="1169" spans="1:6">
      <c r="A1169" t="s">
        <v>6</v>
      </c>
      <c r="B1169" s="1">
        <v>45848.452974537038</v>
      </c>
      <c r="C1169">
        <v>30002</v>
      </c>
      <c r="D1169" t="s">
        <v>7</v>
      </c>
      <c r="E1169" t="s">
        <v>143</v>
      </c>
      <c r="F1169" t="s">
        <v>27</v>
      </c>
    </row>
    <row r="1170" spans="1:6">
      <c r="A1170" t="s">
        <v>6</v>
      </c>
      <c r="B1170" s="1">
        <v>45848.452939814815</v>
      </c>
      <c r="C1170">
        <v>30002</v>
      </c>
      <c r="D1170" t="s">
        <v>7</v>
      </c>
      <c r="E1170" t="s">
        <v>143</v>
      </c>
      <c r="F1170" t="s">
        <v>27</v>
      </c>
    </row>
    <row r="1171" spans="1:6">
      <c r="A1171" t="s">
        <v>6</v>
      </c>
      <c r="B1171" s="1">
        <v>45848.449780092589</v>
      </c>
      <c r="C1171">
        <v>30002</v>
      </c>
      <c r="D1171" t="s">
        <v>7</v>
      </c>
      <c r="E1171" t="s">
        <v>143</v>
      </c>
      <c r="F1171" t="s">
        <v>27</v>
      </c>
    </row>
    <row r="1172" spans="1:6">
      <c r="A1172" t="s">
        <v>6</v>
      </c>
      <c r="B1172" s="1">
        <v>45841.42255787037</v>
      </c>
      <c r="C1172">
        <v>30002</v>
      </c>
      <c r="D1172" t="s">
        <v>7</v>
      </c>
      <c r="E1172" t="s">
        <v>143</v>
      </c>
      <c r="F1172" t="s">
        <v>27</v>
      </c>
    </row>
    <row r="1173" spans="1:6">
      <c r="A1173" t="s">
        <v>6</v>
      </c>
      <c r="B1173" s="1">
        <v>45841.422407407408</v>
      </c>
      <c r="C1173">
        <v>30002</v>
      </c>
      <c r="D1173" t="s">
        <v>7</v>
      </c>
      <c r="E1173" t="s">
        <v>143</v>
      </c>
      <c r="F1173" t="s">
        <v>27</v>
      </c>
    </row>
    <row r="1174" spans="1:6">
      <c r="A1174" t="s">
        <v>6</v>
      </c>
      <c r="B1174" s="1">
        <v>45840.631469907406</v>
      </c>
      <c r="C1174">
        <v>30002</v>
      </c>
      <c r="D1174" t="s">
        <v>7</v>
      </c>
      <c r="E1174" t="s">
        <v>143</v>
      </c>
      <c r="F1174" t="s">
        <v>27</v>
      </c>
    </row>
    <row r="1175" spans="1:6">
      <c r="A1175" t="s">
        <v>6</v>
      </c>
      <c r="B1175" s="1">
        <v>45840.628888888888</v>
      </c>
      <c r="C1175">
        <v>30002</v>
      </c>
      <c r="D1175" t="s">
        <v>7</v>
      </c>
      <c r="E1175" t="s">
        <v>143</v>
      </c>
      <c r="F1175" t="s">
        <v>27</v>
      </c>
    </row>
    <row r="1176" spans="1:6">
      <c r="A1176" t="s">
        <v>6</v>
      </c>
      <c r="B1176" s="1">
        <v>45840.61277777778</v>
      </c>
      <c r="C1176">
        <v>30002</v>
      </c>
      <c r="D1176" t="s">
        <v>7</v>
      </c>
      <c r="E1176" t="s">
        <v>143</v>
      </c>
      <c r="F1176" t="s">
        <v>27</v>
      </c>
    </row>
    <row r="1177" spans="1:6">
      <c r="A1177" t="s">
        <v>6</v>
      </c>
      <c r="B1177" s="1">
        <v>45840.405266203707</v>
      </c>
      <c r="C1177">
        <v>30002</v>
      </c>
      <c r="D1177" t="s">
        <v>7</v>
      </c>
      <c r="E1177" t="s">
        <v>143</v>
      </c>
      <c r="F1177" t="s">
        <v>27</v>
      </c>
    </row>
    <row r="1178" spans="1:6">
      <c r="A1178" t="s">
        <v>6</v>
      </c>
      <c r="B1178" s="1">
        <v>45840.383263888885</v>
      </c>
      <c r="C1178">
        <v>30002</v>
      </c>
      <c r="D1178" t="s">
        <v>7</v>
      </c>
      <c r="E1178" t="s">
        <v>143</v>
      </c>
      <c r="F1178" t="s">
        <v>27</v>
      </c>
    </row>
    <row r="1179" spans="1:6">
      <c r="A1179" t="s">
        <v>6</v>
      </c>
      <c r="B1179" s="1">
        <v>45840.371678240743</v>
      </c>
      <c r="C1179">
        <v>30002</v>
      </c>
      <c r="D1179" t="s">
        <v>7</v>
      </c>
      <c r="E1179" t="s">
        <v>143</v>
      </c>
      <c r="F1179" t="s">
        <v>27</v>
      </c>
    </row>
    <row r="1180" spans="1:6">
      <c r="A1180" t="s">
        <v>6</v>
      </c>
      <c r="B1180" s="1">
        <v>45840.37122685185</v>
      </c>
      <c r="C1180">
        <v>30002</v>
      </c>
      <c r="D1180" t="s">
        <v>7</v>
      </c>
      <c r="E1180" t="s">
        <v>143</v>
      </c>
      <c r="F1180" t="s">
        <v>27</v>
      </c>
    </row>
    <row r="1181" spans="1:6">
      <c r="A1181" t="s">
        <v>6</v>
      </c>
      <c r="B1181" s="1">
        <v>45840.371157407404</v>
      </c>
      <c r="C1181">
        <v>30002</v>
      </c>
      <c r="D1181" t="s">
        <v>7</v>
      </c>
      <c r="E1181" t="s">
        <v>143</v>
      </c>
      <c r="F1181" t="s">
        <v>27</v>
      </c>
    </row>
    <row r="1182" spans="1:6">
      <c r="A1182" t="s">
        <v>6</v>
      </c>
      <c r="B1182" s="1">
        <v>45839.656793981485</v>
      </c>
      <c r="C1182">
        <v>30002</v>
      </c>
      <c r="D1182" t="s">
        <v>7</v>
      </c>
      <c r="E1182" t="s">
        <v>143</v>
      </c>
      <c r="F1182" t="s">
        <v>27</v>
      </c>
    </row>
    <row r="1183" spans="1:6">
      <c r="A1183" t="s">
        <v>6</v>
      </c>
      <c r="B1183" s="1">
        <v>45839.652511574073</v>
      </c>
      <c r="C1183">
        <v>30002</v>
      </c>
      <c r="D1183" t="s">
        <v>7</v>
      </c>
      <c r="E1183" t="s">
        <v>143</v>
      </c>
      <c r="F1183" t="s">
        <v>27</v>
      </c>
    </row>
    <row r="1184" spans="1:6">
      <c r="A1184" t="s">
        <v>6</v>
      </c>
      <c r="B1184" s="1">
        <v>45839.650104166663</v>
      </c>
      <c r="C1184">
        <v>30002</v>
      </c>
      <c r="D1184" t="s">
        <v>7</v>
      </c>
      <c r="E1184" t="s">
        <v>143</v>
      </c>
      <c r="F1184" t="s">
        <v>27</v>
      </c>
    </row>
    <row r="1185" spans="1:6">
      <c r="A1185" t="s">
        <v>6</v>
      </c>
      <c r="B1185" s="1">
        <v>45839.418229166666</v>
      </c>
      <c r="C1185">
        <v>30002</v>
      </c>
      <c r="D1185" t="s">
        <v>7</v>
      </c>
      <c r="E1185" t="s">
        <v>143</v>
      </c>
      <c r="F1185" t="s">
        <v>27</v>
      </c>
    </row>
    <row r="1186" spans="1:6">
      <c r="A1186" t="s">
        <v>6</v>
      </c>
      <c r="B1186" s="1">
        <v>45839.417928240742</v>
      </c>
      <c r="C1186">
        <v>30002</v>
      </c>
      <c r="D1186" t="s">
        <v>7</v>
      </c>
      <c r="E1186" t="s">
        <v>143</v>
      </c>
      <c r="F1186" t="s">
        <v>27</v>
      </c>
    </row>
    <row r="1187" spans="1:6">
      <c r="A1187" t="s">
        <v>6</v>
      </c>
      <c r="B1187" s="1">
        <v>45839.412187499998</v>
      </c>
      <c r="C1187">
        <v>30002</v>
      </c>
      <c r="D1187" t="s">
        <v>7</v>
      </c>
      <c r="E1187" t="s">
        <v>143</v>
      </c>
      <c r="F1187" t="s">
        <v>27</v>
      </c>
    </row>
    <row r="1188" spans="1:6">
      <c r="A1188" t="s">
        <v>6</v>
      </c>
      <c r="B1188" s="1">
        <v>45860.506886574076</v>
      </c>
      <c r="C1188">
        <v>30002</v>
      </c>
      <c r="D1188" t="s">
        <v>7</v>
      </c>
      <c r="E1188" t="s">
        <v>143</v>
      </c>
      <c r="F1188" t="s">
        <v>135</v>
      </c>
    </row>
    <row r="1189" spans="1:6">
      <c r="A1189" t="s">
        <v>6</v>
      </c>
      <c r="B1189" s="1">
        <v>45860.497418981482</v>
      </c>
      <c r="C1189">
        <v>30002</v>
      </c>
      <c r="D1189" t="s">
        <v>7</v>
      </c>
      <c r="E1189" t="s">
        <v>143</v>
      </c>
      <c r="F1189" t="s">
        <v>135</v>
      </c>
    </row>
    <row r="1190" spans="1:6">
      <c r="A1190" t="s">
        <v>6</v>
      </c>
      <c r="B1190" s="1">
        <v>45860.495995370373</v>
      </c>
      <c r="C1190">
        <v>30002</v>
      </c>
      <c r="D1190" t="s">
        <v>7</v>
      </c>
      <c r="E1190" t="s">
        <v>143</v>
      </c>
      <c r="F1190" t="s">
        <v>135</v>
      </c>
    </row>
    <row r="1191" spans="1:6">
      <c r="A1191" t="s">
        <v>6</v>
      </c>
      <c r="B1191" s="1">
        <v>45860.495763888888</v>
      </c>
      <c r="C1191">
        <v>30002</v>
      </c>
      <c r="D1191" t="s">
        <v>7</v>
      </c>
      <c r="E1191" t="s">
        <v>143</v>
      </c>
      <c r="F1191" t="s">
        <v>135</v>
      </c>
    </row>
    <row r="1192" spans="1:6">
      <c r="A1192" t="s">
        <v>6</v>
      </c>
      <c r="B1192" s="1">
        <v>45860.495358796295</v>
      </c>
      <c r="C1192">
        <v>30002</v>
      </c>
      <c r="D1192" t="s">
        <v>7</v>
      </c>
      <c r="E1192" t="s">
        <v>143</v>
      </c>
      <c r="F1192" t="s">
        <v>135</v>
      </c>
    </row>
    <row r="1193" spans="1:6">
      <c r="A1193" t="s">
        <v>6</v>
      </c>
      <c r="B1193" s="1">
        <v>45860.494988425926</v>
      </c>
      <c r="C1193">
        <v>30002</v>
      </c>
      <c r="D1193" t="s">
        <v>7</v>
      </c>
      <c r="E1193" t="s">
        <v>143</v>
      </c>
      <c r="F1193" t="s">
        <v>135</v>
      </c>
    </row>
    <row r="1194" spans="1:6">
      <c r="A1194" t="s">
        <v>6</v>
      </c>
      <c r="B1194" s="1">
        <v>45860.48710648148</v>
      </c>
      <c r="C1194">
        <v>30002</v>
      </c>
      <c r="D1194" t="s">
        <v>7</v>
      </c>
      <c r="E1194" t="s">
        <v>143</v>
      </c>
      <c r="F1194" t="s">
        <v>135</v>
      </c>
    </row>
    <row r="1195" spans="1:6">
      <c r="A1195" t="s">
        <v>6</v>
      </c>
      <c r="B1195" s="1">
        <v>45853.327511574076</v>
      </c>
      <c r="C1195">
        <v>30002</v>
      </c>
      <c r="D1195" t="s">
        <v>7</v>
      </c>
      <c r="E1195" t="s">
        <v>143</v>
      </c>
      <c r="F1195" t="s">
        <v>114</v>
      </c>
    </row>
    <row r="1196" spans="1:6">
      <c r="A1196" t="s">
        <v>6</v>
      </c>
      <c r="B1196" s="1">
        <v>45852.383206018516</v>
      </c>
      <c r="C1196">
        <v>30002</v>
      </c>
      <c r="D1196" t="s">
        <v>7</v>
      </c>
      <c r="E1196" t="s">
        <v>143</v>
      </c>
      <c r="F1196" t="s">
        <v>114</v>
      </c>
    </row>
    <row r="1197" spans="1:6">
      <c r="A1197" t="s">
        <v>6</v>
      </c>
      <c r="B1197" s="1">
        <v>45852.379675925928</v>
      </c>
      <c r="C1197">
        <v>30002</v>
      </c>
      <c r="D1197" t="s">
        <v>7</v>
      </c>
      <c r="E1197" t="s">
        <v>143</v>
      </c>
      <c r="F1197" t="s">
        <v>114</v>
      </c>
    </row>
    <row r="1198" spans="1:6">
      <c r="A1198" t="s">
        <v>6</v>
      </c>
      <c r="B1198" s="1">
        <v>45841.581203703703</v>
      </c>
      <c r="C1198">
        <v>30002</v>
      </c>
      <c r="D1198" t="s">
        <v>7</v>
      </c>
      <c r="E1198" t="s">
        <v>143</v>
      </c>
      <c r="F1198" t="s">
        <v>54</v>
      </c>
    </row>
    <row r="1199" spans="1:6">
      <c r="A1199" t="s">
        <v>6</v>
      </c>
      <c r="B1199" s="1">
        <v>45841.575937499998</v>
      </c>
      <c r="C1199">
        <v>30002</v>
      </c>
      <c r="D1199" t="s">
        <v>7</v>
      </c>
      <c r="E1199" t="s">
        <v>143</v>
      </c>
      <c r="F1199" t="s">
        <v>54</v>
      </c>
    </row>
    <row r="1200" spans="1:6">
      <c r="A1200" t="s">
        <v>6</v>
      </c>
      <c r="B1200" s="1">
        <v>45841.575798611113</v>
      </c>
      <c r="C1200">
        <v>30002</v>
      </c>
      <c r="D1200" t="s">
        <v>7</v>
      </c>
      <c r="E1200" t="s">
        <v>143</v>
      </c>
      <c r="F1200" t="s">
        <v>54</v>
      </c>
    </row>
    <row r="1201" spans="1:6">
      <c r="A1201" t="s">
        <v>6</v>
      </c>
      <c r="B1201" s="1">
        <v>45841.575578703705</v>
      </c>
      <c r="C1201">
        <v>30002</v>
      </c>
      <c r="D1201" t="s">
        <v>7</v>
      </c>
      <c r="E1201" t="s">
        <v>143</v>
      </c>
      <c r="F1201" t="s">
        <v>54</v>
      </c>
    </row>
    <row r="1202" spans="1:6">
      <c r="A1202" t="s">
        <v>6</v>
      </c>
      <c r="B1202" s="1">
        <v>45855.387361111112</v>
      </c>
      <c r="C1202">
        <v>30002</v>
      </c>
      <c r="D1202" t="s">
        <v>7</v>
      </c>
      <c r="E1202" t="s">
        <v>143</v>
      </c>
      <c r="F1202" t="s">
        <v>24</v>
      </c>
    </row>
    <row r="1203" spans="1:6">
      <c r="A1203" t="s">
        <v>6</v>
      </c>
      <c r="B1203" s="1">
        <v>45854.606111111112</v>
      </c>
      <c r="C1203">
        <v>30002</v>
      </c>
      <c r="D1203" t="s">
        <v>7</v>
      </c>
      <c r="E1203" t="s">
        <v>143</v>
      </c>
      <c r="F1203" t="s">
        <v>24</v>
      </c>
    </row>
    <row r="1204" spans="1:6">
      <c r="A1204" t="s">
        <v>6</v>
      </c>
      <c r="B1204" s="1">
        <v>45853.562939814816</v>
      </c>
      <c r="C1204">
        <v>30002</v>
      </c>
      <c r="D1204" t="s">
        <v>7</v>
      </c>
      <c r="E1204" t="s">
        <v>143</v>
      </c>
      <c r="F1204" t="s">
        <v>24</v>
      </c>
    </row>
    <row r="1205" spans="1:6">
      <c r="A1205" t="s">
        <v>6</v>
      </c>
      <c r="B1205" s="1">
        <v>45859.35297453704</v>
      </c>
      <c r="C1205">
        <v>30002</v>
      </c>
      <c r="D1205" t="s">
        <v>7</v>
      </c>
      <c r="E1205" t="s">
        <v>143</v>
      </c>
      <c r="F1205" t="s">
        <v>25</v>
      </c>
    </row>
    <row r="1206" spans="1:6">
      <c r="A1206" t="s">
        <v>6</v>
      </c>
      <c r="B1206" s="1">
        <v>45859.348923611113</v>
      </c>
      <c r="C1206">
        <v>30002</v>
      </c>
      <c r="D1206" t="s">
        <v>7</v>
      </c>
      <c r="E1206" t="s">
        <v>143</v>
      </c>
      <c r="F1206" t="s">
        <v>25</v>
      </c>
    </row>
    <row r="1207" spans="1:6">
      <c r="A1207" t="s">
        <v>6</v>
      </c>
      <c r="B1207" s="1">
        <v>45859.34851851852</v>
      </c>
      <c r="C1207">
        <v>30002</v>
      </c>
      <c r="D1207" t="s">
        <v>7</v>
      </c>
      <c r="E1207" t="s">
        <v>143</v>
      </c>
      <c r="F1207" t="s">
        <v>25</v>
      </c>
    </row>
    <row r="1208" spans="1:6">
      <c r="A1208" t="s">
        <v>6</v>
      </c>
      <c r="B1208" s="1">
        <v>45839.576157407406</v>
      </c>
      <c r="C1208">
        <v>30002</v>
      </c>
      <c r="D1208" t="s">
        <v>7</v>
      </c>
      <c r="E1208" t="s">
        <v>143</v>
      </c>
      <c r="F1208" t="s">
        <v>25</v>
      </c>
    </row>
    <row r="1209" spans="1:6">
      <c r="A1209" t="s">
        <v>6</v>
      </c>
      <c r="B1209" s="1">
        <v>45839.47146990741</v>
      </c>
      <c r="C1209">
        <v>30002</v>
      </c>
      <c r="D1209" t="s">
        <v>7</v>
      </c>
      <c r="E1209" t="s">
        <v>143</v>
      </c>
      <c r="F1209" t="s">
        <v>146</v>
      </c>
    </row>
    <row r="1210" spans="1:6">
      <c r="A1210" t="s">
        <v>6</v>
      </c>
      <c r="B1210" s="1">
        <v>45839.469965277778</v>
      </c>
      <c r="C1210">
        <v>30002</v>
      </c>
      <c r="D1210" t="s">
        <v>7</v>
      </c>
      <c r="E1210" t="s">
        <v>143</v>
      </c>
      <c r="F1210" t="s">
        <v>146</v>
      </c>
    </row>
    <row r="1211" spans="1:6">
      <c r="A1211" t="s">
        <v>6</v>
      </c>
      <c r="B1211" s="1">
        <v>45839.469351851854</v>
      </c>
      <c r="C1211">
        <v>30002</v>
      </c>
      <c r="D1211" t="s">
        <v>7</v>
      </c>
      <c r="E1211" t="s">
        <v>143</v>
      </c>
      <c r="F1211" t="s">
        <v>146</v>
      </c>
    </row>
    <row r="1212" spans="1:6">
      <c r="A1212" t="s">
        <v>6</v>
      </c>
      <c r="B1212" s="1">
        <v>45866.645219907405</v>
      </c>
      <c r="C1212">
        <v>30002</v>
      </c>
      <c r="D1212" t="s">
        <v>7</v>
      </c>
      <c r="E1212" t="s">
        <v>143</v>
      </c>
      <c r="F1212" t="s">
        <v>97</v>
      </c>
    </row>
    <row r="1213" spans="1:6">
      <c r="A1213" t="s">
        <v>6</v>
      </c>
      <c r="B1213" s="1">
        <v>45866.516458333332</v>
      </c>
      <c r="C1213">
        <v>30002</v>
      </c>
      <c r="D1213" t="s">
        <v>7</v>
      </c>
      <c r="E1213" t="s">
        <v>143</v>
      </c>
      <c r="F1213" t="s">
        <v>97</v>
      </c>
    </row>
    <row r="1214" spans="1:6">
      <c r="A1214" t="s">
        <v>6</v>
      </c>
      <c r="B1214" s="1">
        <v>45853.379895833335</v>
      </c>
      <c r="C1214">
        <v>30002</v>
      </c>
      <c r="D1214" t="s">
        <v>7</v>
      </c>
      <c r="E1214" t="s">
        <v>143</v>
      </c>
      <c r="F1214" t="s">
        <v>97</v>
      </c>
    </row>
    <row r="1215" spans="1:6">
      <c r="A1215" t="s">
        <v>6</v>
      </c>
      <c r="B1215" s="1">
        <v>45853.378217592595</v>
      </c>
      <c r="C1215">
        <v>30002</v>
      </c>
      <c r="D1215" t="s">
        <v>7</v>
      </c>
      <c r="E1215" t="s">
        <v>143</v>
      </c>
      <c r="F1215" t="s">
        <v>97</v>
      </c>
    </row>
    <row r="1216" spans="1:6">
      <c r="A1216" t="s">
        <v>6</v>
      </c>
      <c r="B1216" s="1">
        <v>45853.374791666669</v>
      </c>
      <c r="C1216">
        <v>30002</v>
      </c>
      <c r="D1216" t="s">
        <v>7</v>
      </c>
      <c r="E1216" t="s">
        <v>143</v>
      </c>
      <c r="F1216" t="s">
        <v>97</v>
      </c>
    </row>
    <row r="1217" spans="1:6">
      <c r="A1217" t="s">
        <v>6</v>
      </c>
      <c r="B1217" s="1">
        <v>45853.372164351851</v>
      </c>
      <c r="C1217">
        <v>30002</v>
      </c>
      <c r="D1217" t="s">
        <v>7</v>
      </c>
      <c r="E1217" t="s">
        <v>143</v>
      </c>
      <c r="F1217" t="s">
        <v>97</v>
      </c>
    </row>
    <row r="1218" spans="1:6">
      <c r="A1218" t="s">
        <v>6</v>
      </c>
      <c r="B1218" s="1">
        <v>45853.369502314818</v>
      </c>
      <c r="C1218">
        <v>30002</v>
      </c>
      <c r="D1218" t="s">
        <v>7</v>
      </c>
      <c r="E1218" t="s">
        <v>143</v>
      </c>
      <c r="F1218" t="s">
        <v>97</v>
      </c>
    </row>
    <row r="1219" spans="1:6">
      <c r="A1219" t="s">
        <v>6</v>
      </c>
      <c r="B1219" s="1">
        <v>45853.365173611113</v>
      </c>
      <c r="C1219">
        <v>30002</v>
      </c>
      <c r="D1219" t="s">
        <v>7</v>
      </c>
      <c r="E1219" t="s">
        <v>143</v>
      </c>
      <c r="F1219" t="s">
        <v>97</v>
      </c>
    </row>
    <row r="1220" spans="1:6">
      <c r="A1220" t="s">
        <v>6</v>
      </c>
      <c r="B1220" s="1">
        <v>45853.363900462966</v>
      </c>
      <c r="C1220">
        <v>30002</v>
      </c>
      <c r="D1220" t="s">
        <v>7</v>
      </c>
      <c r="E1220" t="s">
        <v>143</v>
      </c>
      <c r="F1220" t="s">
        <v>97</v>
      </c>
    </row>
    <row r="1221" spans="1:6">
      <c r="A1221" t="s">
        <v>6</v>
      </c>
      <c r="B1221" s="1">
        <v>45853.360983796294</v>
      </c>
      <c r="C1221">
        <v>30002</v>
      </c>
      <c r="D1221" t="s">
        <v>7</v>
      </c>
      <c r="E1221" t="s">
        <v>143</v>
      </c>
      <c r="F1221" t="s">
        <v>97</v>
      </c>
    </row>
    <row r="1222" spans="1:6">
      <c r="A1222" t="s">
        <v>6</v>
      </c>
      <c r="B1222" s="1">
        <v>45853.360254629632</v>
      </c>
      <c r="C1222">
        <v>30002</v>
      </c>
      <c r="D1222" t="s">
        <v>7</v>
      </c>
      <c r="E1222" t="s">
        <v>143</v>
      </c>
      <c r="F1222" t="s">
        <v>97</v>
      </c>
    </row>
    <row r="1223" spans="1:6">
      <c r="A1223" t="s">
        <v>6</v>
      </c>
      <c r="B1223" s="1">
        <v>45853.359826388885</v>
      </c>
      <c r="C1223">
        <v>30002</v>
      </c>
      <c r="D1223" t="s">
        <v>7</v>
      </c>
      <c r="E1223" t="s">
        <v>143</v>
      </c>
      <c r="F1223" t="s">
        <v>97</v>
      </c>
    </row>
    <row r="1224" spans="1:6">
      <c r="A1224" t="s">
        <v>6</v>
      </c>
      <c r="B1224" s="1">
        <v>45853.358738425923</v>
      </c>
      <c r="C1224">
        <v>30002</v>
      </c>
      <c r="D1224" t="s">
        <v>7</v>
      </c>
      <c r="E1224" t="s">
        <v>143</v>
      </c>
      <c r="F1224" t="s">
        <v>97</v>
      </c>
    </row>
    <row r="1225" spans="1:6">
      <c r="A1225" t="s">
        <v>6</v>
      </c>
      <c r="B1225" s="1">
        <v>45853.357094907406</v>
      </c>
      <c r="C1225">
        <v>30002</v>
      </c>
      <c r="D1225" t="s">
        <v>7</v>
      </c>
      <c r="E1225" t="s">
        <v>143</v>
      </c>
      <c r="F1225" t="s">
        <v>97</v>
      </c>
    </row>
    <row r="1226" spans="1:6">
      <c r="A1226" t="s">
        <v>6</v>
      </c>
      <c r="B1226" s="1">
        <v>45853.355150462965</v>
      </c>
      <c r="C1226">
        <v>30002</v>
      </c>
      <c r="D1226" t="s">
        <v>7</v>
      </c>
      <c r="E1226" t="s">
        <v>143</v>
      </c>
      <c r="F1226" t="s">
        <v>97</v>
      </c>
    </row>
    <row r="1227" spans="1:6">
      <c r="A1227" t="s">
        <v>6</v>
      </c>
      <c r="B1227" s="1">
        <v>45853.352511574078</v>
      </c>
      <c r="C1227">
        <v>30002</v>
      </c>
      <c r="D1227" t="s">
        <v>7</v>
      </c>
      <c r="E1227" t="s">
        <v>143</v>
      </c>
      <c r="F1227" t="s">
        <v>97</v>
      </c>
    </row>
    <row r="1228" spans="1:6">
      <c r="A1228" t="s">
        <v>6</v>
      </c>
      <c r="B1228" s="1">
        <v>45853.350474537037</v>
      </c>
      <c r="C1228">
        <v>30002</v>
      </c>
      <c r="D1228" t="s">
        <v>7</v>
      </c>
      <c r="E1228" t="s">
        <v>143</v>
      </c>
      <c r="F1228" t="s">
        <v>97</v>
      </c>
    </row>
    <row r="1229" spans="1:6">
      <c r="A1229" t="s">
        <v>6</v>
      </c>
      <c r="B1229" s="1">
        <v>45853.349456018521</v>
      </c>
      <c r="C1229">
        <v>30002</v>
      </c>
      <c r="D1229" t="s">
        <v>7</v>
      </c>
      <c r="E1229" t="s">
        <v>143</v>
      </c>
      <c r="F1229" t="s">
        <v>97</v>
      </c>
    </row>
    <row r="1230" spans="1:6">
      <c r="A1230" t="s">
        <v>6</v>
      </c>
      <c r="B1230" s="1">
        <v>45853.347708333335</v>
      </c>
      <c r="C1230">
        <v>30002</v>
      </c>
      <c r="D1230" t="s">
        <v>7</v>
      </c>
      <c r="E1230" t="s">
        <v>143</v>
      </c>
      <c r="F1230" t="s">
        <v>97</v>
      </c>
    </row>
    <row r="1231" spans="1:6">
      <c r="A1231" t="s">
        <v>6</v>
      </c>
      <c r="B1231" s="1">
        <v>45853.335914351854</v>
      </c>
      <c r="C1231">
        <v>30002</v>
      </c>
      <c r="D1231" t="s">
        <v>7</v>
      </c>
      <c r="E1231" t="s">
        <v>143</v>
      </c>
      <c r="F1231" t="s">
        <v>97</v>
      </c>
    </row>
    <row r="1232" spans="1:6">
      <c r="A1232" t="s">
        <v>6</v>
      </c>
      <c r="B1232" s="1">
        <v>45853.333865740744</v>
      </c>
      <c r="C1232">
        <v>30002</v>
      </c>
      <c r="D1232" t="s">
        <v>7</v>
      </c>
      <c r="E1232" t="s">
        <v>143</v>
      </c>
      <c r="F1232" t="s">
        <v>97</v>
      </c>
    </row>
    <row r="1233" spans="1:6">
      <c r="A1233" t="s">
        <v>6</v>
      </c>
      <c r="B1233" s="1">
        <v>45853.332071759258</v>
      </c>
      <c r="C1233">
        <v>30002</v>
      </c>
      <c r="D1233" t="s">
        <v>7</v>
      </c>
      <c r="E1233" t="s">
        <v>143</v>
      </c>
      <c r="F1233" t="s">
        <v>97</v>
      </c>
    </row>
    <row r="1234" spans="1:6">
      <c r="A1234" t="s">
        <v>6</v>
      </c>
      <c r="B1234" s="1">
        <v>45853.330590277779</v>
      </c>
      <c r="C1234">
        <v>30002</v>
      </c>
      <c r="D1234" t="s">
        <v>7</v>
      </c>
      <c r="E1234" t="s">
        <v>143</v>
      </c>
      <c r="F1234" t="s">
        <v>97</v>
      </c>
    </row>
    <row r="1235" spans="1:6">
      <c r="A1235" t="s">
        <v>6</v>
      </c>
      <c r="B1235" s="1">
        <v>45853.329467592594</v>
      </c>
      <c r="C1235">
        <v>30002</v>
      </c>
      <c r="D1235" t="s">
        <v>7</v>
      </c>
      <c r="E1235" t="s">
        <v>143</v>
      </c>
      <c r="F1235" t="s">
        <v>97</v>
      </c>
    </row>
    <row r="1236" spans="1:6">
      <c r="A1236" t="s">
        <v>6</v>
      </c>
      <c r="B1236" s="1">
        <v>45853.325648148151</v>
      </c>
      <c r="C1236">
        <v>30002</v>
      </c>
      <c r="D1236" t="s">
        <v>7</v>
      </c>
      <c r="E1236" t="s">
        <v>143</v>
      </c>
      <c r="F1236" t="s">
        <v>97</v>
      </c>
    </row>
    <row r="1237" spans="1:6">
      <c r="A1237" t="s">
        <v>6</v>
      </c>
      <c r="B1237" s="1">
        <v>45852.663912037038</v>
      </c>
      <c r="C1237">
        <v>30002</v>
      </c>
      <c r="D1237" t="s">
        <v>7</v>
      </c>
      <c r="E1237" t="s">
        <v>143</v>
      </c>
      <c r="F1237" t="s">
        <v>97</v>
      </c>
    </row>
    <row r="1238" spans="1:6">
      <c r="A1238" t="s">
        <v>6</v>
      </c>
      <c r="B1238" s="1">
        <v>45852.656284722223</v>
      </c>
      <c r="C1238">
        <v>30002</v>
      </c>
      <c r="D1238" t="s">
        <v>7</v>
      </c>
      <c r="E1238" t="s">
        <v>143</v>
      </c>
      <c r="F1238" t="s">
        <v>97</v>
      </c>
    </row>
    <row r="1239" spans="1:6">
      <c r="A1239" t="s">
        <v>6</v>
      </c>
      <c r="B1239" s="1">
        <v>45852.650613425925</v>
      </c>
      <c r="C1239">
        <v>30002</v>
      </c>
      <c r="D1239" t="s">
        <v>7</v>
      </c>
      <c r="E1239" t="s">
        <v>143</v>
      </c>
      <c r="F1239" t="s">
        <v>97</v>
      </c>
    </row>
    <row r="1240" spans="1:6">
      <c r="A1240" t="s">
        <v>6</v>
      </c>
      <c r="B1240" s="1">
        <v>45852.647673611114</v>
      </c>
      <c r="C1240">
        <v>30002</v>
      </c>
      <c r="D1240" t="s">
        <v>7</v>
      </c>
      <c r="E1240" t="s">
        <v>143</v>
      </c>
      <c r="F1240" t="s">
        <v>97</v>
      </c>
    </row>
    <row r="1241" spans="1:6">
      <c r="A1241" t="s">
        <v>6</v>
      </c>
      <c r="B1241" s="1">
        <v>45866.636516203704</v>
      </c>
      <c r="C1241">
        <v>30002</v>
      </c>
      <c r="D1241" t="s">
        <v>7</v>
      </c>
      <c r="E1241" t="s">
        <v>143</v>
      </c>
      <c r="F1241" t="s">
        <v>11</v>
      </c>
    </row>
    <row r="1242" spans="1:6">
      <c r="A1242" t="s">
        <v>6</v>
      </c>
      <c r="B1242" s="1">
        <v>45861.559386574074</v>
      </c>
      <c r="C1242">
        <v>30002</v>
      </c>
      <c r="D1242" t="s">
        <v>7</v>
      </c>
      <c r="E1242" t="s">
        <v>143</v>
      </c>
      <c r="F1242" t="s">
        <v>11</v>
      </c>
    </row>
    <row r="1243" spans="1:6">
      <c r="A1243" t="s">
        <v>6</v>
      </c>
      <c r="B1243" s="1">
        <v>45855.341840277775</v>
      </c>
      <c r="C1243">
        <v>30002</v>
      </c>
      <c r="D1243" t="s">
        <v>7</v>
      </c>
      <c r="E1243" t="s">
        <v>143</v>
      </c>
      <c r="F1243" t="s">
        <v>11</v>
      </c>
    </row>
    <row r="1244" spans="1:6">
      <c r="A1244" t="s">
        <v>6</v>
      </c>
      <c r="B1244" s="1">
        <v>45852.554143518515</v>
      </c>
      <c r="C1244">
        <v>30002</v>
      </c>
      <c r="D1244" t="s">
        <v>7</v>
      </c>
      <c r="E1244" t="s">
        <v>143</v>
      </c>
      <c r="F1244" t="s">
        <v>11</v>
      </c>
    </row>
    <row r="1245" spans="1:6">
      <c r="A1245" t="s">
        <v>6</v>
      </c>
      <c r="B1245" s="1">
        <v>45852.544317129628</v>
      </c>
      <c r="C1245">
        <v>30002</v>
      </c>
      <c r="D1245" t="s">
        <v>7</v>
      </c>
      <c r="E1245" t="s">
        <v>143</v>
      </c>
      <c r="F1245" t="s">
        <v>11</v>
      </c>
    </row>
    <row r="1246" spans="1:6">
      <c r="A1246" t="s">
        <v>6</v>
      </c>
      <c r="B1246" s="1">
        <v>45840.342847222222</v>
      </c>
      <c r="C1246">
        <v>30002</v>
      </c>
      <c r="D1246" t="s">
        <v>7</v>
      </c>
      <c r="E1246" t="s">
        <v>143</v>
      </c>
      <c r="F1246" t="s">
        <v>11</v>
      </c>
    </row>
    <row r="1247" spans="1:6">
      <c r="A1247" t="s">
        <v>6</v>
      </c>
      <c r="B1247" s="1">
        <v>45860.629178240742</v>
      </c>
      <c r="C1247">
        <v>30002</v>
      </c>
      <c r="D1247" t="s">
        <v>7</v>
      </c>
      <c r="E1247" t="s">
        <v>147</v>
      </c>
      <c r="F1247" t="s">
        <v>148</v>
      </c>
    </row>
    <row r="1248" spans="1:6">
      <c r="A1248" t="s">
        <v>6</v>
      </c>
      <c r="B1248" s="1">
        <v>45860.628900462965</v>
      </c>
      <c r="C1248">
        <v>30002</v>
      </c>
      <c r="D1248" t="s">
        <v>7</v>
      </c>
      <c r="E1248" t="s">
        <v>147</v>
      </c>
      <c r="F1248" t="s">
        <v>148</v>
      </c>
    </row>
    <row r="1249" spans="1:6">
      <c r="A1249" t="s">
        <v>6</v>
      </c>
      <c r="B1249" s="1">
        <v>45860.628159722219</v>
      </c>
      <c r="C1249">
        <v>30002</v>
      </c>
      <c r="D1249" t="s">
        <v>7</v>
      </c>
      <c r="E1249" t="s">
        <v>147</v>
      </c>
      <c r="F1249" t="s">
        <v>148</v>
      </c>
    </row>
    <row r="1250" spans="1:6">
      <c r="A1250" t="s">
        <v>6</v>
      </c>
      <c r="B1250" s="1">
        <v>45860.62767361111</v>
      </c>
      <c r="C1250">
        <v>30002</v>
      </c>
      <c r="D1250" t="s">
        <v>7</v>
      </c>
      <c r="E1250" t="s">
        <v>147</v>
      </c>
      <c r="F1250" t="s">
        <v>148</v>
      </c>
    </row>
    <row r="1251" spans="1:6">
      <c r="A1251" t="s">
        <v>6</v>
      </c>
      <c r="B1251" s="1">
        <v>45855.593831018516</v>
      </c>
      <c r="C1251">
        <v>30002</v>
      </c>
      <c r="D1251" t="s">
        <v>7</v>
      </c>
      <c r="E1251" t="s">
        <v>147</v>
      </c>
      <c r="F1251" t="s">
        <v>148</v>
      </c>
    </row>
    <row r="1252" spans="1:6">
      <c r="A1252" t="s">
        <v>6</v>
      </c>
      <c r="B1252" s="1">
        <v>45868.383043981485</v>
      </c>
      <c r="C1252">
        <v>30002</v>
      </c>
      <c r="D1252" t="s">
        <v>7</v>
      </c>
      <c r="E1252" t="s">
        <v>147</v>
      </c>
      <c r="F1252" t="s">
        <v>66</v>
      </c>
    </row>
    <row r="1253" spans="1:6">
      <c r="A1253" t="s">
        <v>6</v>
      </c>
      <c r="B1253" s="1">
        <v>45868.378472222219</v>
      </c>
      <c r="C1253">
        <v>30002</v>
      </c>
      <c r="D1253" t="s">
        <v>7</v>
      </c>
      <c r="E1253" t="s">
        <v>147</v>
      </c>
      <c r="F1253" t="s">
        <v>66</v>
      </c>
    </row>
    <row r="1254" spans="1:6">
      <c r="A1254" t="s">
        <v>6</v>
      </c>
      <c r="B1254" s="1">
        <v>45868.378217592595</v>
      </c>
      <c r="C1254">
        <v>30002</v>
      </c>
      <c r="D1254" t="s">
        <v>7</v>
      </c>
      <c r="E1254" t="s">
        <v>147</v>
      </c>
      <c r="F1254" t="s">
        <v>66</v>
      </c>
    </row>
    <row r="1255" spans="1:6">
      <c r="A1255" t="s">
        <v>6</v>
      </c>
      <c r="B1255" s="1">
        <v>45868.376284722224</v>
      </c>
      <c r="C1255">
        <v>30002</v>
      </c>
      <c r="D1255" t="s">
        <v>7</v>
      </c>
      <c r="E1255" t="s">
        <v>147</v>
      </c>
      <c r="F1255" t="s">
        <v>66</v>
      </c>
    </row>
    <row r="1256" spans="1:6">
      <c r="A1256" t="s">
        <v>6</v>
      </c>
      <c r="B1256" s="1">
        <v>45863.578634259262</v>
      </c>
      <c r="C1256">
        <v>30002</v>
      </c>
      <c r="D1256" t="s">
        <v>7</v>
      </c>
      <c r="E1256" t="s">
        <v>147</v>
      </c>
      <c r="F1256" t="s">
        <v>66</v>
      </c>
    </row>
    <row r="1257" spans="1:6">
      <c r="A1257" t="s">
        <v>6</v>
      </c>
      <c r="B1257" s="1">
        <v>45854.662604166668</v>
      </c>
      <c r="C1257">
        <v>30002</v>
      </c>
      <c r="D1257" t="s">
        <v>7</v>
      </c>
      <c r="E1257" t="s">
        <v>149</v>
      </c>
      <c r="F1257" t="s">
        <v>150</v>
      </c>
    </row>
    <row r="1258" spans="1:6">
      <c r="A1258" t="s">
        <v>6</v>
      </c>
      <c r="B1258" s="1">
        <v>45854.658773148149</v>
      </c>
      <c r="C1258">
        <v>30002</v>
      </c>
      <c r="D1258" t="s">
        <v>7</v>
      </c>
      <c r="E1258" t="s">
        <v>149</v>
      </c>
      <c r="F1258" t="s">
        <v>150</v>
      </c>
    </row>
    <row r="1259" spans="1:6">
      <c r="A1259" t="s">
        <v>6</v>
      </c>
      <c r="B1259" s="1">
        <v>45854.408541666664</v>
      </c>
      <c r="C1259">
        <v>30002</v>
      </c>
      <c r="D1259" t="s">
        <v>7</v>
      </c>
      <c r="E1259" t="s">
        <v>151</v>
      </c>
      <c r="F1259" t="s">
        <v>24</v>
      </c>
    </row>
    <row r="1260" spans="1:6">
      <c r="A1260" t="s">
        <v>6</v>
      </c>
      <c r="B1260" s="1">
        <v>45854.407627314817</v>
      </c>
      <c r="C1260">
        <v>30002</v>
      </c>
      <c r="D1260" t="s">
        <v>7</v>
      </c>
      <c r="E1260" t="s">
        <v>151</v>
      </c>
      <c r="F1260" t="s">
        <v>24</v>
      </c>
    </row>
    <row r="1261" spans="1:6">
      <c r="A1261" t="s">
        <v>6</v>
      </c>
      <c r="B1261" s="1">
        <v>45854.406875000001</v>
      </c>
      <c r="C1261">
        <v>30002</v>
      </c>
      <c r="D1261" t="s">
        <v>7</v>
      </c>
      <c r="E1261" t="s">
        <v>151</v>
      </c>
      <c r="F1261" t="s">
        <v>24</v>
      </c>
    </row>
    <row r="1262" spans="1:6">
      <c r="A1262" t="s">
        <v>6</v>
      </c>
      <c r="B1262" s="1">
        <v>45840.550439814811</v>
      </c>
      <c r="C1262">
        <v>30002</v>
      </c>
      <c r="D1262" t="s">
        <v>7</v>
      </c>
      <c r="E1262" t="s">
        <v>152</v>
      </c>
      <c r="F1262" t="s">
        <v>36</v>
      </c>
    </row>
    <row r="1263" spans="1:6">
      <c r="A1263" t="s">
        <v>6</v>
      </c>
      <c r="B1263" s="1">
        <v>45854.512858796297</v>
      </c>
      <c r="C1263">
        <v>30002</v>
      </c>
      <c r="D1263" t="s">
        <v>7</v>
      </c>
      <c r="E1263" t="s">
        <v>153</v>
      </c>
      <c r="F1263" t="s">
        <v>36</v>
      </c>
    </row>
    <row r="1264" spans="1:6">
      <c r="A1264" t="s">
        <v>6</v>
      </c>
      <c r="B1264" s="1">
        <v>45862.538449074076</v>
      </c>
      <c r="C1264">
        <v>30002</v>
      </c>
      <c r="D1264" t="s">
        <v>7</v>
      </c>
      <c r="E1264" t="s">
        <v>153</v>
      </c>
      <c r="F1264" t="s">
        <v>27</v>
      </c>
    </row>
    <row r="1265" spans="1:6">
      <c r="A1265" t="s">
        <v>6</v>
      </c>
      <c r="B1265" s="1">
        <v>45862.418530092589</v>
      </c>
      <c r="C1265">
        <v>30002</v>
      </c>
      <c r="D1265" t="s">
        <v>7</v>
      </c>
      <c r="E1265" t="s">
        <v>153</v>
      </c>
      <c r="F1265" t="s">
        <v>27</v>
      </c>
    </row>
    <row r="1266" spans="1:6">
      <c r="A1266" t="s">
        <v>6</v>
      </c>
      <c r="B1266" s="1">
        <v>45860.644259259258</v>
      </c>
      <c r="C1266">
        <v>30002</v>
      </c>
      <c r="D1266" t="s">
        <v>7</v>
      </c>
      <c r="E1266" t="s">
        <v>153</v>
      </c>
      <c r="F1266" t="s">
        <v>27</v>
      </c>
    </row>
    <row r="1267" spans="1:6">
      <c r="A1267" t="s">
        <v>6</v>
      </c>
      <c r="B1267" s="1">
        <v>45860.64234953704</v>
      </c>
      <c r="C1267">
        <v>30002</v>
      </c>
      <c r="D1267" t="s">
        <v>7</v>
      </c>
      <c r="E1267" t="s">
        <v>153</v>
      </c>
      <c r="F1267" t="s">
        <v>27</v>
      </c>
    </row>
    <row r="1268" spans="1:6">
      <c r="A1268" t="s">
        <v>6</v>
      </c>
      <c r="B1268" s="1">
        <v>45869.581782407404</v>
      </c>
      <c r="C1268">
        <v>30002</v>
      </c>
      <c r="D1268" t="s">
        <v>7</v>
      </c>
      <c r="E1268" t="s">
        <v>154</v>
      </c>
      <c r="F1268" t="s">
        <v>114</v>
      </c>
    </row>
    <row r="1269" spans="1:6">
      <c r="A1269" t="s">
        <v>6</v>
      </c>
      <c r="B1269" s="1">
        <v>45854.480057870373</v>
      </c>
      <c r="C1269">
        <v>30002</v>
      </c>
      <c r="D1269" t="s">
        <v>7</v>
      </c>
      <c r="E1269" t="s">
        <v>155</v>
      </c>
      <c r="F1269" t="s">
        <v>36</v>
      </c>
    </row>
    <row r="1270" spans="1:6">
      <c r="A1270" t="s">
        <v>6</v>
      </c>
      <c r="B1270" s="1">
        <v>45854.478368055556</v>
      </c>
      <c r="C1270">
        <v>30002</v>
      </c>
      <c r="D1270" t="s">
        <v>7</v>
      </c>
      <c r="E1270" t="s">
        <v>155</v>
      </c>
      <c r="F1270" t="s">
        <v>36</v>
      </c>
    </row>
    <row r="1271" spans="1:6">
      <c r="A1271" t="s">
        <v>6</v>
      </c>
      <c r="B1271" s="1">
        <v>45853.331493055557</v>
      </c>
      <c r="C1271">
        <v>30002</v>
      </c>
      <c r="D1271" t="s">
        <v>7</v>
      </c>
      <c r="E1271" t="s">
        <v>156</v>
      </c>
      <c r="F1271" t="s">
        <v>114</v>
      </c>
    </row>
    <row r="1272" spans="1:6">
      <c r="A1272" t="s">
        <v>6</v>
      </c>
      <c r="B1272" s="1">
        <v>45853.331388888888</v>
      </c>
      <c r="C1272">
        <v>30002</v>
      </c>
      <c r="D1272" t="s">
        <v>7</v>
      </c>
      <c r="E1272" t="s">
        <v>156</v>
      </c>
      <c r="F1272" t="s">
        <v>114</v>
      </c>
    </row>
    <row r="1273" spans="1:6">
      <c r="A1273" t="s">
        <v>6</v>
      </c>
      <c r="B1273" s="1">
        <v>45853.331180555557</v>
      </c>
      <c r="C1273">
        <v>30002</v>
      </c>
      <c r="D1273" t="s">
        <v>7</v>
      </c>
      <c r="E1273" t="s">
        <v>156</v>
      </c>
      <c r="F1273" t="s">
        <v>114</v>
      </c>
    </row>
    <row r="1274" spans="1:6">
      <c r="A1274" t="s">
        <v>6</v>
      </c>
      <c r="B1274" s="1">
        <v>45853.329363425924</v>
      </c>
      <c r="C1274">
        <v>30002</v>
      </c>
      <c r="D1274" t="s">
        <v>7</v>
      </c>
      <c r="E1274" t="s">
        <v>156</v>
      </c>
      <c r="F1274" t="s">
        <v>114</v>
      </c>
    </row>
    <row r="1275" spans="1:6">
      <c r="A1275" t="s">
        <v>6</v>
      </c>
      <c r="B1275" s="1">
        <v>45868.595891203702</v>
      </c>
      <c r="C1275">
        <v>30002</v>
      </c>
      <c r="D1275" t="s">
        <v>7</v>
      </c>
      <c r="E1275" t="s">
        <v>156</v>
      </c>
      <c r="F1275" t="s">
        <v>115</v>
      </c>
    </row>
    <row r="1276" spans="1:6">
      <c r="A1276" t="s">
        <v>6</v>
      </c>
      <c r="B1276" s="1">
        <v>45859.689699074072</v>
      </c>
      <c r="C1276">
        <v>30002</v>
      </c>
      <c r="D1276" t="s">
        <v>7</v>
      </c>
      <c r="E1276" t="s">
        <v>156</v>
      </c>
      <c r="F1276" t="s">
        <v>115</v>
      </c>
    </row>
    <row r="1277" spans="1:6">
      <c r="A1277" t="s">
        <v>6</v>
      </c>
      <c r="B1277" s="1">
        <v>45859.688460648147</v>
      </c>
      <c r="C1277">
        <v>30002</v>
      </c>
      <c r="D1277" t="s">
        <v>7</v>
      </c>
      <c r="E1277" t="s">
        <v>156</v>
      </c>
      <c r="F1277" t="s">
        <v>115</v>
      </c>
    </row>
    <row r="1278" spans="1:6">
      <c r="A1278" t="s">
        <v>6</v>
      </c>
      <c r="B1278" s="1">
        <v>45859.6878125</v>
      </c>
      <c r="C1278">
        <v>30002</v>
      </c>
      <c r="D1278" t="s">
        <v>7</v>
      </c>
      <c r="E1278" t="s">
        <v>156</v>
      </c>
      <c r="F1278" t="s">
        <v>115</v>
      </c>
    </row>
    <row r="1279" spans="1:6">
      <c r="A1279" t="s">
        <v>6</v>
      </c>
      <c r="B1279" s="1">
        <v>45854.64738425926</v>
      </c>
      <c r="C1279">
        <v>30002</v>
      </c>
      <c r="D1279" t="s">
        <v>7</v>
      </c>
      <c r="E1279" t="s">
        <v>156</v>
      </c>
      <c r="F1279" t="s">
        <v>115</v>
      </c>
    </row>
    <row r="1280" spans="1:6">
      <c r="A1280" t="s">
        <v>6</v>
      </c>
      <c r="B1280" s="1">
        <v>45854.647175925929</v>
      </c>
      <c r="C1280">
        <v>30002</v>
      </c>
      <c r="D1280" t="s">
        <v>7</v>
      </c>
      <c r="E1280" t="s">
        <v>156</v>
      </c>
      <c r="F1280" t="s">
        <v>115</v>
      </c>
    </row>
    <row r="1281" spans="1:6">
      <c r="A1281" t="s">
        <v>6</v>
      </c>
      <c r="B1281" s="1">
        <v>45845.489548611113</v>
      </c>
      <c r="C1281">
        <v>30002</v>
      </c>
      <c r="D1281" t="s">
        <v>7</v>
      </c>
      <c r="E1281" t="s">
        <v>156</v>
      </c>
      <c r="F1281" t="s">
        <v>115</v>
      </c>
    </row>
    <row r="1282" spans="1:6">
      <c r="A1282" t="s">
        <v>6</v>
      </c>
      <c r="B1282" s="1">
        <v>45856.401550925926</v>
      </c>
      <c r="C1282">
        <v>30002</v>
      </c>
      <c r="D1282" t="s">
        <v>7</v>
      </c>
      <c r="E1282" t="s">
        <v>157</v>
      </c>
      <c r="F1282" t="s">
        <v>137</v>
      </c>
    </row>
    <row r="1283" spans="1:6">
      <c r="A1283" t="s">
        <v>6</v>
      </c>
      <c r="B1283" s="1">
        <v>45856.401087962964</v>
      </c>
      <c r="C1283">
        <v>30002</v>
      </c>
      <c r="D1283" t="s">
        <v>7</v>
      </c>
      <c r="E1283" t="s">
        <v>157</v>
      </c>
      <c r="F1283" t="s">
        <v>137</v>
      </c>
    </row>
    <row r="1284" spans="1:6">
      <c r="A1284" t="s">
        <v>6</v>
      </c>
      <c r="B1284" s="1">
        <v>45856.390729166669</v>
      </c>
      <c r="C1284">
        <v>30002</v>
      </c>
      <c r="D1284" t="s">
        <v>7</v>
      </c>
      <c r="E1284" t="s">
        <v>157</v>
      </c>
      <c r="F1284" t="s">
        <v>137</v>
      </c>
    </row>
    <row r="1285" spans="1:6">
      <c r="A1285" t="s">
        <v>6</v>
      </c>
      <c r="B1285" s="1">
        <v>45846.616388888891</v>
      </c>
      <c r="C1285">
        <v>30002</v>
      </c>
      <c r="D1285" t="s">
        <v>7</v>
      </c>
      <c r="E1285" t="s">
        <v>157</v>
      </c>
      <c r="F1285" t="s">
        <v>13</v>
      </c>
    </row>
    <row r="1286" spans="1:6">
      <c r="A1286" t="s">
        <v>6</v>
      </c>
      <c r="B1286" s="1">
        <v>45869.647939814815</v>
      </c>
      <c r="C1286">
        <v>30002</v>
      </c>
      <c r="D1286" t="s">
        <v>7</v>
      </c>
      <c r="E1286" t="s">
        <v>157</v>
      </c>
      <c r="F1286" t="s">
        <v>18</v>
      </c>
    </row>
    <row r="1287" spans="1:6">
      <c r="A1287" t="s">
        <v>6</v>
      </c>
      <c r="B1287" s="1">
        <v>45866.312754629631</v>
      </c>
      <c r="C1287">
        <v>30002</v>
      </c>
      <c r="D1287" t="s">
        <v>7</v>
      </c>
      <c r="E1287" t="s">
        <v>157</v>
      </c>
      <c r="F1287" t="s">
        <v>18</v>
      </c>
    </row>
    <row r="1288" spans="1:6">
      <c r="A1288" t="s">
        <v>6</v>
      </c>
      <c r="B1288" s="1">
        <v>45852.686909722222</v>
      </c>
      <c r="C1288">
        <v>30002</v>
      </c>
      <c r="D1288" t="s">
        <v>7</v>
      </c>
      <c r="E1288" t="s">
        <v>157</v>
      </c>
      <c r="F1288" t="s">
        <v>18</v>
      </c>
    </row>
    <row r="1289" spans="1:6">
      <c r="A1289" t="s">
        <v>6</v>
      </c>
      <c r="B1289" s="1">
        <v>45852.685902777775</v>
      </c>
      <c r="C1289">
        <v>30002</v>
      </c>
      <c r="D1289" t="s">
        <v>7</v>
      </c>
      <c r="E1289" t="s">
        <v>157</v>
      </c>
      <c r="F1289" t="s">
        <v>18</v>
      </c>
    </row>
    <row r="1290" spans="1:6">
      <c r="A1290" t="s">
        <v>6</v>
      </c>
      <c r="B1290" s="1">
        <v>45844.377893518518</v>
      </c>
      <c r="C1290">
        <v>30002</v>
      </c>
      <c r="D1290" t="s">
        <v>7</v>
      </c>
      <c r="E1290" t="s">
        <v>157</v>
      </c>
      <c r="F1290" t="s">
        <v>18</v>
      </c>
    </row>
    <row r="1291" spans="1:6">
      <c r="A1291" t="s">
        <v>6</v>
      </c>
      <c r="B1291" s="1">
        <v>45853.568784722222</v>
      </c>
      <c r="C1291">
        <v>30002</v>
      </c>
      <c r="D1291" t="s">
        <v>7</v>
      </c>
      <c r="E1291" t="s">
        <v>157</v>
      </c>
      <c r="F1291" t="s">
        <v>24</v>
      </c>
    </row>
    <row r="1292" spans="1:6">
      <c r="A1292" t="s">
        <v>6</v>
      </c>
      <c r="B1292" s="1">
        <v>45846.657789351855</v>
      </c>
      <c r="C1292">
        <v>30002</v>
      </c>
      <c r="D1292" t="s">
        <v>7</v>
      </c>
      <c r="E1292" t="s">
        <v>158</v>
      </c>
      <c r="F1292" t="s">
        <v>27</v>
      </c>
    </row>
    <row r="1293" spans="1:6">
      <c r="A1293" t="s">
        <v>6</v>
      </c>
      <c r="B1293" s="1">
        <v>45861.510185185187</v>
      </c>
      <c r="C1293">
        <v>30002</v>
      </c>
      <c r="D1293" t="s">
        <v>7</v>
      </c>
      <c r="E1293" t="s">
        <v>159</v>
      </c>
      <c r="F1293" t="s">
        <v>36</v>
      </c>
    </row>
    <row r="1294" spans="1:6">
      <c r="A1294" t="s">
        <v>6</v>
      </c>
      <c r="B1294" s="1">
        <v>45854.520810185182</v>
      </c>
      <c r="C1294">
        <v>30002</v>
      </c>
      <c r="D1294" t="s">
        <v>7</v>
      </c>
      <c r="E1294" t="s">
        <v>159</v>
      </c>
      <c r="F1294" t="s">
        <v>36</v>
      </c>
    </row>
    <row r="1295" spans="1:6">
      <c r="A1295" t="s">
        <v>6</v>
      </c>
      <c r="B1295" s="1">
        <v>45863.35796296296</v>
      </c>
      <c r="C1295">
        <v>30002</v>
      </c>
      <c r="D1295" t="s">
        <v>7</v>
      </c>
      <c r="E1295" t="s">
        <v>159</v>
      </c>
      <c r="F1295" t="s">
        <v>27</v>
      </c>
    </row>
    <row r="1296" spans="1:6">
      <c r="A1296" t="s">
        <v>6</v>
      </c>
      <c r="B1296" s="1">
        <v>45863.419768518521</v>
      </c>
      <c r="C1296">
        <v>30002</v>
      </c>
      <c r="D1296" t="s">
        <v>7</v>
      </c>
      <c r="E1296" t="s">
        <v>160</v>
      </c>
      <c r="F1296" t="s">
        <v>97</v>
      </c>
    </row>
    <row r="1297" spans="1:6">
      <c r="A1297" t="s">
        <v>6</v>
      </c>
      <c r="B1297" s="1">
        <v>45852.377245370371</v>
      </c>
      <c r="C1297">
        <v>30002</v>
      </c>
      <c r="D1297" t="s">
        <v>7</v>
      </c>
      <c r="E1297" t="s">
        <v>160</v>
      </c>
      <c r="F1297" t="s">
        <v>11</v>
      </c>
    </row>
    <row r="1298" spans="1:6">
      <c r="A1298" t="s">
        <v>6</v>
      </c>
      <c r="B1298" s="1">
        <v>45852.360023148147</v>
      </c>
      <c r="C1298">
        <v>30002</v>
      </c>
      <c r="D1298" t="s">
        <v>7</v>
      </c>
      <c r="E1298" t="s">
        <v>160</v>
      </c>
      <c r="F1298" t="s">
        <v>11</v>
      </c>
    </row>
    <row r="1299" spans="1:6">
      <c r="A1299" t="s">
        <v>6</v>
      </c>
      <c r="B1299" s="1">
        <v>45852.359780092593</v>
      </c>
      <c r="C1299">
        <v>30002</v>
      </c>
      <c r="D1299" t="s">
        <v>7</v>
      </c>
      <c r="E1299" t="s">
        <v>160</v>
      </c>
      <c r="F1299" t="s">
        <v>11</v>
      </c>
    </row>
    <row r="1300" spans="1:6">
      <c r="A1300" t="s">
        <v>6</v>
      </c>
      <c r="B1300" s="1">
        <v>45853.295983796299</v>
      </c>
      <c r="C1300">
        <v>30002</v>
      </c>
      <c r="D1300" t="s">
        <v>7</v>
      </c>
      <c r="E1300" t="s">
        <v>161</v>
      </c>
      <c r="F1300" t="s">
        <v>19</v>
      </c>
    </row>
    <row r="1301" spans="1:6">
      <c r="A1301" t="s">
        <v>6</v>
      </c>
      <c r="B1301" s="1">
        <v>45845.557337962964</v>
      </c>
      <c r="C1301">
        <v>30002</v>
      </c>
      <c r="D1301" t="s">
        <v>7</v>
      </c>
      <c r="E1301" t="s">
        <v>162</v>
      </c>
      <c r="F1301" t="s">
        <v>15</v>
      </c>
    </row>
    <row r="1302" spans="1:6">
      <c r="A1302" t="s">
        <v>6</v>
      </c>
      <c r="B1302" s="1">
        <v>45847.321226851855</v>
      </c>
      <c r="C1302">
        <v>30002</v>
      </c>
      <c r="D1302" t="s">
        <v>7</v>
      </c>
      <c r="E1302" t="s">
        <v>163</v>
      </c>
      <c r="F1302" t="s">
        <v>11</v>
      </c>
    </row>
    <row r="1303" spans="1:6">
      <c r="A1303" t="s">
        <v>6</v>
      </c>
      <c r="B1303" s="1">
        <v>45839.026701388888</v>
      </c>
      <c r="C1303">
        <v>30002</v>
      </c>
      <c r="D1303" t="s">
        <v>7</v>
      </c>
      <c r="E1303" t="s">
        <v>164</v>
      </c>
      <c r="F1303" t="s">
        <v>165</v>
      </c>
    </row>
    <row r="1304" spans="1:6">
      <c r="A1304" t="s">
        <v>6</v>
      </c>
      <c r="B1304" s="1">
        <v>45839.004525462966</v>
      </c>
      <c r="C1304">
        <v>30002</v>
      </c>
      <c r="D1304" t="s">
        <v>7</v>
      </c>
      <c r="E1304" t="s">
        <v>164</v>
      </c>
      <c r="F1304" t="s">
        <v>165</v>
      </c>
    </row>
    <row r="1305" spans="1:6">
      <c r="A1305" t="s">
        <v>6</v>
      </c>
      <c r="B1305" s="1">
        <v>45839.002291666664</v>
      </c>
      <c r="C1305">
        <v>30002</v>
      </c>
      <c r="D1305" t="s">
        <v>7</v>
      </c>
      <c r="E1305" t="s">
        <v>164</v>
      </c>
      <c r="F1305" t="s">
        <v>165</v>
      </c>
    </row>
    <row r="1306" spans="1:6">
      <c r="A1306" t="s">
        <v>6</v>
      </c>
      <c r="B1306" s="1">
        <v>45861.757418981484</v>
      </c>
      <c r="C1306">
        <v>30002</v>
      </c>
      <c r="D1306" t="s">
        <v>7</v>
      </c>
      <c r="E1306" t="s">
        <v>164</v>
      </c>
      <c r="F1306" t="s">
        <v>65</v>
      </c>
    </row>
    <row r="1307" spans="1:6">
      <c r="A1307" t="s">
        <v>6</v>
      </c>
      <c r="B1307" s="1">
        <v>45853.147222222222</v>
      </c>
      <c r="C1307">
        <v>30002</v>
      </c>
      <c r="D1307" t="s">
        <v>7</v>
      </c>
      <c r="E1307" t="s">
        <v>164</v>
      </c>
      <c r="F1307" t="s">
        <v>65</v>
      </c>
    </row>
    <row r="1308" spans="1:6">
      <c r="A1308" t="s">
        <v>6</v>
      </c>
      <c r="B1308" s="1">
        <v>45853.145601851851</v>
      </c>
      <c r="C1308">
        <v>30002</v>
      </c>
      <c r="D1308" t="s">
        <v>7</v>
      </c>
      <c r="E1308" t="s">
        <v>164</v>
      </c>
      <c r="F1308" t="s">
        <v>65</v>
      </c>
    </row>
    <row r="1309" spans="1:6">
      <c r="A1309" t="s">
        <v>6</v>
      </c>
      <c r="B1309" s="1">
        <v>45840.369537037041</v>
      </c>
      <c r="C1309">
        <v>30002</v>
      </c>
      <c r="D1309" t="s">
        <v>7</v>
      </c>
      <c r="E1309" t="s">
        <v>164</v>
      </c>
      <c r="F1309" t="s">
        <v>65</v>
      </c>
    </row>
    <row r="1310" spans="1:6">
      <c r="A1310" t="s">
        <v>6</v>
      </c>
      <c r="B1310" s="1">
        <v>45852.611261574071</v>
      </c>
      <c r="C1310">
        <v>30002</v>
      </c>
      <c r="D1310" t="s">
        <v>7</v>
      </c>
      <c r="E1310" t="s">
        <v>164</v>
      </c>
      <c r="F1310" t="s">
        <v>9</v>
      </c>
    </row>
    <row r="1311" spans="1:6">
      <c r="A1311" t="s">
        <v>6</v>
      </c>
      <c r="B1311" s="1">
        <v>45852.598680555559</v>
      </c>
      <c r="C1311">
        <v>30002</v>
      </c>
      <c r="D1311" t="s">
        <v>7</v>
      </c>
      <c r="E1311" t="s">
        <v>164</v>
      </c>
      <c r="F1311" t="s">
        <v>9</v>
      </c>
    </row>
    <row r="1312" spans="1:6">
      <c r="A1312" t="s">
        <v>6</v>
      </c>
      <c r="B1312" s="1">
        <v>45852.387731481482</v>
      </c>
      <c r="C1312">
        <v>30002</v>
      </c>
      <c r="D1312" t="s">
        <v>7</v>
      </c>
      <c r="E1312" t="s">
        <v>164</v>
      </c>
      <c r="F1312" t="s">
        <v>9</v>
      </c>
    </row>
    <row r="1313" spans="1:6">
      <c r="A1313" t="s">
        <v>6</v>
      </c>
      <c r="B1313" s="1">
        <v>45852.377430555556</v>
      </c>
      <c r="C1313">
        <v>30002</v>
      </c>
      <c r="D1313" t="s">
        <v>7</v>
      </c>
      <c r="E1313" t="s">
        <v>164</v>
      </c>
      <c r="F1313" t="s">
        <v>9</v>
      </c>
    </row>
    <row r="1314" spans="1:6">
      <c r="A1314" t="s">
        <v>6</v>
      </c>
      <c r="B1314" s="1">
        <v>45852.377002314817</v>
      </c>
      <c r="C1314">
        <v>30002</v>
      </c>
      <c r="D1314" t="s">
        <v>7</v>
      </c>
      <c r="E1314" t="s">
        <v>164</v>
      </c>
      <c r="F1314" t="s">
        <v>9</v>
      </c>
    </row>
    <row r="1315" spans="1:6">
      <c r="A1315" t="s">
        <v>6</v>
      </c>
      <c r="B1315" s="1">
        <v>45852.376608796294</v>
      </c>
      <c r="C1315">
        <v>30002</v>
      </c>
      <c r="D1315" t="s">
        <v>7</v>
      </c>
      <c r="E1315" t="s">
        <v>164</v>
      </c>
      <c r="F1315" t="s">
        <v>9</v>
      </c>
    </row>
    <row r="1316" spans="1:6">
      <c r="A1316" t="s">
        <v>6</v>
      </c>
      <c r="B1316" s="1">
        <v>45852.37636574074</v>
      </c>
      <c r="C1316">
        <v>30002</v>
      </c>
      <c r="D1316" t="s">
        <v>7</v>
      </c>
      <c r="E1316" t="s">
        <v>164</v>
      </c>
      <c r="F1316" t="s">
        <v>9</v>
      </c>
    </row>
    <row r="1317" spans="1:6">
      <c r="A1317" t="s">
        <v>6</v>
      </c>
      <c r="B1317" s="1">
        <v>45852.376261574071</v>
      </c>
      <c r="C1317">
        <v>30002</v>
      </c>
      <c r="D1317" t="s">
        <v>7</v>
      </c>
      <c r="E1317" t="s">
        <v>164</v>
      </c>
      <c r="F1317" t="s">
        <v>9</v>
      </c>
    </row>
    <row r="1318" spans="1:6">
      <c r="A1318" t="s">
        <v>6</v>
      </c>
      <c r="B1318" s="1">
        <v>45852.375914351855</v>
      </c>
      <c r="C1318">
        <v>30002</v>
      </c>
      <c r="D1318" t="s">
        <v>7</v>
      </c>
      <c r="E1318" t="s">
        <v>164</v>
      </c>
      <c r="F1318" t="s">
        <v>9</v>
      </c>
    </row>
    <row r="1319" spans="1:6">
      <c r="A1319" t="s">
        <v>6</v>
      </c>
      <c r="B1319" s="1">
        <v>45852.375567129631</v>
      </c>
      <c r="C1319">
        <v>30002</v>
      </c>
      <c r="D1319" t="s">
        <v>7</v>
      </c>
      <c r="E1319" t="s">
        <v>164</v>
      </c>
      <c r="F1319" t="s">
        <v>9</v>
      </c>
    </row>
    <row r="1320" spans="1:6">
      <c r="A1320" t="s">
        <v>6</v>
      </c>
      <c r="B1320" s="1">
        <v>45852.375428240739</v>
      </c>
      <c r="C1320">
        <v>30002</v>
      </c>
      <c r="D1320" t="s">
        <v>7</v>
      </c>
      <c r="E1320" t="s">
        <v>164</v>
      </c>
      <c r="F1320" t="s">
        <v>9</v>
      </c>
    </row>
    <row r="1321" spans="1:6">
      <c r="A1321" t="s">
        <v>6</v>
      </c>
      <c r="B1321" s="1">
        <v>45852.375138888892</v>
      </c>
      <c r="C1321">
        <v>30002</v>
      </c>
      <c r="D1321" t="s">
        <v>7</v>
      </c>
      <c r="E1321" t="s">
        <v>164</v>
      </c>
      <c r="F1321" t="s">
        <v>9</v>
      </c>
    </row>
    <row r="1322" spans="1:6">
      <c r="A1322" t="s">
        <v>6</v>
      </c>
      <c r="B1322" s="1">
        <v>45852.375034722223</v>
      </c>
      <c r="C1322">
        <v>30002</v>
      </c>
      <c r="D1322" t="s">
        <v>7</v>
      </c>
      <c r="E1322" t="s">
        <v>164</v>
      </c>
      <c r="F1322" t="s">
        <v>9</v>
      </c>
    </row>
    <row r="1323" spans="1:6">
      <c r="A1323" t="s">
        <v>6</v>
      </c>
      <c r="B1323" s="1">
        <v>45852.374618055554</v>
      </c>
      <c r="C1323">
        <v>30002</v>
      </c>
      <c r="D1323" t="s">
        <v>7</v>
      </c>
      <c r="E1323" t="s">
        <v>164</v>
      </c>
      <c r="F1323" t="s">
        <v>9</v>
      </c>
    </row>
    <row r="1324" spans="1:6">
      <c r="A1324" t="s">
        <v>6</v>
      </c>
      <c r="B1324" s="1">
        <v>45852.373877314814</v>
      </c>
      <c r="C1324">
        <v>30002</v>
      </c>
      <c r="D1324" t="s">
        <v>7</v>
      </c>
      <c r="E1324" t="s">
        <v>164</v>
      </c>
      <c r="F1324" t="s">
        <v>9</v>
      </c>
    </row>
    <row r="1325" spans="1:6">
      <c r="A1325" t="s">
        <v>6</v>
      </c>
      <c r="B1325" s="1">
        <v>45852.373749999999</v>
      </c>
      <c r="C1325">
        <v>30002</v>
      </c>
      <c r="D1325" t="s">
        <v>7</v>
      </c>
      <c r="E1325" t="s">
        <v>164</v>
      </c>
      <c r="F1325" t="s">
        <v>9</v>
      </c>
    </row>
    <row r="1326" spans="1:6">
      <c r="A1326" t="s">
        <v>6</v>
      </c>
      <c r="B1326" s="1">
        <v>45852.373333333337</v>
      </c>
      <c r="C1326">
        <v>30002</v>
      </c>
      <c r="D1326" t="s">
        <v>7</v>
      </c>
      <c r="E1326" t="s">
        <v>164</v>
      </c>
      <c r="F1326" t="s">
        <v>9</v>
      </c>
    </row>
    <row r="1327" spans="1:6">
      <c r="A1327" t="s">
        <v>6</v>
      </c>
      <c r="B1327" s="1">
        <v>45852.37290509259</v>
      </c>
      <c r="C1327">
        <v>30002</v>
      </c>
      <c r="D1327" t="s">
        <v>7</v>
      </c>
      <c r="E1327" t="s">
        <v>164</v>
      </c>
      <c r="F1327" t="s">
        <v>9</v>
      </c>
    </row>
    <row r="1328" spans="1:6">
      <c r="A1328" t="s">
        <v>6</v>
      </c>
      <c r="B1328" s="1">
        <v>45852.372233796297</v>
      </c>
      <c r="C1328">
        <v>30002</v>
      </c>
      <c r="D1328" t="s">
        <v>7</v>
      </c>
      <c r="E1328" t="s">
        <v>164</v>
      </c>
      <c r="F1328" t="s">
        <v>9</v>
      </c>
    </row>
    <row r="1329" spans="1:6">
      <c r="A1329" t="s">
        <v>6</v>
      </c>
      <c r="B1329" s="1">
        <v>45852.371747685182</v>
      </c>
      <c r="C1329">
        <v>30002</v>
      </c>
      <c r="D1329" t="s">
        <v>7</v>
      </c>
      <c r="E1329" t="s">
        <v>164</v>
      </c>
      <c r="F1329" t="s">
        <v>9</v>
      </c>
    </row>
    <row r="1330" spans="1:6">
      <c r="A1330" t="s">
        <v>6</v>
      </c>
      <c r="B1330" s="1">
        <v>45852.371053240742</v>
      </c>
      <c r="C1330">
        <v>30002</v>
      </c>
      <c r="D1330" t="s">
        <v>7</v>
      </c>
      <c r="E1330" t="s">
        <v>164</v>
      </c>
      <c r="F1330" t="s">
        <v>9</v>
      </c>
    </row>
    <row r="1331" spans="1:6">
      <c r="A1331" t="s">
        <v>6</v>
      </c>
      <c r="B1331" s="1">
        <v>45852.37060185185</v>
      </c>
      <c r="C1331">
        <v>30002</v>
      </c>
      <c r="D1331" t="s">
        <v>7</v>
      </c>
      <c r="E1331" t="s">
        <v>164</v>
      </c>
      <c r="F1331" t="s">
        <v>9</v>
      </c>
    </row>
    <row r="1332" spans="1:6">
      <c r="A1332" t="s">
        <v>6</v>
      </c>
      <c r="B1332" s="1">
        <v>45852.363379629627</v>
      </c>
      <c r="C1332">
        <v>30002</v>
      </c>
      <c r="D1332" t="s">
        <v>7</v>
      </c>
      <c r="E1332" t="s">
        <v>164</v>
      </c>
      <c r="F1332" t="s">
        <v>9</v>
      </c>
    </row>
    <row r="1333" spans="1:6">
      <c r="A1333" t="s">
        <v>6</v>
      </c>
      <c r="B1333" s="1">
        <v>45852.362812500003</v>
      </c>
      <c r="C1333">
        <v>30002</v>
      </c>
      <c r="D1333" t="s">
        <v>7</v>
      </c>
      <c r="E1333" t="s">
        <v>164</v>
      </c>
      <c r="F1333" t="s">
        <v>9</v>
      </c>
    </row>
    <row r="1334" spans="1:6">
      <c r="A1334" t="s">
        <v>6</v>
      </c>
      <c r="B1334" s="1">
        <v>45852.362500000003</v>
      </c>
      <c r="C1334">
        <v>30002</v>
      </c>
      <c r="D1334" t="s">
        <v>7</v>
      </c>
      <c r="E1334" t="s">
        <v>164</v>
      </c>
      <c r="F1334" t="s">
        <v>9</v>
      </c>
    </row>
    <row r="1335" spans="1:6">
      <c r="A1335" t="s">
        <v>6</v>
      </c>
      <c r="B1335" s="1">
        <v>45852.361921296295</v>
      </c>
      <c r="C1335">
        <v>30002</v>
      </c>
      <c r="D1335" t="s">
        <v>7</v>
      </c>
      <c r="E1335" t="s">
        <v>164</v>
      </c>
      <c r="F1335" t="s">
        <v>9</v>
      </c>
    </row>
    <row r="1336" spans="1:6">
      <c r="A1336" t="s">
        <v>6</v>
      </c>
      <c r="B1336" s="1">
        <v>45852.36136574074</v>
      </c>
      <c r="C1336">
        <v>30002</v>
      </c>
      <c r="D1336" t="s">
        <v>7</v>
      </c>
      <c r="E1336" t="s">
        <v>164</v>
      </c>
      <c r="F1336" t="s">
        <v>9</v>
      </c>
    </row>
    <row r="1337" spans="1:6">
      <c r="A1337" t="s">
        <v>6</v>
      </c>
      <c r="B1337" s="1">
        <v>45852.360590277778</v>
      </c>
      <c r="C1337">
        <v>30002</v>
      </c>
      <c r="D1337" t="s">
        <v>7</v>
      </c>
      <c r="E1337" t="s">
        <v>164</v>
      </c>
      <c r="F1337" t="s">
        <v>9</v>
      </c>
    </row>
    <row r="1338" spans="1:6">
      <c r="A1338" t="s">
        <v>6</v>
      </c>
      <c r="B1338" s="1">
        <v>45852.359710648147</v>
      </c>
      <c r="C1338">
        <v>30002</v>
      </c>
      <c r="D1338" t="s">
        <v>7</v>
      </c>
      <c r="E1338" t="s">
        <v>164</v>
      </c>
      <c r="F1338" t="s">
        <v>9</v>
      </c>
    </row>
    <row r="1339" spans="1:6">
      <c r="A1339" t="s">
        <v>6</v>
      </c>
      <c r="B1339" s="1">
        <v>45852.350752314815</v>
      </c>
      <c r="C1339">
        <v>30002</v>
      </c>
      <c r="D1339" t="s">
        <v>7</v>
      </c>
      <c r="E1339" t="s">
        <v>164</v>
      </c>
      <c r="F1339" t="s">
        <v>9</v>
      </c>
    </row>
    <row r="1340" spans="1:6">
      <c r="A1340" t="s">
        <v>6</v>
      </c>
      <c r="B1340" s="1">
        <v>45852.350115740737</v>
      </c>
      <c r="C1340">
        <v>30002</v>
      </c>
      <c r="D1340" t="s">
        <v>7</v>
      </c>
      <c r="E1340" t="s">
        <v>164</v>
      </c>
      <c r="F1340" t="s">
        <v>9</v>
      </c>
    </row>
    <row r="1341" spans="1:6">
      <c r="A1341" t="s">
        <v>6</v>
      </c>
      <c r="B1341" s="1">
        <v>45852.349456018521</v>
      </c>
      <c r="C1341">
        <v>30002</v>
      </c>
      <c r="D1341" t="s">
        <v>7</v>
      </c>
      <c r="E1341" t="s">
        <v>164</v>
      </c>
      <c r="F1341" t="s">
        <v>9</v>
      </c>
    </row>
    <row r="1342" spans="1:6">
      <c r="A1342" t="s">
        <v>6</v>
      </c>
      <c r="B1342" s="1">
        <v>45852.349027777775</v>
      </c>
      <c r="C1342">
        <v>30002</v>
      </c>
      <c r="D1342" t="s">
        <v>7</v>
      </c>
      <c r="E1342" t="s">
        <v>164</v>
      </c>
      <c r="F1342" t="s">
        <v>9</v>
      </c>
    </row>
    <row r="1343" spans="1:6">
      <c r="A1343" t="s">
        <v>6</v>
      </c>
      <c r="B1343" s="1">
        <v>45852.348333333335</v>
      </c>
      <c r="C1343">
        <v>30002</v>
      </c>
      <c r="D1343" t="s">
        <v>7</v>
      </c>
      <c r="E1343" t="s">
        <v>164</v>
      </c>
      <c r="F1343" t="s">
        <v>9</v>
      </c>
    </row>
    <row r="1344" spans="1:6">
      <c r="A1344" t="s">
        <v>6</v>
      </c>
      <c r="B1344" s="1">
        <v>45852.347303240742</v>
      </c>
      <c r="C1344">
        <v>30002</v>
      </c>
      <c r="D1344" t="s">
        <v>7</v>
      </c>
      <c r="E1344" t="s">
        <v>164</v>
      </c>
      <c r="F1344" t="s">
        <v>9</v>
      </c>
    </row>
    <row r="1345" spans="1:6">
      <c r="A1345" t="s">
        <v>6</v>
      </c>
      <c r="B1345" s="1">
        <v>45852.338356481479</v>
      </c>
      <c r="C1345">
        <v>30002</v>
      </c>
      <c r="D1345" t="s">
        <v>7</v>
      </c>
      <c r="E1345" t="s">
        <v>164</v>
      </c>
      <c r="F1345" t="s">
        <v>9</v>
      </c>
    </row>
    <row r="1346" spans="1:6">
      <c r="A1346" t="s">
        <v>6</v>
      </c>
      <c r="B1346" s="1">
        <v>45852.33798611111</v>
      </c>
      <c r="C1346">
        <v>30002</v>
      </c>
      <c r="D1346" t="s">
        <v>7</v>
      </c>
      <c r="E1346" t="s">
        <v>164</v>
      </c>
      <c r="F1346" t="s">
        <v>9</v>
      </c>
    </row>
    <row r="1347" spans="1:6">
      <c r="A1347" t="s">
        <v>6</v>
      </c>
      <c r="B1347" s="1">
        <v>45852.337500000001</v>
      </c>
      <c r="C1347">
        <v>30002</v>
      </c>
      <c r="D1347" t="s">
        <v>7</v>
      </c>
      <c r="E1347" t="s">
        <v>164</v>
      </c>
      <c r="F1347" t="s">
        <v>9</v>
      </c>
    </row>
    <row r="1348" spans="1:6">
      <c r="A1348" t="s">
        <v>6</v>
      </c>
      <c r="B1348" s="1">
        <v>45852.336180555554</v>
      </c>
      <c r="C1348">
        <v>30002</v>
      </c>
      <c r="D1348" t="s">
        <v>7</v>
      </c>
      <c r="E1348" t="s">
        <v>164</v>
      </c>
      <c r="F1348" t="s">
        <v>9</v>
      </c>
    </row>
    <row r="1349" spans="1:6">
      <c r="A1349" t="s">
        <v>6</v>
      </c>
      <c r="B1349" s="1">
        <v>45852.335787037038</v>
      </c>
      <c r="C1349">
        <v>30002</v>
      </c>
      <c r="D1349" t="s">
        <v>7</v>
      </c>
      <c r="E1349" t="s">
        <v>164</v>
      </c>
      <c r="F1349" t="s">
        <v>9</v>
      </c>
    </row>
    <row r="1350" spans="1:6">
      <c r="A1350" t="s">
        <v>6</v>
      </c>
      <c r="B1350" s="1">
        <v>45852.3356712963</v>
      </c>
      <c r="C1350">
        <v>30002</v>
      </c>
      <c r="D1350" t="s">
        <v>7</v>
      </c>
      <c r="E1350" t="s">
        <v>164</v>
      </c>
      <c r="F1350" t="s">
        <v>9</v>
      </c>
    </row>
    <row r="1351" spans="1:6">
      <c r="A1351" t="s">
        <v>6</v>
      </c>
      <c r="B1351" s="1">
        <v>45852.335520833331</v>
      </c>
      <c r="C1351">
        <v>30002</v>
      </c>
      <c r="D1351" t="s">
        <v>7</v>
      </c>
      <c r="E1351" t="s">
        <v>164</v>
      </c>
      <c r="F1351" t="s">
        <v>9</v>
      </c>
    </row>
    <row r="1352" spans="1:6">
      <c r="A1352" t="s">
        <v>6</v>
      </c>
      <c r="B1352" s="1">
        <v>45852.332928240743</v>
      </c>
      <c r="C1352">
        <v>30002</v>
      </c>
      <c r="D1352" t="s">
        <v>7</v>
      </c>
      <c r="E1352" t="s">
        <v>164</v>
      </c>
      <c r="F1352" t="s">
        <v>9</v>
      </c>
    </row>
    <row r="1353" spans="1:6">
      <c r="A1353" t="s">
        <v>6</v>
      </c>
      <c r="B1353" s="1">
        <v>45852.332314814812</v>
      </c>
      <c r="C1353">
        <v>30002</v>
      </c>
      <c r="D1353" t="s">
        <v>7</v>
      </c>
      <c r="E1353" t="s">
        <v>164</v>
      </c>
      <c r="F1353" t="s">
        <v>9</v>
      </c>
    </row>
    <row r="1354" spans="1:6">
      <c r="A1354" t="s">
        <v>6</v>
      </c>
      <c r="B1354" s="1">
        <v>45852.332199074073</v>
      </c>
      <c r="C1354">
        <v>30002</v>
      </c>
      <c r="D1354" t="s">
        <v>7</v>
      </c>
      <c r="E1354" t="s">
        <v>164</v>
      </c>
      <c r="F1354" t="s">
        <v>9</v>
      </c>
    </row>
    <row r="1355" spans="1:6">
      <c r="A1355" t="s">
        <v>6</v>
      </c>
      <c r="B1355" s="1">
        <v>45847.529872685183</v>
      </c>
      <c r="C1355">
        <v>30002</v>
      </c>
      <c r="D1355" t="s">
        <v>7</v>
      </c>
      <c r="E1355" t="s">
        <v>164</v>
      </c>
      <c r="F1355" t="s">
        <v>9</v>
      </c>
    </row>
    <row r="1356" spans="1:6">
      <c r="A1356" t="s">
        <v>6</v>
      </c>
      <c r="B1356" s="1">
        <v>45845.480671296296</v>
      </c>
      <c r="C1356">
        <v>30002</v>
      </c>
      <c r="D1356" t="s">
        <v>7</v>
      </c>
      <c r="E1356" t="s">
        <v>164</v>
      </c>
      <c r="F1356" t="s">
        <v>9</v>
      </c>
    </row>
    <row r="1357" spans="1:6">
      <c r="A1357" t="s">
        <v>6</v>
      </c>
      <c r="B1357" s="1">
        <v>45845.48</v>
      </c>
      <c r="C1357">
        <v>30002</v>
      </c>
      <c r="D1357" t="s">
        <v>7</v>
      </c>
      <c r="E1357" t="s">
        <v>164</v>
      </c>
      <c r="F1357" t="s">
        <v>9</v>
      </c>
    </row>
    <row r="1358" spans="1:6">
      <c r="A1358" t="s">
        <v>6</v>
      </c>
      <c r="B1358" s="1">
        <v>45845.47934027778</v>
      </c>
      <c r="C1358">
        <v>30002</v>
      </c>
      <c r="D1358" t="s">
        <v>7</v>
      </c>
      <c r="E1358" t="s">
        <v>164</v>
      </c>
      <c r="F1358" t="s">
        <v>9</v>
      </c>
    </row>
    <row r="1359" spans="1:6">
      <c r="A1359" t="s">
        <v>6</v>
      </c>
      <c r="B1359" s="1">
        <v>45845.478472222225</v>
      </c>
      <c r="C1359">
        <v>30002</v>
      </c>
      <c r="D1359" t="s">
        <v>7</v>
      </c>
      <c r="E1359" t="s">
        <v>164</v>
      </c>
      <c r="F1359" t="s">
        <v>9</v>
      </c>
    </row>
    <row r="1360" spans="1:6">
      <c r="A1360" t="s">
        <v>6</v>
      </c>
      <c r="B1360" s="1">
        <v>45845.477881944447</v>
      </c>
      <c r="C1360">
        <v>30002</v>
      </c>
      <c r="D1360" t="s">
        <v>7</v>
      </c>
      <c r="E1360" t="s">
        <v>164</v>
      </c>
      <c r="F1360" t="s">
        <v>9</v>
      </c>
    </row>
    <row r="1361" spans="1:6">
      <c r="A1361" t="s">
        <v>6</v>
      </c>
      <c r="B1361" s="1">
        <v>45845.477372685185</v>
      </c>
      <c r="C1361">
        <v>30002</v>
      </c>
      <c r="D1361" t="s">
        <v>7</v>
      </c>
      <c r="E1361" t="s">
        <v>164</v>
      </c>
      <c r="F1361" t="s">
        <v>9</v>
      </c>
    </row>
    <row r="1362" spans="1:6">
      <c r="A1362" t="s">
        <v>6</v>
      </c>
      <c r="B1362" s="1">
        <v>45845.476898148147</v>
      </c>
      <c r="C1362">
        <v>30002</v>
      </c>
      <c r="D1362" t="s">
        <v>7</v>
      </c>
      <c r="E1362" t="s">
        <v>164</v>
      </c>
      <c r="F1362" t="s">
        <v>9</v>
      </c>
    </row>
    <row r="1363" spans="1:6">
      <c r="A1363" t="s">
        <v>6</v>
      </c>
      <c r="B1363" s="1">
        <v>45845.476400462961</v>
      </c>
      <c r="C1363">
        <v>30002</v>
      </c>
      <c r="D1363" t="s">
        <v>7</v>
      </c>
      <c r="E1363" t="s">
        <v>164</v>
      </c>
      <c r="F1363" t="s">
        <v>9</v>
      </c>
    </row>
    <row r="1364" spans="1:6">
      <c r="A1364" t="s">
        <v>6</v>
      </c>
      <c r="B1364" s="1">
        <v>45845.47619212963</v>
      </c>
      <c r="C1364">
        <v>30002</v>
      </c>
      <c r="D1364" t="s">
        <v>7</v>
      </c>
      <c r="E1364" t="s">
        <v>164</v>
      </c>
      <c r="F1364" t="s">
        <v>9</v>
      </c>
    </row>
    <row r="1365" spans="1:6">
      <c r="A1365" t="s">
        <v>6</v>
      </c>
      <c r="B1365" s="1">
        <v>45845.474803240744</v>
      </c>
      <c r="C1365">
        <v>30002</v>
      </c>
      <c r="D1365" t="s">
        <v>7</v>
      </c>
      <c r="E1365" t="s">
        <v>164</v>
      </c>
      <c r="F1365" t="s">
        <v>9</v>
      </c>
    </row>
    <row r="1366" spans="1:6">
      <c r="A1366" t="s">
        <v>6</v>
      </c>
      <c r="B1366" s="1">
        <v>45845.474317129629</v>
      </c>
      <c r="C1366">
        <v>30002</v>
      </c>
      <c r="D1366" t="s">
        <v>7</v>
      </c>
      <c r="E1366" t="s">
        <v>164</v>
      </c>
      <c r="F1366" t="s">
        <v>9</v>
      </c>
    </row>
    <row r="1367" spans="1:6">
      <c r="A1367" t="s">
        <v>6</v>
      </c>
      <c r="B1367" s="1">
        <v>45845.473263888889</v>
      </c>
      <c r="C1367">
        <v>30002</v>
      </c>
      <c r="D1367" t="s">
        <v>7</v>
      </c>
      <c r="E1367" t="s">
        <v>164</v>
      </c>
      <c r="F1367" t="s">
        <v>9</v>
      </c>
    </row>
    <row r="1368" spans="1:6">
      <c r="A1368" t="s">
        <v>6</v>
      </c>
      <c r="B1368" s="1">
        <v>45845.32984953704</v>
      </c>
      <c r="C1368">
        <v>30002</v>
      </c>
      <c r="D1368" t="s">
        <v>7</v>
      </c>
      <c r="E1368" t="s">
        <v>164</v>
      </c>
      <c r="F1368" t="s">
        <v>9</v>
      </c>
    </row>
    <row r="1369" spans="1:6">
      <c r="A1369" t="s">
        <v>6</v>
      </c>
      <c r="B1369" s="1">
        <v>45845.329687500001</v>
      </c>
      <c r="C1369">
        <v>30002</v>
      </c>
      <c r="D1369" t="s">
        <v>7</v>
      </c>
      <c r="E1369" t="s">
        <v>164</v>
      </c>
      <c r="F1369" t="s">
        <v>9</v>
      </c>
    </row>
    <row r="1370" spans="1:6">
      <c r="A1370" t="s">
        <v>6</v>
      </c>
      <c r="B1370" s="1">
        <v>45845.329583333332</v>
      </c>
      <c r="C1370">
        <v>30002</v>
      </c>
      <c r="D1370" t="s">
        <v>7</v>
      </c>
      <c r="E1370" t="s">
        <v>164</v>
      </c>
      <c r="F1370" t="s">
        <v>9</v>
      </c>
    </row>
    <row r="1371" spans="1:6">
      <c r="A1371" t="s">
        <v>6</v>
      </c>
      <c r="B1371" s="1">
        <v>45845.329467592594</v>
      </c>
      <c r="C1371">
        <v>30002</v>
      </c>
      <c r="D1371" t="s">
        <v>7</v>
      </c>
      <c r="E1371" t="s">
        <v>164</v>
      </c>
      <c r="F1371" t="s">
        <v>9</v>
      </c>
    </row>
    <row r="1372" spans="1:6">
      <c r="A1372" t="s">
        <v>6</v>
      </c>
      <c r="B1372" s="1">
        <v>45845.329398148147</v>
      </c>
      <c r="C1372">
        <v>30002</v>
      </c>
      <c r="D1372" t="s">
        <v>7</v>
      </c>
      <c r="E1372" t="s">
        <v>164</v>
      </c>
      <c r="F1372" t="s">
        <v>9</v>
      </c>
    </row>
    <row r="1373" spans="1:6">
      <c r="A1373" t="s">
        <v>6</v>
      </c>
      <c r="B1373" s="1">
        <v>45840.558229166665</v>
      </c>
      <c r="C1373">
        <v>30002</v>
      </c>
      <c r="D1373" t="s">
        <v>7</v>
      </c>
      <c r="E1373" t="s">
        <v>164</v>
      </c>
      <c r="F1373" t="s">
        <v>9</v>
      </c>
    </row>
    <row r="1374" spans="1:6">
      <c r="A1374" t="s">
        <v>6</v>
      </c>
      <c r="B1374" s="1">
        <v>45838.831736111111</v>
      </c>
      <c r="C1374">
        <v>30002</v>
      </c>
      <c r="D1374" t="s">
        <v>7</v>
      </c>
      <c r="E1374" t="s">
        <v>166</v>
      </c>
      <c r="F1374" t="s">
        <v>75</v>
      </c>
    </row>
    <row r="1375" spans="1:6">
      <c r="A1375" t="s">
        <v>6</v>
      </c>
      <c r="B1375" s="1">
        <v>45847.643506944441</v>
      </c>
      <c r="C1375">
        <v>30002</v>
      </c>
      <c r="D1375" t="s">
        <v>7</v>
      </c>
      <c r="E1375" t="s">
        <v>167</v>
      </c>
      <c r="F1375" t="s">
        <v>102</v>
      </c>
    </row>
    <row r="1376" spans="1:6">
      <c r="A1376" t="s">
        <v>6</v>
      </c>
      <c r="B1376" s="1">
        <v>45844.450914351852</v>
      </c>
      <c r="C1376">
        <v>30002</v>
      </c>
      <c r="D1376" t="s">
        <v>7</v>
      </c>
      <c r="E1376" t="s">
        <v>167</v>
      </c>
      <c r="F1376" t="s">
        <v>103</v>
      </c>
    </row>
    <row r="1377" spans="1:6">
      <c r="A1377" t="s">
        <v>6</v>
      </c>
      <c r="B1377" s="1">
        <v>45844.450694444444</v>
      </c>
      <c r="C1377">
        <v>30002</v>
      </c>
      <c r="D1377" t="s">
        <v>7</v>
      </c>
      <c r="E1377" t="s">
        <v>167</v>
      </c>
      <c r="F1377" t="s">
        <v>103</v>
      </c>
    </row>
    <row r="1378" spans="1:6">
      <c r="A1378" t="s">
        <v>6</v>
      </c>
      <c r="B1378" s="1">
        <v>45844.432708333334</v>
      </c>
      <c r="C1378">
        <v>30002</v>
      </c>
      <c r="D1378" t="s">
        <v>7</v>
      </c>
      <c r="E1378" t="s">
        <v>167</v>
      </c>
      <c r="F1378" t="s">
        <v>103</v>
      </c>
    </row>
    <row r="1379" spans="1:6">
      <c r="A1379" t="s">
        <v>6</v>
      </c>
      <c r="B1379" s="1">
        <v>45847.406643518516</v>
      </c>
      <c r="C1379">
        <v>30002</v>
      </c>
      <c r="D1379" t="s">
        <v>7</v>
      </c>
      <c r="E1379" t="s">
        <v>167</v>
      </c>
      <c r="F1379" t="s">
        <v>23</v>
      </c>
    </row>
    <row r="1380" spans="1:6">
      <c r="A1380" t="s">
        <v>6</v>
      </c>
      <c r="B1380" s="1">
        <v>45847.600555555553</v>
      </c>
      <c r="C1380">
        <v>30002</v>
      </c>
      <c r="D1380" t="s">
        <v>7</v>
      </c>
      <c r="E1380" t="s">
        <v>167</v>
      </c>
      <c r="F1380" t="s">
        <v>97</v>
      </c>
    </row>
    <row r="1381" spans="1:6">
      <c r="A1381" t="s">
        <v>6</v>
      </c>
      <c r="B1381" s="1">
        <v>45847.33494212963</v>
      </c>
      <c r="C1381">
        <v>30002</v>
      </c>
      <c r="D1381" t="s">
        <v>7</v>
      </c>
      <c r="E1381" t="s">
        <v>167</v>
      </c>
      <c r="F1381" t="s">
        <v>106</v>
      </c>
    </row>
    <row r="1382" spans="1:6">
      <c r="A1382" t="s">
        <v>6</v>
      </c>
      <c r="B1382" s="1">
        <v>45847.331041666665</v>
      </c>
      <c r="C1382">
        <v>30002</v>
      </c>
      <c r="D1382" t="s">
        <v>7</v>
      </c>
      <c r="E1382" t="s">
        <v>167</v>
      </c>
      <c r="F1382" t="s">
        <v>106</v>
      </c>
    </row>
    <row r="1383" spans="1:6">
      <c r="A1383" t="s">
        <v>6</v>
      </c>
      <c r="B1383" s="1">
        <v>45866.421840277777</v>
      </c>
      <c r="C1383">
        <v>30002</v>
      </c>
      <c r="D1383" t="s">
        <v>7</v>
      </c>
      <c r="E1383" t="s">
        <v>168</v>
      </c>
      <c r="F1383" t="s">
        <v>144</v>
      </c>
    </row>
    <row r="1384" spans="1:6">
      <c r="A1384" t="s">
        <v>6</v>
      </c>
      <c r="B1384" s="1">
        <v>45849.719965277778</v>
      </c>
      <c r="C1384">
        <v>30002</v>
      </c>
      <c r="D1384" t="s">
        <v>7</v>
      </c>
      <c r="E1384" t="s">
        <v>168</v>
      </c>
      <c r="F1384" t="s">
        <v>36</v>
      </c>
    </row>
    <row r="1385" spans="1:6">
      <c r="A1385" t="s">
        <v>6</v>
      </c>
      <c r="B1385" s="1">
        <v>45848.489027777781</v>
      </c>
      <c r="C1385">
        <v>30002</v>
      </c>
      <c r="D1385" t="s">
        <v>7</v>
      </c>
      <c r="E1385" t="s">
        <v>169</v>
      </c>
      <c r="F1385" t="s">
        <v>13</v>
      </c>
    </row>
    <row r="1386" spans="1:6">
      <c r="A1386" t="s">
        <v>6</v>
      </c>
      <c r="B1386" s="1">
        <v>45855.327789351853</v>
      </c>
      <c r="C1386">
        <v>30002</v>
      </c>
      <c r="D1386" t="s">
        <v>7</v>
      </c>
      <c r="E1386" t="s">
        <v>169</v>
      </c>
      <c r="F1386" t="s">
        <v>19</v>
      </c>
    </row>
    <row r="1387" spans="1:6">
      <c r="A1387" t="s">
        <v>6</v>
      </c>
      <c r="B1387" s="1">
        <v>45846.27207175926</v>
      </c>
      <c r="C1387">
        <v>30002</v>
      </c>
      <c r="D1387" t="s">
        <v>7</v>
      </c>
      <c r="E1387" t="s">
        <v>169</v>
      </c>
      <c r="F1387" t="s">
        <v>19</v>
      </c>
    </row>
    <row r="1388" spans="1:6">
      <c r="A1388" t="s">
        <v>6</v>
      </c>
      <c r="B1388" s="1">
        <v>45842.628032407411</v>
      </c>
      <c r="C1388">
        <v>30002</v>
      </c>
      <c r="D1388" t="s">
        <v>7</v>
      </c>
      <c r="E1388" t="s">
        <v>169</v>
      </c>
      <c r="F1388" t="s">
        <v>19</v>
      </c>
    </row>
    <row r="1389" spans="1:6">
      <c r="A1389" t="s">
        <v>6</v>
      </c>
      <c r="B1389" s="1">
        <v>45869.590567129628</v>
      </c>
      <c r="C1389">
        <v>30002</v>
      </c>
      <c r="D1389" t="s">
        <v>7</v>
      </c>
      <c r="E1389" t="s">
        <v>169</v>
      </c>
      <c r="F1389" t="s">
        <v>97</v>
      </c>
    </row>
    <row r="1390" spans="1:6">
      <c r="A1390" t="s">
        <v>6</v>
      </c>
      <c r="B1390" s="1">
        <v>45869.590451388889</v>
      </c>
      <c r="C1390">
        <v>30002</v>
      </c>
      <c r="D1390" t="s">
        <v>7</v>
      </c>
      <c r="E1390" t="s">
        <v>169</v>
      </c>
      <c r="F1390" t="s">
        <v>97</v>
      </c>
    </row>
    <row r="1391" spans="1:6">
      <c r="A1391" t="s">
        <v>6</v>
      </c>
      <c r="B1391" s="1">
        <v>45869.584641203706</v>
      </c>
      <c r="C1391">
        <v>30002</v>
      </c>
      <c r="D1391" t="s">
        <v>7</v>
      </c>
      <c r="E1391" t="s">
        <v>169</v>
      </c>
      <c r="F1391" t="s">
        <v>97</v>
      </c>
    </row>
    <row r="1392" spans="1:6">
      <c r="A1392" t="s">
        <v>6</v>
      </c>
      <c r="B1392" s="1">
        <v>45856.33489583333</v>
      </c>
      <c r="C1392">
        <v>30002</v>
      </c>
      <c r="D1392" t="s">
        <v>7</v>
      </c>
      <c r="E1392" t="s">
        <v>169</v>
      </c>
      <c r="F1392" t="s">
        <v>97</v>
      </c>
    </row>
    <row r="1393" spans="1:6">
      <c r="A1393" t="s">
        <v>6</v>
      </c>
      <c r="B1393" s="1">
        <v>45848.685740740744</v>
      </c>
      <c r="C1393">
        <v>30002</v>
      </c>
      <c r="D1393" t="s">
        <v>7</v>
      </c>
      <c r="E1393" t="s">
        <v>169</v>
      </c>
      <c r="F1393" t="s">
        <v>97</v>
      </c>
    </row>
    <row r="1394" spans="1:6">
      <c r="A1394" t="s">
        <v>6</v>
      </c>
      <c r="B1394" s="1">
        <v>45846.30672453704</v>
      </c>
      <c r="C1394">
        <v>30002</v>
      </c>
      <c r="D1394" t="s">
        <v>7</v>
      </c>
      <c r="E1394" t="s">
        <v>169</v>
      </c>
      <c r="F1394" t="s">
        <v>97</v>
      </c>
    </row>
    <row r="1395" spans="1:6">
      <c r="A1395" t="s">
        <v>6</v>
      </c>
      <c r="B1395" s="1">
        <v>45846.303483796299</v>
      </c>
      <c r="C1395">
        <v>30002</v>
      </c>
      <c r="D1395" t="s">
        <v>7</v>
      </c>
      <c r="E1395" t="s">
        <v>169</v>
      </c>
      <c r="F1395" t="s">
        <v>97</v>
      </c>
    </row>
    <row r="1396" spans="1:6">
      <c r="A1396" t="s">
        <v>6</v>
      </c>
      <c r="B1396" s="1">
        <v>45846.30296296296</v>
      </c>
      <c r="C1396">
        <v>30002</v>
      </c>
      <c r="D1396" t="s">
        <v>7</v>
      </c>
      <c r="E1396" t="s">
        <v>169</v>
      </c>
      <c r="F1396" t="s">
        <v>97</v>
      </c>
    </row>
    <row r="1397" spans="1:6">
      <c r="A1397" t="s">
        <v>6</v>
      </c>
      <c r="B1397" s="1">
        <v>45855.32408564815</v>
      </c>
      <c r="C1397">
        <v>30002</v>
      </c>
      <c r="D1397" t="s">
        <v>7</v>
      </c>
      <c r="E1397" t="s">
        <v>170</v>
      </c>
      <c r="F1397" t="s">
        <v>19</v>
      </c>
    </row>
    <row r="1398" spans="1:6">
      <c r="A1398" t="s">
        <v>6</v>
      </c>
      <c r="B1398" s="1">
        <v>45848.466550925928</v>
      </c>
      <c r="C1398">
        <v>30002</v>
      </c>
      <c r="D1398" t="s">
        <v>7</v>
      </c>
      <c r="E1398" t="s">
        <v>171</v>
      </c>
      <c r="F1398" t="s">
        <v>102</v>
      </c>
    </row>
    <row r="1399" spans="1:6">
      <c r="A1399" t="s">
        <v>6</v>
      </c>
      <c r="B1399" s="1">
        <v>45845.357557870368</v>
      </c>
      <c r="C1399">
        <v>30002</v>
      </c>
      <c r="D1399" t="s">
        <v>7</v>
      </c>
      <c r="E1399" t="s">
        <v>171</v>
      </c>
      <c r="F1399" t="s">
        <v>102</v>
      </c>
    </row>
    <row r="1400" spans="1:6">
      <c r="A1400" t="s">
        <v>6</v>
      </c>
      <c r="B1400" s="1">
        <v>45848.481226851851</v>
      </c>
      <c r="C1400">
        <v>30002</v>
      </c>
      <c r="D1400" t="s">
        <v>7</v>
      </c>
      <c r="E1400" t="s">
        <v>171</v>
      </c>
      <c r="F1400" t="s">
        <v>13</v>
      </c>
    </row>
    <row r="1401" spans="1:6">
      <c r="A1401" t="s">
        <v>6</v>
      </c>
      <c r="B1401" s="1">
        <v>45848.464317129627</v>
      </c>
      <c r="C1401">
        <v>30002</v>
      </c>
      <c r="D1401" t="s">
        <v>7</v>
      </c>
      <c r="E1401" t="s">
        <v>171</v>
      </c>
      <c r="F1401" t="s">
        <v>13</v>
      </c>
    </row>
    <row r="1402" spans="1:6">
      <c r="A1402" t="s">
        <v>6</v>
      </c>
      <c r="B1402" s="1">
        <v>45848.45616898148</v>
      </c>
      <c r="C1402">
        <v>30002</v>
      </c>
      <c r="D1402" t="s">
        <v>7</v>
      </c>
      <c r="E1402" t="s">
        <v>171</v>
      </c>
      <c r="F1402" t="s">
        <v>13</v>
      </c>
    </row>
    <row r="1403" spans="1:6">
      <c r="A1403" t="s">
        <v>6</v>
      </c>
      <c r="B1403" s="1">
        <v>45866.313159722224</v>
      </c>
      <c r="C1403">
        <v>30002</v>
      </c>
      <c r="D1403" t="s">
        <v>7</v>
      </c>
      <c r="E1403" t="s">
        <v>171</v>
      </c>
      <c r="F1403" t="s">
        <v>18</v>
      </c>
    </row>
    <row r="1404" spans="1:6">
      <c r="A1404" t="s">
        <v>6</v>
      </c>
      <c r="B1404" s="1">
        <v>45866.303182870368</v>
      </c>
      <c r="C1404">
        <v>30002</v>
      </c>
      <c r="D1404" t="s">
        <v>7</v>
      </c>
      <c r="E1404" t="s">
        <v>171</v>
      </c>
      <c r="F1404" t="s">
        <v>18</v>
      </c>
    </row>
    <row r="1405" spans="1:6">
      <c r="A1405" t="s">
        <v>6</v>
      </c>
      <c r="B1405" s="1">
        <v>45866.285127314812</v>
      </c>
      <c r="C1405">
        <v>30002</v>
      </c>
      <c r="D1405" t="s">
        <v>7</v>
      </c>
      <c r="E1405" t="s">
        <v>171</v>
      </c>
      <c r="F1405" t="s">
        <v>18</v>
      </c>
    </row>
    <row r="1406" spans="1:6">
      <c r="A1406" t="s">
        <v>6</v>
      </c>
      <c r="B1406" s="1">
        <v>45845.922662037039</v>
      </c>
      <c r="C1406">
        <v>30002</v>
      </c>
      <c r="D1406" t="s">
        <v>7</v>
      </c>
      <c r="E1406" t="s">
        <v>171</v>
      </c>
      <c r="F1406" t="s">
        <v>18</v>
      </c>
    </row>
    <row r="1407" spans="1:6">
      <c r="A1407" t="s">
        <v>6</v>
      </c>
      <c r="B1407" s="1">
        <v>45853.394282407404</v>
      </c>
      <c r="C1407">
        <v>30002</v>
      </c>
      <c r="D1407" t="s">
        <v>7</v>
      </c>
      <c r="E1407" t="s">
        <v>171</v>
      </c>
      <c r="F1407" t="s">
        <v>134</v>
      </c>
    </row>
    <row r="1408" spans="1:6">
      <c r="A1408" t="s">
        <v>6</v>
      </c>
      <c r="B1408" s="1">
        <v>45840.340381944443</v>
      </c>
      <c r="C1408">
        <v>30002</v>
      </c>
      <c r="D1408" t="s">
        <v>7</v>
      </c>
      <c r="E1408" t="s">
        <v>171</v>
      </c>
      <c r="F1408" t="s">
        <v>121</v>
      </c>
    </row>
    <row r="1409" spans="1:6">
      <c r="A1409" t="s">
        <v>6</v>
      </c>
      <c r="B1409" s="1">
        <v>45866.452835648146</v>
      </c>
      <c r="C1409">
        <v>30002</v>
      </c>
      <c r="D1409" t="s">
        <v>7</v>
      </c>
      <c r="E1409" t="s">
        <v>171</v>
      </c>
      <c r="F1409" t="s">
        <v>103</v>
      </c>
    </row>
    <row r="1410" spans="1:6">
      <c r="A1410" t="s">
        <v>6</v>
      </c>
      <c r="B1410" s="1">
        <v>45848.437118055554</v>
      </c>
      <c r="C1410">
        <v>30002</v>
      </c>
      <c r="D1410" t="s">
        <v>7</v>
      </c>
      <c r="E1410" t="s">
        <v>171</v>
      </c>
      <c r="F1410" t="s">
        <v>103</v>
      </c>
    </row>
    <row r="1411" spans="1:6">
      <c r="A1411" t="s">
        <v>6</v>
      </c>
      <c r="B1411" s="1">
        <v>45845.385613425926</v>
      </c>
      <c r="C1411">
        <v>30002</v>
      </c>
      <c r="D1411" t="s">
        <v>7</v>
      </c>
      <c r="E1411" t="s">
        <v>171</v>
      </c>
      <c r="F1411" t="s">
        <v>103</v>
      </c>
    </row>
    <row r="1412" spans="1:6">
      <c r="A1412" t="s">
        <v>6</v>
      </c>
      <c r="B1412" s="1">
        <v>45845.373622685183</v>
      </c>
      <c r="C1412">
        <v>30002</v>
      </c>
      <c r="D1412" t="s">
        <v>7</v>
      </c>
      <c r="E1412" t="s">
        <v>171</v>
      </c>
      <c r="F1412" t="s">
        <v>103</v>
      </c>
    </row>
    <row r="1413" spans="1:6">
      <c r="A1413" t="s">
        <v>6</v>
      </c>
      <c r="B1413" s="1">
        <v>45866.283773148149</v>
      </c>
      <c r="C1413">
        <v>30002</v>
      </c>
      <c r="D1413" t="s">
        <v>7</v>
      </c>
      <c r="E1413" t="s">
        <v>171</v>
      </c>
      <c r="F1413" t="s">
        <v>19</v>
      </c>
    </row>
    <row r="1414" spans="1:6">
      <c r="A1414" t="s">
        <v>6</v>
      </c>
      <c r="B1414" s="1">
        <v>45865.655289351853</v>
      </c>
      <c r="C1414">
        <v>30002</v>
      </c>
      <c r="D1414" t="s">
        <v>7</v>
      </c>
      <c r="E1414" t="s">
        <v>171</v>
      </c>
      <c r="F1414" t="s">
        <v>19</v>
      </c>
    </row>
    <row r="1415" spans="1:6">
      <c r="A1415" t="s">
        <v>6</v>
      </c>
      <c r="B1415" s="1">
        <v>45847.665300925924</v>
      </c>
      <c r="C1415">
        <v>30002</v>
      </c>
      <c r="D1415" t="s">
        <v>7</v>
      </c>
      <c r="E1415" t="s">
        <v>171</v>
      </c>
      <c r="F1415" t="s">
        <v>19</v>
      </c>
    </row>
    <row r="1416" spans="1:6">
      <c r="A1416" t="s">
        <v>6</v>
      </c>
      <c r="B1416" s="1">
        <v>45847.658495370371</v>
      </c>
      <c r="C1416">
        <v>30002</v>
      </c>
      <c r="D1416" t="s">
        <v>7</v>
      </c>
      <c r="E1416" t="s">
        <v>171</v>
      </c>
      <c r="F1416" t="s">
        <v>19</v>
      </c>
    </row>
    <row r="1417" spans="1:6">
      <c r="A1417" t="s">
        <v>6</v>
      </c>
      <c r="B1417" s="1">
        <v>45846.323692129627</v>
      </c>
      <c r="C1417">
        <v>30002</v>
      </c>
      <c r="D1417" t="s">
        <v>7</v>
      </c>
      <c r="E1417" t="s">
        <v>171</v>
      </c>
      <c r="F1417" t="s">
        <v>19</v>
      </c>
    </row>
    <row r="1418" spans="1:6">
      <c r="A1418" t="s">
        <v>6</v>
      </c>
      <c r="B1418" s="1">
        <v>45846.322974537034</v>
      </c>
      <c r="C1418">
        <v>30002</v>
      </c>
      <c r="D1418" t="s">
        <v>7</v>
      </c>
      <c r="E1418" t="s">
        <v>171</v>
      </c>
      <c r="F1418" t="s">
        <v>19</v>
      </c>
    </row>
    <row r="1419" spans="1:6">
      <c r="A1419" t="s">
        <v>6</v>
      </c>
      <c r="B1419" s="1">
        <v>45845.18922453704</v>
      </c>
      <c r="C1419">
        <v>30002</v>
      </c>
      <c r="D1419" t="s">
        <v>7</v>
      </c>
      <c r="E1419" t="s">
        <v>171</v>
      </c>
      <c r="F1419" t="s">
        <v>19</v>
      </c>
    </row>
    <row r="1420" spans="1:6">
      <c r="A1420" t="s">
        <v>6</v>
      </c>
      <c r="B1420" s="1">
        <v>45842.626956018517</v>
      </c>
      <c r="C1420">
        <v>30002</v>
      </c>
      <c r="D1420" t="s">
        <v>7</v>
      </c>
      <c r="E1420" t="s">
        <v>171</v>
      </c>
      <c r="F1420" t="s">
        <v>19</v>
      </c>
    </row>
    <row r="1421" spans="1:6">
      <c r="A1421" t="s">
        <v>6</v>
      </c>
      <c r="B1421" s="1">
        <v>45841.260810185187</v>
      </c>
      <c r="C1421">
        <v>30002</v>
      </c>
      <c r="D1421" t="s">
        <v>7</v>
      </c>
      <c r="E1421" t="s">
        <v>171</v>
      </c>
      <c r="F1421" t="s">
        <v>19</v>
      </c>
    </row>
    <row r="1422" spans="1:6">
      <c r="A1422" t="s">
        <v>6</v>
      </c>
      <c r="B1422" s="1">
        <v>45869.600162037037</v>
      </c>
      <c r="C1422">
        <v>30002</v>
      </c>
      <c r="D1422" t="s">
        <v>7</v>
      </c>
      <c r="E1422" t="s">
        <v>171</v>
      </c>
      <c r="F1422" t="s">
        <v>15</v>
      </c>
    </row>
    <row r="1423" spans="1:6">
      <c r="A1423" t="s">
        <v>6</v>
      </c>
      <c r="B1423" s="1">
        <v>45869.479166666664</v>
      </c>
      <c r="C1423">
        <v>30002</v>
      </c>
      <c r="D1423" t="s">
        <v>7</v>
      </c>
      <c r="E1423" t="s">
        <v>171</v>
      </c>
      <c r="F1423" t="s">
        <v>15</v>
      </c>
    </row>
    <row r="1424" spans="1:6">
      <c r="A1424" t="s">
        <v>6</v>
      </c>
      <c r="B1424" s="1">
        <v>45869.476041666669</v>
      </c>
      <c r="C1424">
        <v>30002</v>
      </c>
      <c r="D1424" t="s">
        <v>7</v>
      </c>
      <c r="E1424" t="s">
        <v>171</v>
      </c>
      <c r="F1424" t="s">
        <v>15</v>
      </c>
    </row>
    <row r="1425" spans="1:6">
      <c r="A1425" t="s">
        <v>6</v>
      </c>
      <c r="B1425" s="1">
        <v>45869.471574074072</v>
      </c>
      <c r="C1425">
        <v>30002</v>
      </c>
      <c r="D1425" t="s">
        <v>7</v>
      </c>
      <c r="E1425" t="s">
        <v>171</v>
      </c>
      <c r="F1425" t="s">
        <v>15</v>
      </c>
    </row>
    <row r="1426" spans="1:6">
      <c r="A1426" t="s">
        <v>6</v>
      </c>
      <c r="B1426" s="1">
        <v>45849.363564814812</v>
      </c>
      <c r="C1426">
        <v>30002</v>
      </c>
      <c r="D1426" t="s">
        <v>7</v>
      </c>
      <c r="E1426" t="s">
        <v>171</v>
      </c>
      <c r="F1426" t="s">
        <v>15</v>
      </c>
    </row>
    <row r="1427" spans="1:6">
      <c r="A1427" t="s">
        <v>6</v>
      </c>
      <c r="B1427" s="1">
        <v>45849.360671296294</v>
      </c>
      <c r="C1427">
        <v>30002</v>
      </c>
      <c r="D1427" t="s">
        <v>7</v>
      </c>
      <c r="E1427" t="s">
        <v>171</v>
      </c>
      <c r="F1427" t="s">
        <v>15</v>
      </c>
    </row>
    <row r="1428" spans="1:6">
      <c r="A1428" t="s">
        <v>6</v>
      </c>
      <c r="B1428" s="1">
        <v>45849.359849537039</v>
      </c>
      <c r="C1428">
        <v>30002</v>
      </c>
      <c r="D1428" t="s">
        <v>7</v>
      </c>
      <c r="E1428" t="s">
        <v>171</v>
      </c>
      <c r="F1428" t="s">
        <v>15</v>
      </c>
    </row>
    <row r="1429" spans="1:6">
      <c r="A1429" t="s">
        <v>6</v>
      </c>
      <c r="B1429" s="1">
        <v>45848.498900462961</v>
      </c>
      <c r="C1429">
        <v>30002</v>
      </c>
      <c r="D1429" t="s">
        <v>7</v>
      </c>
      <c r="E1429" t="s">
        <v>171</v>
      </c>
      <c r="F1429" t="s">
        <v>15</v>
      </c>
    </row>
    <row r="1430" spans="1:6">
      <c r="A1430" t="s">
        <v>6</v>
      </c>
      <c r="B1430" s="1">
        <v>45848.387199074074</v>
      </c>
      <c r="C1430">
        <v>30002</v>
      </c>
      <c r="D1430" t="s">
        <v>7</v>
      </c>
      <c r="E1430" t="s">
        <v>171</v>
      </c>
      <c r="F1430" t="s">
        <v>15</v>
      </c>
    </row>
    <row r="1431" spans="1:6">
      <c r="A1431" t="s">
        <v>6</v>
      </c>
      <c r="B1431" s="1">
        <v>45845.570023148146</v>
      </c>
      <c r="C1431">
        <v>30002</v>
      </c>
      <c r="D1431" t="s">
        <v>7</v>
      </c>
      <c r="E1431" t="s">
        <v>171</v>
      </c>
      <c r="F1431" t="s">
        <v>15</v>
      </c>
    </row>
    <row r="1432" spans="1:6">
      <c r="A1432" t="s">
        <v>6</v>
      </c>
      <c r="B1432" s="1">
        <v>45845.553460648145</v>
      </c>
      <c r="C1432">
        <v>30002</v>
      </c>
      <c r="D1432" t="s">
        <v>7</v>
      </c>
      <c r="E1432" t="s">
        <v>171</v>
      </c>
      <c r="F1432" t="s">
        <v>15</v>
      </c>
    </row>
    <row r="1433" spans="1:6">
      <c r="A1433" t="s">
        <v>6</v>
      </c>
      <c r="B1433" s="1">
        <v>45845.36519675926</v>
      </c>
      <c r="C1433">
        <v>30002</v>
      </c>
      <c r="D1433" t="s">
        <v>7</v>
      </c>
      <c r="E1433" t="s">
        <v>171</v>
      </c>
      <c r="F1433" t="s">
        <v>15</v>
      </c>
    </row>
    <row r="1434" spans="1:6">
      <c r="A1434" t="s">
        <v>6</v>
      </c>
      <c r="B1434" s="1">
        <v>45845.360324074078</v>
      </c>
      <c r="C1434">
        <v>30002</v>
      </c>
      <c r="D1434" t="s">
        <v>7</v>
      </c>
      <c r="E1434" t="s">
        <v>171</v>
      </c>
      <c r="F1434" t="s">
        <v>15</v>
      </c>
    </row>
    <row r="1435" spans="1:6">
      <c r="A1435" t="s">
        <v>6</v>
      </c>
      <c r="B1435" s="1">
        <v>45861.528009259258</v>
      </c>
      <c r="C1435">
        <v>30002</v>
      </c>
      <c r="D1435" t="s">
        <v>7</v>
      </c>
      <c r="E1435" t="s">
        <v>171</v>
      </c>
      <c r="F1435" t="s">
        <v>23</v>
      </c>
    </row>
    <row r="1436" spans="1:6">
      <c r="A1436" t="s">
        <v>6</v>
      </c>
      <c r="B1436" s="1">
        <v>45861.525289351855</v>
      </c>
      <c r="C1436">
        <v>30002</v>
      </c>
      <c r="D1436" t="s">
        <v>7</v>
      </c>
      <c r="E1436" t="s">
        <v>171</v>
      </c>
      <c r="F1436" t="s">
        <v>23</v>
      </c>
    </row>
    <row r="1437" spans="1:6">
      <c r="A1437" t="s">
        <v>6</v>
      </c>
      <c r="B1437" s="1">
        <v>45861.384606481479</v>
      </c>
      <c r="C1437">
        <v>30002</v>
      </c>
      <c r="D1437" t="s">
        <v>7</v>
      </c>
      <c r="E1437" t="s">
        <v>171</v>
      </c>
      <c r="F1437" t="s">
        <v>23</v>
      </c>
    </row>
    <row r="1438" spans="1:6">
      <c r="A1438" t="s">
        <v>6</v>
      </c>
      <c r="B1438" s="1">
        <v>45861.384340277778</v>
      </c>
      <c r="C1438">
        <v>30002</v>
      </c>
      <c r="D1438" t="s">
        <v>7</v>
      </c>
      <c r="E1438" t="s">
        <v>171</v>
      </c>
      <c r="F1438" t="s">
        <v>23</v>
      </c>
    </row>
    <row r="1439" spans="1:6">
      <c r="A1439" t="s">
        <v>6</v>
      </c>
      <c r="B1439" s="1">
        <v>45861.383449074077</v>
      </c>
      <c r="C1439">
        <v>30002</v>
      </c>
      <c r="D1439" t="s">
        <v>7</v>
      </c>
      <c r="E1439" t="s">
        <v>171</v>
      </c>
      <c r="F1439" t="s">
        <v>23</v>
      </c>
    </row>
    <row r="1440" spans="1:6">
      <c r="A1440" t="s">
        <v>6</v>
      </c>
      <c r="B1440" s="1">
        <v>45845.585023148145</v>
      </c>
      <c r="C1440">
        <v>30002</v>
      </c>
      <c r="D1440" t="s">
        <v>7</v>
      </c>
      <c r="E1440" t="s">
        <v>171</v>
      </c>
      <c r="F1440" t="s">
        <v>23</v>
      </c>
    </row>
    <row r="1441" spans="1:6">
      <c r="A1441" t="s">
        <v>6</v>
      </c>
      <c r="B1441" s="1">
        <v>45845.583472222221</v>
      </c>
      <c r="C1441">
        <v>30002</v>
      </c>
      <c r="D1441" t="s">
        <v>7</v>
      </c>
      <c r="E1441" t="s">
        <v>171</v>
      </c>
      <c r="F1441" t="s">
        <v>23</v>
      </c>
    </row>
    <row r="1442" spans="1:6">
      <c r="A1442" t="s">
        <v>6</v>
      </c>
      <c r="B1442" s="1">
        <v>45845.564050925925</v>
      </c>
      <c r="C1442">
        <v>30002</v>
      </c>
      <c r="D1442" t="s">
        <v>7</v>
      </c>
      <c r="E1442" t="s">
        <v>171</v>
      </c>
      <c r="F1442" t="s">
        <v>23</v>
      </c>
    </row>
    <row r="1443" spans="1:6">
      <c r="A1443" t="s">
        <v>6</v>
      </c>
      <c r="B1443" s="1">
        <v>45854.600671296299</v>
      </c>
      <c r="C1443">
        <v>30002</v>
      </c>
      <c r="D1443" t="s">
        <v>7</v>
      </c>
      <c r="E1443" t="s">
        <v>171</v>
      </c>
      <c r="F1443" t="s">
        <v>24</v>
      </c>
    </row>
    <row r="1444" spans="1:6">
      <c r="A1444" t="s">
        <v>6</v>
      </c>
      <c r="B1444" s="1">
        <v>45869.614537037036</v>
      </c>
      <c r="C1444">
        <v>30002</v>
      </c>
      <c r="D1444" t="s">
        <v>7</v>
      </c>
      <c r="E1444" t="s">
        <v>171</v>
      </c>
      <c r="F1444" t="s">
        <v>97</v>
      </c>
    </row>
    <row r="1445" spans="1:6">
      <c r="A1445" t="s">
        <v>6</v>
      </c>
      <c r="B1445" s="1">
        <v>45869.60597222222</v>
      </c>
      <c r="C1445">
        <v>30002</v>
      </c>
      <c r="D1445" t="s">
        <v>7</v>
      </c>
      <c r="E1445" t="s">
        <v>171</v>
      </c>
      <c r="F1445" t="s">
        <v>97</v>
      </c>
    </row>
    <row r="1446" spans="1:6">
      <c r="A1446" t="s">
        <v>6</v>
      </c>
      <c r="B1446" s="1">
        <v>45869.537303240744</v>
      </c>
      <c r="C1446">
        <v>30002</v>
      </c>
      <c r="D1446" t="s">
        <v>7</v>
      </c>
      <c r="E1446" t="s">
        <v>172</v>
      </c>
      <c r="F1446" t="s">
        <v>55</v>
      </c>
    </row>
    <row r="1447" spans="1:6">
      <c r="A1447" t="s">
        <v>6</v>
      </c>
      <c r="B1447" s="1">
        <v>45869.53701388889</v>
      </c>
      <c r="C1447">
        <v>30002</v>
      </c>
      <c r="D1447" t="s">
        <v>7</v>
      </c>
      <c r="E1447" t="s">
        <v>172</v>
      </c>
      <c r="F1447" t="s">
        <v>55</v>
      </c>
    </row>
    <row r="1448" spans="1:6">
      <c r="A1448" t="s">
        <v>6</v>
      </c>
      <c r="B1448" s="1">
        <v>45869.536643518521</v>
      </c>
      <c r="C1448">
        <v>30002</v>
      </c>
      <c r="D1448" t="s">
        <v>7</v>
      </c>
      <c r="E1448" t="s">
        <v>172</v>
      </c>
      <c r="F1448" t="s">
        <v>55</v>
      </c>
    </row>
    <row r="1449" spans="1:6">
      <c r="A1449" t="s">
        <v>6</v>
      </c>
      <c r="B1449" s="1">
        <v>45869.536134259259</v>
      </c>
      <c r="C1449">
        <v>30002</v>
      </c>
      <c r="D1449" t="s">
        <v>7</v>
      </c>
      <c r="E1449" t="s">
        <v>172</v>
      </c>
      <c r="F1449" t="s">
        <v>55</v>
      </c>
    </row>
    <row r="1450" spans="1:6">
      <c r="A1450" t="s">
        <v>6</v>
      </c>
      <c r="B1450" s="1">
        <v>45853.575729166667</v>
      </c>
      <c r="C1450">
        <v>30002</v>
      </c>
      <c r="D1450" t="s">
        <v>7</v>
      </c>
      <c r="E1450" t="s">
        <v>173</v>
      </c>
      <c r="F1450" t="s">
        <v>137</v>
      </c>
    </row>
    <row r="1451" spans="1:6">
      <c r="A1451" t="s">
        <v>6</v>
      </c>
      <c r="B1451" s="1">
        <v>45853.575520833336</v>
      </c>
      <c r="C1451">
        <v>30002</v>
      </c>
      <c r="D1451" t="s">
        <v>7</v>
      </c>
      <c r="E1451" t="s">
        <v>173</v>
      </c>
      <c r="F1451" t="s">
        <v>137</v>
      </c>
    </row>
    <row r="1452" spans="1:6">
      <c r="A1452" t="s">
        <v>6</v>
      </c>
      <c r="B1452" s="1">
        <v>45853.57503472222</v>
      </c>
      <c r="C1452">
        <v>30002</v>
      </c>
      <c r="D1452" t="s">
        <v>7</v>
      </c>
      <c r="E1452" t="s">
        <v>173</v>
      </c>
      <c r="F1452" t="s">
        <v>137</v>
      </c>
    </row>
    <row r="1453" spans="1:6">
      <c r="A1453" t="s">
        <v>6</v>
      </c>
      <c r="B1453" s="1">
        <v>45853.574965277781</v>
      </c>
      <c r="C1453">
        <v>30002</v>
      </c>
      <c r="D1453" t="s">
        <v>7</v>
      </c>
      <c r="E1453" t="s">
        <v>173</v>
      </c>
      <c r="F1453" t="s">
        <v>137</v>
      </c>
    </row>
    <row r="1454" spans="1:6">
      <c r="A1454" t="s">
        <v>6</v>
      </c>
      <c r="B1454" s="1">
        <v>45840.440358796295</v>
      </c>
      <c r="C1454">
        <v>30002</v>
      </c>
      <c r="D1454" t="s">
        <v>7</v>
      </c>
      <c r="E1454" t="s">
        <v>173</v>
      </c>
      <c r="F1454" t="s">
        <v>13</v>
      </c>
    </row>
    <row r="1455" spans="1:6">
      <c r="A1455" t="s">
        <v>6</v>
      </c>
      <c r="B1455" s="1">
        <v>45840.431157407409</v>
      </c>
      <c r="C1455">
        <v>30002</v>
      </c>
      <c r="D1455" t="s">
        <v>7</v>
      </c>
      <c r="E1455" t="s">
        <v>173</v>
      </c>
      <c r="F1455" t="s">
        <v>13</v>
      </c>
    </row>
    <row r="1456" spans="1:6">
      <c r="A1456" t="s">
        <v>6</v>
      </c>
      <c r="B1456" s="1">
        <v>45840.427245370367</v>
      </c>
      <c r="C1456">
        <v>30002</v>
      </c>
      <c r="D1456" t="s">
        <v>7</v>
      </c>
      <c r="E1456" t="s">
        <v>173</v>
      </c>
      <c r="F1456" t="s">
        <v>13</v>
      </c>
    </row>
    <row r="1457" spans="1:6">
      <c r="A1457" t="s">
        <v>6</v>
      </c>
      <c r="B1457" s="1">
        <v>45840.422256944446</v>
      </c>
      <c r="C1457">
        <v>30002</v>
      </c>
      <c r="D1457" t="s">
        <v>7</v>
      </c>
      <c r="E1457" t="s">
        <v>173</v>
      </c>
      <c r="F1457" t="s">
        <v>13</v>
      </c>
    </row>
    <row r="1458" spans="1:6">
      <c r="A1458" t="s">
        <v>6</v>
      </c>
      <c r="B1458" s="1">
        <v>45840.419374999998</v>
      </c>
      <c r="C1458">
        <v>30002</v>
      </c>
      <c r="D1458" t="s">
        <v>7</v>
      </c>
      <c r="E1458" t="s">
        <v>173</v>
      </c>
      <c r="F1458" t="s">
        <v>13</v>
      </c>
    </row>
    <row r="1459" spans="1:6">
      <c r="A1459" t="s">
        <v>6</v>
      </c>
      <c r="B1459" s="1">
        <v>45840.419016203705</v>
      </c>
      <c r="C1459">
        <v>30002</v>
      </c>
      <c r="D1459" t="s">
        <v>7</v>
      </c>
      <c r="E1459" t="s">
        <v>173</v>
      </c>
      <c r="F1459" t="s">
        <v>13</v>
      </c>
    </row>
    <row r="1460" spans="1:6">
      <c r="A1460" t="s">
        <v>6</v>
      </c>
      <c r="B1460" s="1">
        <v>45840.416539351849</v>
      </c>
      <c r="C1460">
        <v>30002</v>
      </c>
      <c r="D1460" t="s">
        <v>7</v>
      </c>
      <c r="E1460" t="s">
        <v>173</v>
      </c>
      <c r="F1460" t="s">
        <v>13</v>
      </c>
    </row>
    <row r="1461" spans="1:6">
      <c r="A1461" t="s">
        <v>6</v>
      </c>
      <c r="B1461" s="1">
        <v>45840.406030092592</v>
      </c>
      <c r="C1461">
        <v>30002</v>
      </c>
      <c r="D1461" t="s">
        <v>7</v>
      </c>
      <c r="E1461" t="s">
        <v>173</v>
      </c>
      <c r="F1461" t="s">
        <v>13</v>
      </c>
    </row>
    <row r="1462" spans="1:6">
      <c r="A1462" t="s">
        <v>6</v>
      </c>
      <c r="B1462" s="1">
        <v>45840.403368055559</v>
      </c>
      <c r="C1462">
        <v>30002</v>
      </c>
      <c r="D1462" t="s">
        <v>7</v>
      </c>
      <c r="E1462" t="s">
        <v>173</v>
      </c>
      <c r="F1462" t="s">
        <v>13</v>
      </c>
    </row>
    <row r="1463" spans="1:6">
      <c r="A1463" t="s">
        <v>6</v>
      </c>
      <c r="B1463" s="1">
        <v>45840.388391203705</v>
      </c>
      <c r="C1463">
        <v>30002</v>
      </c>
      <c r="D1463" t="s">
        <v>7</v>
      </c>
      <c r="E1463" t="s">
        <v>173</v>
      </c>
      <c r="F1463" t="s">
        <v>13</v>
      </c>
    </row>
    <row r="1464" spans="1:6">
      <c r="A1464" t="s">
        <v>6</v>
      </c>
      <c r="B1464" s="1">
        <v>45840.386817129627</v>
      </c>
      <c r="C1464">
        <v>30002</v>
      </c>
      <c r="D1464" t="s">
        <v>7</v>
      </c>
      <c r="E1464" t="s">
        <v>173</v>
      </c>
      <c r="F1464" t="s">
        <v>13</v>
      </c>
    </row>
    <row r="1465" spans="1:6">
      <c r="A1465" t="s">
        <v>6</v>
      </c>
      <c r="B1465" s="1">
        <v>45867.498726851853</v>
      </c>
      <c r="C1465">
        <v>30002</v>
      </c>
      <c r="D1465" t="s">
        <v>7</v>
      </c>
      <c r="E1465" t="s">
        <v>173</v>
      </c>
      <c r="F1465" t="s">
        <v>18</v>
      </c>
    </row>
    <row r="1466" spans="1:6">
      <c r="A1466" t="s">
        <v>6</v>
      </c>
      <c r="B1466" s="1">
        <v>45841.380393518521</v>
      </c>
      <c r="C1466">
        <v>30002</v>
      </c>
      <c r="D1466" t="s">
        <v>7</v>
      </c>
      <c r="E1466" t="s">
        <v>173</v>
      </c>
      <c r="F1466" t="s">
        <v>18</v>
      </c>
    </row>
    <row r="1467" spans="1:6">
      <c r="A1467" t="s">
        <v>6</v>
      </c>
      <c r="B1467" s="1">
        <v>45840.653414351851</v>
      </c>
      <c r="C1467">
        <v>30002</v>
      </c>
      <c r="D1467" t="s">
        <v>7</v>
      </c>
      <c r="E1467" t="s">
        <v>173</v>
      </c>
      <c r="F1467" t="s">
        <v>18</v>
      </c>
    </row>
    <row r="1468" spans="1:6">
      <c r="A1468" t="s">
        <v>6</v>
      </c>
      <c r="B1468" s="1">
        <v>45845.677939814814</v>
      </c>
      <c r="C1468">
        <v>30002</v>
      </c>
      <c r="D1468" t="s">
        <v>7</v>
      </c>
      <c r="E1468" t="s">
        <v>173</v>
      </c>
      <c r="F1468" t="s">
        <v>134</v>
      </c>
    </row>
    <row r="1469" spans="1:6">
      <c r="A1469" t="s">
        <v>6</v>
      </c>
      <c r="B1469" s="1">
        <v>45845.671956018516</v>
      </c>
      <c r="C1469">
        <v>30002</v>
      </c>
      <c r="D1469" t="s">
        <v>7</v>
      </c>
      <c r="E1469" t="s">
        <v>173</v>
      </c>
      <c r="F1469" t="s">
        <v>134</v>
      </c>
    </row>
    <row r="1470" spans="1:6">
      <c r="A1470" t="s">
        <v>6</v>
      </c>
      <c r="B1470" s="1">
        <v>45845.669016203705</v>
      </c>
      <c r="C1470">
        <v>30002</v>
      </c>
      <c r="D1470" t="s">
        <v>7</v>
      </c>
      <c r="E1470" t="s">
        <v>173</v>
      </c>
      <c r="F1470" t="s">
        <v>134</v>
      </c>
    </row>
    <row r="1471" spans="1:6">
      <c r="A1471" t="s">
        <v>6</v>
      </c>
      <c r="B1471" s="1">
        <v>45845.665763888886</v>
      </c>
      <c r="C1471">
        <v>30002</v>
      </c>
      <c r="D1471" t="s">
        <v>7</v>
      </c>
      <c r="E1471" t="s">
        <v>173</v>
      </c>
      <c r="F1471" t="s">
        <v>134</v>
      </c>
    </row>
    <row r="1472" spans="1:6">
      <c r="A1472" t="s">
        <v>6</v>
      </c>
      <c r="B1472" s="1">
        <v>45845.658692129633</v>
      </c>
      <c r="C1472">
        <v>30002</v>
      </c>
      <c r="D1472" t="s">
        <v>7</v>
      </c>
      <c r="E1472" t="s">
        <v>173</v>
      </c>
      <c r="F1472" t="s">
        <v>134</v>
      </c>
    </row>
    <row r="1473" spans="1:6">
      <c r="A1473" t="s">
        <v>6</v>
      </c>
      <c r="B1473" s="1">
        <v>45840.570960648147</v>
      </c>
      <c r="C1473">
        <v>30002</v>
      </c>
      <c r="D1473" t="s">
        <v>7</v>
      </c>
      <c r="E1473" t="s">
        <v>173</v>
      </c>
      <c r="F1473" t="s">
        <v>103</v>
      </c>
    </row>
    <row r="1474" spans="1:6">
      <c r="A1474" t="s">
        <v>6</v>
      </c>
      <c r="B1474" s="1">
        <v>45860.895208333335</v>
      </c>
      <c r="C1474">
        <v>30002</v>
      </c>
      <c r="D1474" t="s">
        <v>7</v>
      </c>
      <c r="E1474" t="s">
        <v>173</v>
      </c>
      <c r="F1474" t="s">
        <v>19</v>
      </c>
    </row>
    <row r="1475" spans="1:6">
      <c r="A1475" t="s">
        <v>6</v>
      </c>
      <c r="B1475" s="1">
        <v>45849.617847222224</v>
      </c>
      <c r="C1475">
        <v>30002</v>
      </c>
      <c r="D1475" t="s">
        <v>7</v>
      </c>
      <c r="E1475" t="s">
        <v>173</v>
      </c>
      <c r="F1475" t="s">
        <v>19</v>
      </c>
    </row>
    <row r="1476" spans="1:6">
      <c r="A1476" t="s">
        <v>6</v>
      </c>
      <c r="B1476" s="1">
        <v>45849.603310185186</v>
      </c>
      <c r="C1476">
        <v>30002</v>
      </c>
      <c r="D1476" t="s">
        <v>7</v>
      </c>
      <c r="E1476" t="s">
        <v>173</v>
      </c>
      <c r="F1476" t="s">
        <v>19</v>
      </c>
    </row>
    <row r="1477" spans="1:6">
      <c r="A1477" t="s">
        <v>6</v>
      </c>
      <c r="B1477" s="1">
        <v>45841.610960648148</v>
      </c>
      <c r="C1477">
        <v>30002</v>
      </c>
      <c r="D1477" t="s">
        <v>7</v>
      </c>
      <c r="E1477" t="s">
        <v>173</v>
      </c>
      <c r="F1477" t="s">
        <v>19</v>
      </c>
    </row>
    <row r="1478" spans="1:6">
      <c r="A1478" t="s">
        <v>6</v>
      </c>
      <c r="B1478" s="1">
        <v>45841.596053240741</v>
      </c>
      <c r="C1478">
        <v>30002</v>
      </c>
      <c r="D1478" t="s">
        <v>7</v>
      </c>
      <c r="E1478" t="s">
        <v>173</v>
      </c>
      <c r="F1478" t="s">
        <v>19</v>
      </c>
    </row>
    <row r="1479" spans="1:6">
      <c r="A1479" t="s">
        <v>6</v>
      </c>
      <c r="B1479" s="1">
        <v>45841.586296296293</v>
      </c>
      <c r="C1479">
        <v>30002</v>
      </c>
      <c r="D1479" t="s">
        <v>7</v>
      </c>
      <c r="E1479" t="s">
        <v>173</v>
      </c>
      <c r="F1479" t="s">
        <v>19</v>
      </c>
    </row>
    <row r="1480" spans="1:6">
      <c r="A1480" t="s">
        <v>6</v>
      </c>
      <c r="B1480" s="1">
        <v>45841.57545138889</v>
      </c>
      <c r="C1480">
        <v>30002</v>
      </c>
      <c r="D1480" t="s">
        <v>7</v>
      </c>
      <c r="E1480" t="s">
        <v>173</v>
      </c>
      <c r="F1480" t="s">
        <v>19</v>
      </c>
    </row>
    <row r="1481" spans="1:6">
      <c r="A1481" t="s">
        <v>6</v>
      </c>
      <c r="B1481" s="1">
        <v>45841.563842592594</v>
      </c>
      <c r="C1481">
        <v>30002</v>
      </c>
      <c r="D1481" t="s">
        <v>7</v>
      </c>
      <c r="E1481" t="s">
        <v>173</v>
      </c>
      <c r="F1481" t="s">
        <v>19</v>
      </c>
    </row>
    <row r="1482" spans="1:6">
      <c r="A1482" t="s">
        <v>6</v>
      </c>
      <c r="B1482" s="1">
        <v>45840.30572916667</v>
      </c>
      <c r="C1482">
        <v>30002</v>
      </c>
      <c r="D1482" t="s">
        <v>7</v>
      </c>
      <c r="E1482" t="s">
        <v>173</v>
      </c>
      <c r="F1482" t="s">
        <v>19</v>
      </c>
    </row>
    <row r="1483" spans="1:6">
      <c r="A1483" t="s">
        <v>6</v>
      </c>
      <c r="B1483" s="1">
        <v>45840.209409722222</v>
      </c>
      <c r="C1483">
        <v>30002</v>
      </c>
      <c r="D1483" t="s">
        <v>7</v>
      </c>
      <c r="E1483" t="s">
        <v>173</v>
      </c>
      <c r="F1483" t="s">
        <v>19</v>
      </c>
    </row>
    <row r="1484" spans="1:6">
      <c r="A1484" t="s">
        <v>6</v>
      </c>
      <c r="B1484" s="1">
        <v>45840.207476851851</v>
      </c>
      <c r="C1484">
        <v>30002</v>
      </c>
      <c r="D1484" t="s">
        <v>7</v>
      </c>
      <c r="E1484" t="s">
        <v>173</v>
      </c>
      <c r="F1484" t="s">
        <v>19</v>
      </c>
    </row>
    <row r="1485" spans="1:6">
      <c r="A1485" t="s">
        <v>6</v>
      </c>
      <c r="B1485" s="1">
        <v>45840.205729166664</v>
      </c>
      <c r="C1485">
        <v>30002</v>
      </c>
      <c r="D1485" t="s">
        <v>7</v>
      </c>
      <c r="E1485" t="s">
        <v>173</v>
      </c>
      <c r="F1485" t="s">
        <v>19</v>
      </c>
    </row>
    <row r="1486" spans="1:6">
      <c r="A1486" t="s">
        <v>6</v>
      </c>
      <c r="B1486" s="1">
        <v>45859.487453703703</v>
      </c>
      <c r="C1486">
        <v>30002</v>
      </c>
      <c r="D1486" t="s">
        <v>7</v>
      </c>
      <c r="E1486" t="s">
        <v>173</v>
      </c>
      <c r="F1486" t="s">
        <v>23</v>
      </c>
    </row>
    <row r="1487" spans="1:6">
      <c r="A1487" t="s">
        <v>6</v>
      </c>
      <c r="B1487" s="1">
        <v>45844.732303240744</v>
      </c>
      <c r="C1487">
        <v>30002</v>
      </c>
      <c r="D1487" t="s">
        <v>7</v>
      </c>
      <c r="E1487" t="s">
        <v>173</v>
      </c>
      <c r="F1487" t="s">
        <v>23</v>
      </c>
    </row>
    <row r="1488" spans="1:6">
      <c r="A1488" t="s">
        <v>6</v>
      </c>
      <c r="B1488" s="1">
        <v>45841.531863425924</v>
      </c>
      <c r="C1488">
        <v>30002</v>
      </c>
      <c r="D1488" t="s">
        <v>7</v>
      </c>
      <c r="E1488" t="s">
        <v>173</v>
      </c>
      <c r="F1488" t="s">
        <v>23</v>
      </c>
    </row>
    <row r="1489" spans="1:6">
      <c r="A1489" t="s">
        <v>6</v>
      </c>
      <c r="B1489" s="1">
        <v>45841.529988425929</v>
      </c>
      <c r="C1489">
        <v>30002</v>
      </c>
      <c r="D1489" t="s">
        <v>7</v>
      </c>
      <c r="E1489" t="s">
        <v>173</v>
      </c>
      <c r="F1489" t="s">
        <v>23</v>
      </c>
    </row>
    <row r="1490" spans="1:6">
      <c r="A1490" t="s">
        <v>6</v>
      </c>
      <c r="B1490" s="1">
        <v>45840.413298611114</v>
      </c>
      <c r="C1490">
        <v>30002</v>
      </c>
      <c r="D1490" t="s">
        <v>7</v>
      </c>
      <c r="E1490" t="s">
        <v>173</v>
      </c>
      <c r="F1490" t="s">
        <v>23</v>
      </c>
    </row>
    <row r="1491" spans="1:6">
      <c r="A1491" t="s">
        <v>6</v>
      </c>
      <c r="B1491" s="1">
        <v>45841.586354166669</v>
      </c>
      <c r="C1491">
        <v>30002</v>
      </c>
      <c r="D1491" t="s">
        <v>7</v>
      </c>
      <c r="E1491" t="s">
        <v>173</v>
      </c>
      <c r="F1491" t="s">
        <v>54</v>
      </c>
    </row>
    <row r="1492" spans="1:6">
      <c r="A1492" t="s">
        <v>6</v>
      </c>
      <c r="B1492" s="1">
        <v>45841.584907407407</v>
      </c>
      <c r="C1492">
        <v>30002</v>
      </c>
      <c r="D1492" t="s">
        <v>7</v>
      </c>
      <c r="E1492" t="s">
        <v>173</v>
      </c>
      <c r="F1492" t="s">
        <v>54</v>
      </c>
    </row>
    <row r="1493" spans="1:6">
      <c r="A1493" t="s">
        <v>6</v>
      </c>
      <c r="B1493" s="1">
        <v>45841.583715277775</v>
      </c>
      <c r="C1493">
        <v>30002</v>
      </c>
      <c r="D1493" t="s">
        <v>7</v>
      </c>
      <c r="E1493" t="s">
        <v>173</v>
      </c>
      <c r="F1493" t="s">
        <v>54</v>
      </c>
    </row>
    <row r="1494" spans="1:6">
      <c r="A1494" t="s">
        <v>6</v>
      </c>
      <c r="B1494" s="1">
        <v>45841.583657407406</v>
      </c>
      <c r="C1494">
        <v>30002</v>
      </c>
      <c r="D1494" t="s">
        <v>7</v>
      </c>
      <c r="E1494" t="s">
        <v>173</v>
      </c>
      <c r="F1494" t="s">
        <v>54</v>
      </c>
    </row>
    <row r="1495" spans="1:6">
      <c r="A1495" t="s">
        <v>6</v>
      </c>
      <c r="B1495" s="1">
        <v>45841.582199074073</v>
      </c>
      <c r="C1495">
        <v>30002</v>
      </c>
      <c r="D1495" t="s">
        <v>7</v>
      </c>
      <c r="E1495" t="s">
        <v>173</v>
      </c>
      <c r="F1495" t="s">
        <v>54</v>
      </c>
    </row>
    <row r="1496" spans="1:6">
      <c r="A1496" t="s">
        <v>6</v>
      </c>
      <c r="B1496" s="1">
        <v>45841.581365740742</v>
      </c>
      <c r="C1496">
        <v>30002</v>
      </c>
      <c r="D1496" t="s">
        <v>7</v>
      </c>
      <c r="E1496" t="s">
        <v>173</v>
      </c>
      <c r="F1496" t="s">
        <v>54</v>
      </c>
    </row>
    <row r="1497" spans="1:6">
      <c r="A1497" t="s">
        <v>6</v>
      </c>
      <c r="B1497" s="1">
        <v>45840.513124999998</v>
      </c>
      <c r="C1497">
        <v>30002</v>
      </c>
      <c r="D1497" t="s">
        <v>7</v>
      </c>
      <c r="E1497" t="s">
        <v>173</v>
      </c>
      <c r="F1497" t="s">
        <v>54</v>
      </c>
    </row>
    <row r="1498" spans="1:6">
      <c r="A1498" t="s">
        <v>6</v>
      </c>
      <c r="B1498" s="1">
        <v>45840.512615740743</v>
      </c>
      <c r="C1498">
        <v>30002</v>
      </c>
      <c r="D1498" t="s">
        <v>7</v>
      </c>
      <c r="E1498" t="s">
        <v>173</v>
      </c>
      <c r="F1498" t="s">
        <v>54</v>
      </c>
    </row>
    <row r="1499" spans="1:6">
      <c r="A1499" t="s">
        <v>6</v>
      </c>
      <c r="B1499" s="1">
        <v>45840.512430555558</v>
      </c>
      <c r="C1499">
        <v>30002</v>
      </c>
      <c r="D1499" t="s">
        <v>7</v>
      </c>
      <c r="E1499" t="s">
        <v>173</v>
      </c>
      <c r="F1499" t="s">
        <v>54</v>
      </c>
    </row>
    <row r="1500" spans="1:6">
      <c r="A1500" t="s">
        <v>6</v>
      </c>
      <c r="B1500" s="1">
        <v>45853.575902777775</v>
      </c>
      <c r="C1500">
        <v>30002</v>
      </c>
      <c r="D1500" t="s">
        <v>7</v>
      </c>
      <c r="E1500" t="s">
        <v>173</v>
      </c>
      <c r="F1500" t="s">
        <v>24</v>
      </c>
    </row>
    <row r="1501" spans="1:6">
      <c r="A1501" t="s">
        <v>6</v>
      </c>
      <c r="B1501" s="1">
        <v>45853.57534722222</v>
      </c>
      <c r="C1501">
        <v>30002</v>
      </c>
      <c r="D1501" t="s">
        <v>7</v>
      </c>
      <c r="E1501" t="s">
        <v>173</v>
      </c>
      <c r="F1501" t="s">
        <v>24</v>
      </c>
    </row>
    <row r="1502" spans="1:6">
      <c r="A1502" t="s">
        <v>6</v>
      </c>
      <c r="B1502" s="1">
        <v>45853.574340277781</v>
      </c>
      <c r="C1502">
        <v>30002</v>
      </c>
      <c r="D1502" t="s">
        <v>7</v>
      </c>
      <c r="E1502" t="s">
        <v>173</v>
      </c>
      <c r="F1502" t="s">
        <v>24</v>
      </c>
    </row>
    <row r="1503" spans="1:6">
      <c r="A1503" t="s">
        <v>6</v>
      </c>
      <c r="B1503" s="1">
        <v>45853.574247685188</v>
      </c>
      <c r="C1503">
        <v>30002</v>
      </c>
      <c r="D1503" t="s">
        <v>7</v>
      </c>
      <c r="E1503" t="s">
        <v>173</v>
      </c>
      <c r="F1503" t="s">
        <v>24</v>
      </c>
    </row>
    <row r="1504" spans="1:6">
      <c r="A1504" t="s">
        <v>6</v>
      </c>
      <c r="B1504" s="1">
        <v>45853.574166666665</v>
      </c>
      <c r="C1504">
        <v>30002</v>
      </c>
      <c r="D1504" t="s">
        <v>7</v>
      </c>
      <c r="E1504" t="s">
        <v>173</v>
      </c>
      <c r="F1504" t="s">
        <v>24</v>
      </c>
    </row>
    <row r="1505" spans="1:6">
      <c r="A1505" t="s">
        <v>6</v>
      </c>
      <c r="B1505" s="1">
        <v>45853.574097222219</v>
      </c>
      <c r="C1505">
        <v>30002</v>
      </c>
      <c r="D1505" t="s">
        <v>7</v>
      </c>
      <c r="E1505" t="s">
        <v>173</v>
      </c>
      <c r="F1505" t="s">
        <v>24</v>
      </c>
    </row>
    <row r="1506" spans="1:6">
      <c r="A1506" t="s">
        <v>6</v>
      </c>
      <c r="B1506" s="1">
        <v>45840.335104166668</v>
      </c>
      <c r="C1506">
        <v>30002</v>
      </c>
      <c r="D1506" t="s">
        <v>7</v>
      </c>
      <c r="E1506" t="s">
        <v>173</v>
      </c>
      <c r="F1506" t="s">
        <v>25</v>
      </c>
    </row>
    <row r="1507" spans="1:6">
      <c r="A1507" t="s">
        <v>6</v>
      </c>
      <c r="B1507" s="1">
        <v>45840.323275462964</v>
      </c>
      <c r="C1507">
        <v>30002</v>
      </c>
      <c r="D1507" t="s">
        <v>7</v>
      </c>
      <c r="E1507" t="s">
        <v>173</v>
      </c>
      <c r="F1507" t="s">
        <v>25</v>
      </c>
    </row>
    <row r="1508" spans="1:6">
      <c r="A1508" t="s">
        <v>6</v>
      </c>
      <c r="B1508" s="1">
        <v>45840.320613425924</v>
      </c>
      <c r="C1508">
        <v>30002</v>
      </c>
      <c r="D1508" t="s">
        <v>7</v>
      </c>
      <c r="E1508" t="s">
        <v>173</v>
      </c>
      <c r="F1508" t="s">
        <v>25</v>
      </c>
    </row>
    <row r="1509" spans="1:6">
      <c r="A1509" t="s">
        <v>6</v>
      </c>
      <c r="B1509" s="1">
        <v>45840.318067129629</v>
      </c>
      <c r="C1509">
        <v>30002</v>
      </c>
      <c r="D1509" t="s">
        <v>7</v>
      </c>
      <c r="E1509" t="s">
        <v>173</v>
      </c>
      <c r="F1509" t="s">
        <v>25</v>
      </c>
    </row>
    <row r="1510" spans="1:6">
      <c r="A1510" t="s">
        <v>6</v>
      </c>
      <c r="B1510" s="1">
        <v>45840.317881944444</v>
      </c>
      <c r="C1510">
        <v>30002</v>
      </c>
      <c r="D1510" t="s">
        <v>7</v>
      </c>
      <c r="E1510" t="s">
        <v>173</v>
      </c>
      <c r="F1510" t="s">
        <v>25</v>
      </c>
    </row>
    <row r="1511" spans="1:6">
      <c r="A1511" t="s">
        <v>6</v>
      </c>
      <c r="B1511" s="1">
        <v>45868.576273148145</v>
      </c>
      <c r="C1511">
        <v>30002</v>
      </c>
      <c r="D1511" t="s">
        <v>7</v>
      </c>
      <c r="E1511" t="s">
        <v>173</v>
      </c>
      <c r="F1511" t="s">
        <v>97</v>
      </c>
    </row>
    <row r="1512" spans="1:6">
      <c r="A1512" t="s">
        <v>6</v>
      </c>
      <c r="B1512" s="1">
        <v>45868.57503472222</v>
      </c>
      <c r="C1512">
        <v>30002</v>
      </c>
      <c r="D1512" t="s">
        <v>7</v>
      </c>
      <c r="E1512" t="s">
        <v>173</v>
      </c>
      <c r="F1512" t="s">
        <v>97</v>
      </c>
    </row>
    <row r="1513" spans="1:6">
      <c r="A1513" t="s">
        <v>6</v>
      </c>
      <c r="B1513" s="1">
        <v>45868.573738425926</v>
      </c>
      <c r="C1513">
        <v>30002</v>
      </c>
      <c r="D1513" t="s">
        <v>7</v>
      </c>
      <c r="E1513" t="s">
        <v>173</v>
      </c>
      <c r="F1513" t="s">
        <v>97</v>
      </c>
    </row>
    <row r="1514" spans="1:6">
      <c r="A1514" t="s">
        <v>6</v>
      </c>
      <c r="B1514" s="1">
        <v>45868.559444444443</v>
      </c>
      <c r="C1514">
        <v>30002</v>
      </c>
      <c r="D1514" t="s">
        <v>7</v>
      </c>
      <c r="E1514" t="s">
        <v>173</v>
      </c>
      <c r="F1514" t="s">
        <v>11</v>
      </c>
    </row>
    <row r="1515" spans="1:6">
      <c r="A1515" t="s">
        <v>6</v>
      </c>
      <c r="B1515" s="1">
        <v>45868.557800925926</v>
      </c>
      <c r="C1515">
        <v>30002</v>
      </c>
      <c r="D1515" t="s">
        <v>7</v>
      </c>
      <c r="E1515" t="s">
        <v>173</v>
      </c>
      <c r="F1515" t="s">
        <v>11</v>
      </c>
    </row>
    <row r="1516" spans="1:6">
      <c r="A1516" t="s">
        <v>6</v>
      </c>
      <c r="B1516" s="1">
        <v>45854.405833333331</v>
      </c>
      <c r="C1516">
        <v>30002</v>
      </c>
      <c r="D1516" t="s">
        <v>7</v>
      </c>
      <c r="E1516" t="s">
        <v>173</v>
      </c>
      <c r="F1516" t="s">
        <v>11</v>
      </c>
    </row>
    <row r="1517" spans="1:6">
      <c r="A1517" t="s">
        <v>6</v>
      </c>
      <c r="B1517" s="1">
        <v>45840.665949074071</v>
      </c>
      <c r="C1517">
        <v>30002</v>
      </c>
      <c r="D1517" t="s">
        <v>7</v>
      </c>
      <c r="E1517" t="s">
        <v>173</v>
      </c>
      <c r="F1517" t="s">
        <v>11</v>
      </c>
    </row>
    <row r="1518" spans="1:6">
      <c r="A1518" t="s">
        <v>6</v>
      </c>
      <c r="B1518" s="1">
        <v>45840.665381944447</v>
      </c>
      <c r="C1518">
        <v>30002</v>
      </c>
      <c r="D1518" t="s">
        <v>7</v>
      </c>
      <c r="E1518" t="s">
        <v>173</v>
      </c>
      <c r="F1518" t="s">
        <v>11</v>
      </c>
    </row>
    <row r="1519" spans="1:6">
      <c r="A1519" t="s">
        <v>6</v>
      </c>
      <c r="B1519" s="1">
        <v>45840.665243055555</v>
      </c>
      <c r="C1519">
        <v>30002</v>
      </c>
      <c r="D1519" t="s">
        <v>7</v>
      </c>
      <c r="E1519" t="s">
        <v>173</v>
      </c>
      <c r="F1519" t="s">
        <v>11</v>
      </c>
    </row>
    <row r="1520" spans="1:6">
      <c r="A1520" t="s">
        <v>6</v>
      </c>
      <c r="B1520" s="1">
        <v>45840.665173611109</v>
      </c>
      <c r="C1520">
        <v>30002</v>
      </c>
      <c r="D1520" t="s">
        <v>7</v>
      </c>
      <c r="E1520" t="s">
        <v>173</v>
      </c>
      <c r="F1520" t="s">
        <v>11</v>
      </c>
    </row>
    <row r="1521" spans="1:6">
      <c r="A1521" t="s">
        <v>6</v>
      </c>
      <c r="B1521" s="1">
        <v>45840.633217592593</v>
      </c>
      <c r="C1521">
        <v>30002</v>
      </c>
      <c r="D1521" t="s">
        <v>7</v>
      </c>
      <c r="E1521" t="s">
        <v>173</v>
      </c>
      <c r="F1521" t="s">
        <v>11</v>
      </c>
    </row>
    <row r="1522" spans="1:6">
      <c r="A1522" t="s">
        <v>6</v>
      </c>
      <c r="B1522" s="1">
        <v>45840.623749999999</v>
      </c>
      <c r="C1522">
        <v>30002</v>
      </c>
      <c r="D1522" t="s">
        <v>7</v>
      </c>
      <c r="E1522" t="s">
        <v>173</v>
      </c>
      <c r="F1522" t="s">
        <v>11</v>
      </c>
    </row>
    <row r="1523" spans="1:6">
      <c r="A1523" t="s">
        <v>6</v>
      </c>
      <c r="B1523" s="1">
        <v>45840.620810185188</v>
      </c>
      <c r="C1523">
        <v>30002</v>
      </c>
      <c r="D1523" t="s">
        <v>7</v>
      </c>
      <c r="E1523" t="s">
        <v>173</v>
      </c>
      <c r="F1523" t="s">
        <v>11</v>
      </c>
    </row>
    <row r="1524" spans="1:6">
      <c r="A1524" t="s">
        <v>6</v>
      </c>
      <c r="B1524" s="1">
        <v>45840.609490740739</v>
      </c>
      <c r="C1524">
        <v>30002</v>
      </c>
      <c r="D1524" t="s">
        <v>7</v>
      </c>
      <c r="E1524" t="s">
        <v>173</v>
      </c>
      <c r="F1524" t="s">
        <v>11</v>
      </c>
    </row>
    <row r="1525" spans="1:6">
      <c r="A1525" t="s">
        <v>6</v>
      </c>
      <c r="B1525" s="1">
        <v>45840.602523148147</v>
      </c>
      <c r="C1525">
        <v>30002</v>
      </c>
      <c r="D1525" t="s">
        <v>7</v>
      </c>
      <c r="E1525" t="s">
        <v>173</v>
      </c>
      <c r="F1525" t="s">
        <v>11</v>
      </c>
    </row>
    <row r="1526" spans="1:6">
      <c r="A1526" t="s">
        <v>6</v>
      </c>
      <c r="B1526" s="1">
        <v>45840.345462962963</v>
      </c>
      <c r="C1526">
        <v>30002</v>
      </c>
      <c r="D1526" t="s">
        <v>7</v>
      </c>
      <c r="E1526" t="s">
        <v>173</v>
      </c>
      <c r="F1526" t="s">
        <v>11</v>
      </c>
    </row>
    <row r="1527" spans="1:6">
      <c r="A1527" t="s">
        <v>6</v>
      </c>
      <c r="B1527" s="1">
        <v>45849.61791666667</v>
      </c>
      <c r="C1527">
        <v>30002</v>
      </c>
      <c r="D1527" t="s">
        <v>7</v>
      </c>
      <c r="E1527" t="s">
        <v>174</v>
      </c>
      <c r="F1527" t="s">
        <v>19</v>
      </c>
    </row>
    <row r="1528" spans="1:6">
      <c r="A1528" t="s">
        <v>6</v>
      </c>
      <c r="B1528" s="1">
        <v>45849.606249999997</v>
      </c>
      <c r="C1528">
        <v>30002</v>
      </c>
      <c r="D1528" t="s">
        <v>7</v>
      </c>
      <c r="E1528" t="s">
        <v>174</v>
      </c>
      <c r="F1528" t="s">
        <v>19</v>
      </c>
    </row>
    <row r="1529" spans="1:6">
      <c r="A1529" t="s">
        <v>6</v>
      </c>
      <c r="B1529" s="1">
        <v>45849.606064814812</v>
      </c>
      <c r="C1529">
        <v>30002</v>
      </c>
      <c r="D1529" t="s">
        <v>7</v>
      </c>
      <c r="E1529" t="s">
        <v>174</v>
      </c>
      <c r="F1529" t="s">
        <v>19</v>
      </c>
    </row>
    <row r="1530" spans="1:6">
      <c r="A1530" t="s">
        <v>6</v>
      </c>
      <c r="B1530" s="1">
        <v>45849.597071759257</v>
      </c>
      <c r="C1530">
        <v>30002</v>
      </c>
      <c r="D1530" t="s">
        <v>7</v>
      </c>
      <c r="E1530" t="s">
        <v>174</v>
      </c>
      <c r="F1530" t="s">
        <v>19</v>
      </c>
    </row>
    <row r="1531" spans="1:6">
      <c r="A1531" t="s">
        <v>6</v>
      </c>
      <c r="B1531" s="1">
        <v>45849.596805555557</v>
      </c>
      <c r="C1531">
        <v>30002</v>
      </c>
      <c r="D1531" t="s">
        <v>7</v>
      </c>
      <c r="E1531" t="s">
        <v>174</v>
      </c>
      <c r="F1531" t="s">
        <v>19</v>
      </c>
    </row>
    <row r="1532" spans="1:6">
      <c r="A1532" t="s">
        <v>6</v>
      </c>
      <c r="B1532" s="1">
        <v>45849.595393518517</v>
      </c>
      <c r="C1532">
        <v>30002</v>
      </c>
      <c r="D1532" t="s">
        <v>7</v>
      </c>
      <c r="E1532" t="s">
        <v>174</v>
      </c>
      <c r="F1532" t="s">
        <v>19</v>
      </c>
    </row>
    <row r="1533" spans="1:6">
      <c r="A1533" t="s">
        <v>6</v>
      </c>
      <c r="B1533" s="1">
        <v>45849.595023148147</v>
      </c>
      <c r="C1533">
        <v>30002</v>
      </c>
      <c r="D1533" t="s">
        <v>7</v>
      </c>
      <c r="E1533" t="s">
        <v>174</v>
      </c>
      <c r="F1533" t="s">
        <v>19</v>
      </c>
    </row>
    <row r="1534" spans="1:6">
      <c r="A1534" t="s">
        <v>6</v>
      </c>
      <c r="B1534" s="1">
        <v>45849.594490740739</v>
      </c>
      <c r="C1534">
        <v>30002</v>
      </c>
      <c r="D1534" t="s">
        <v>7</v>
      </c>
      <c r="E1534" t="s">
        <v>174</v>
      </c>
      <c r="F1534" t="s">
        <v>19</v>
      </c>
    </row>
    <row r="1535" spans="1:6">
      <c r="A1535" t="s">
        <v>6</v>
      </c>
      <c r="B1535" s="1">
        <v>45849.591296296298</v>
      </c>
      <c r="C1535">
        <v>30002</v>
      </c>
      <c r="D1535" t="s">
        <v>7</v>
      </c>
      <c r="E1535" t="s">
        <v>175</v>
      </c>
      <c r="F1535" t="s">
        <v>19</v>
      </c>
    </row>
    <row r="1536" spans="1:6">
      <c r="A1536" t="s">
        <v>6</v>
      </c>
      <c r="B1536" s="1">
        <v>45849.590763888889</v>
      </c>
      <c r="C1536">
        <v>30002</v>
      </c>
      <c r="D1536" t="s">
        <v>7</v>
      </c>
      <c r="E1536" t="s">
        <v>175</v>
      </c>
      <c r="F1536" t="s">
        <v>19</v>
      </c>
    </row>
    <row r="1537" spans="1:6">
      <c r="A1537" t="s">
        <v>6</v>
      </c>
      <c r="B1537" s="1">
        <v>45849.605868055558</v>
      </c>
      <c r="C1537">
        <v>30002</v>
      </c>
      <c r="D1537" t="s">
        <v>7</v>
      </c>
      <c r="E1537" t="s">
        <v>176</v>
      </c>
      <c r="F1537" t="s">
        <v>19</v>
      </c>
    </row>
    <row r="1538" spans="1:6">
      <c r="A1538" t="s">
        <v>6</v>
      </c>
      <c r="B1538" s="1">
        <v>45849.603842592594</v>
      </c>
      <c r="C1538">
        <v>30002</v>
      </c>
      <c r="D1538" t="s">
        <v>7</v>
      </c>
      <c r="E1538" t="s">
        <v>176</v>
      </c>
      <c r="F1538" t="s">
        <v>19</v>
      </c>
    </row>
    <row r="1539" spans="1:6">
      <c r="A1539" t="s">
        <v>6</v>
      </c>
      <c r="B1539" s="1">
        <v>45849.596064814818</v>
      </c>
      <c r="C1539">
        <v>30002</v>
      </c>
      <c r="D1539" t="s">
        <v>7</v>
      </c>
      <c r="E1539" t="s">
        <v>176</v>
      </c>
      <c r="F1539" t="s">
        <v>19</v>
      </c>
    </row>
    <row r="1540" spans="1:6">
      <c r="A1540" t="s">
        <v>6</v>
      </c>
      <c r="B1540" s="1">
        <v>45849.592812499999</v>
      </c>
      <c r="C1540">
        <v>30002</v>
      </c>
      <c r="D1540" t="s">
        <v>7</v>
      </c>
      <c r="E1540" t="s">
        <v>176</v>
      </c>
      <c r="F1540" t="s">
        <v>19</v>
      </c>
    </row>
    <row r="1541" spans="1:6">
      <c r="A1541" t="s">
        <v>6</v>
      </c>
      <c r="B1541" s="1">
        <v>45849.592326388891</v>
      </c>
      <c r="C1541">
        <v>30002</v>
      </c>
      <c r="D1541" t="s">
        <v>7</v>
      </c>
      <c r="E1541" t="s">
        <v>176</v>
      </c>
      <c r="F1541" t="s">
        <v>19</v>
      </c>
    </row>
    <row r="1542" spans="1:6">
      <c r="A1542" t="s">
        <v>6</v>
      </c>
      <c r="B1542" s="1">
        <v>45847.574618055558</v>
      </c>
      <c r="C1542">
        <v>30002</v>
      </c>
      <c r="D1542" t="s">
        <v>7</v>
      </c>
      <c r="E1542" t="s">
        <v>177</v>
      </c>
      <c r="F1542" t="s">
        <v>178</v>
      </c>
    </row>
    <row r="1543" spans="1:6">
      <c r="A1543" t="s">
        <v>6</v>
      </c>
      <c r="B1543" s="1">
        <v>45848.605532407404</v>
      </c>
      <c r="C1543">
        <v>30002</v>
      </c>
      <c r="D1543" t="s">
        <v>7</v>
      </c>
      <c r="E1543" t="s">
        <v>179</v>
      </c>
      <c r="F1543" t="s">
        <v>31</v>
      </c>
    </row>
    <row r="1544" spans="1:6">
      <c r="A1544" t="s">
        <v>6</v>
      </c>
      <c r="B1544" s="1">
        <v>45848.601423611108</v>
      </c>
      <c r="C1544">
        <v>30002</v>
      </c>
      <c r="D1544" t="s">
        <v>7</v>
      </c>
      <c r="E1544" t="s">
        <v>179</v>
      </c>
      <c r="F1544" t="s">
        <v>31</v>
      </c>
    </row>
    <row r="1545" spans="1:6">
      <c r="A1545" t="s">
        <v>6</v>
      </c>
      <c r="B1545" s="1">
        <v>45848.599861111114</v>
      </c>
      <c r="C1545">
        <v>30002</v>
      </c>
      <c r="D1545" t="s">
        <v>7</v>
      </c>
      <c r="E1545" t="s">
        <v>179</v>
      </c>
      <c r="F1545" t="s">
        <v>31</v>
      </c>
    </row>
    <row r="1546" spans="1:6">
      <c r="A1546" t="s">
        <v>6</v>
      </c>
      <c r="B1546" s="1">
        <v>45848.599374999998</v>
      </c>
      <c r="C1546">
        <v>30002</v>
      </c>
      <c r="D1546" t="s">
        <v>7</v>
      </c>
      <c r="E1546" t="s">
        <v>179</v>
      </c>
      <c r="F1546" t="s">
        <v>31</v>
      </c>
    </row>
    <row r="1547" spans="1:6">
      <c r="A1547" t="s">
        <v>6</v>
      </c>
      <c r="B1547" s="1">
        <v>45848.57172453704</v>
      </c>
      <c r="C1547">
        <v>30002</v>
      </c>
      <c r="D1547" t="s">
        <v>7</v>
      </c>
      <c r="E1547" t="s">
        <v>179</v>
      </c>
      <c r="F1547" t="s">
        <v>31</v>
      </c>
    </row>
    <row r="1548" spans="1:6">
      <c r="A1548" t="s">
        <v>6</v>
      </c>
      <c r="B1548" s="1">
        <v>45854.411979166667</v>
      </c>
      <c r="C1548">
        <v>30002</v>
      </c>
      <c r="D1548" t="s">
        <v>7</v>
      </c>
      <c r="E1548" t="s">
        <v>179</v>
      </c>
      <c r="F1548" t="s">
        <v>23</v>
      </c>
    </row>
    <row r="1549" spans="1:6">
      <c r="A1549" t="s">
        <v>6</v>
      </c>
      <c r="B1549" s="1">
        <v>45854.332800925928</v>
      </c>
      <c r="C1549">
        <v>30002</v>
      </c>
      <c r="D1549" t="s">
        <v>7</v>
      </c>
      <c r="E1549" t="s">
        <v>179</v>
      </c>
      <c r="F1549" t="s">
        <v>180</v>
      </c>
    </row>
    <row r="1550" spans="1:6">
      <c r="A1550" t="s">
        <v>6</v>
      </c>
      <c r="B1550" s="1">
        <v>45865.473622685182</v>
      </c>
      <c r="C1550">
        <v>30002</v>
      </c>
      <c r="D1550" t="s">
        <v>7</v>
      </c>
      <c r="E1550" t="s">
        <v>181</v>
      </c>
      <c r="F1550" t="s">
        <v>19</v>
      </c>
    </row>
    <row r="1551" spans="1:6">
      <c r="A1551" t="s">
        <v>6</v>
      </c>
      <c r="B1551" s="1">
        <v>45865.471099537041</v>
      </c>
      <c r="C1551">
        <v>30002</v>
      </c>
      <c r="D1551" t="s">
        <v>7</v>
      </c>
      <c r="E1551" t="s">
        <v>181</v>
      </c>
      <c r="F1551" t="s">
        <v>19</v>
      </c>
    </row>
    <row r="1552" spans="1:6">
      <c r="A1552" t="s">
        <v>6</v>
      </c>
      <c r="B1552" s="1">
        <v>45865.470960648148</v>
      </c>
      <c r="C1552">
        <v>30002</v>
      </c>
      <c r="D1552" t="s">
        <v>7</v>
      </c>
      <c r="E1552" t="s">
        <v>181</v>
      </c>
      <c r="F1552" t="s">
        <v>19</v>
      </c>
    </row>
    <row r="1553" spans="1:6">
      <c r="A1553" t="s">
        <v>6</v>
      </c>
      <c r="B1553" s="1">
        <v>45842.6253125</v>
      </c>
      <c r="C1553">
        <v>30002</v>
      </c>
      <c r="D1553" t="s">
        <v>7</v>
      </c>
      <c r="E1553" t="s">
        <v>181</v>
      </c>
      <c r="F1553" t="s">
        <v>19</v>
      </c>
    </row>
    <row r="1554" spans="1:6">
      <c r="A1554" t="s">
        <v>6</v>
      </c>
      <c r="B1554" s="1">
        <v>45841.61204861111</v>
      </c>
      <c r="C1554">
        <v>30002</v>
      </c>
      <c r="D1554" t="s">
        <v>7</v>
      </c>
      <c r="E1554" t="s">
        <v>181</v>
      </c>
      <c r="F1554" t="s">
        <v>19</v>
      </c>
    </row>
    <row r="1555" spans="1:6">
      <c r="A1555" t="s">
        <v>6</v>
      </c>
      <c r="B1555" s="1">
        <v>45841.611666666664</v>
      </c>
      <c r="C1555">
        <v>30002</v>
      </c>
      <c r="D1555" t="s">
        <v>7</v>
      </c>
      <c r="E1555" t="s">
        <v>181</v>
      </c>
      <c r="F1555" t="s">
        <v>19</v>
      </c>
    </row>
    <row r="1556" spans="1:6">
      <c r="A1556" t="s">
        <v>6</v>
      </c>
      <c r="B1556" s="1">
        <v>45841.592349537037</v>
      </c>
      <c r="C1556">
        <v>30002</v>
      </c>
      <c r="D1556" t="s">
        <v>7</v>
      </c>
      <c r="E1556" t="s">
        <v>181</v>
      </c>
      <c r="F1556" t="s">
        <v>19</v>
      </c>
    </row>
    <row r="1557" spans="1:6">
      <c r="A1557" t="s">
        <v>6</v>
      </c>
      <c r="B1557" s="1">
        <v>45868.644490740742</v>
      </c>
      <c r="C1557">
        <v>30002</v>
      </c>
      <c r="D1557" t="s">
        <v>7</v>
      </c>
      <c r="E1557" t="s">
        <v>181</v>
      </c>
      <c r="F1557" t="s">
        <v>54</v>
      </c>
    </row>
    <row r="1558" spans="1:6">
      <c r="A1558" t="s">
        <v>6</v>
      </c>
      <c r="B1558" s="1">
        <v>45868.631712962961</v>
      </c>
      <c r="C1558">
        <v>30002</v>
      </c>
      <c r="D1558" t="s">
        <v>7</v>
      </c>
      <c r="E1558" t="s">
        <v>181</v>
      </c>
      <c r="F1558" t="s">
        <v>54</v>
      </c>
    </row>
    <row r="1559" spans="1:6">
      <c r="A1559" t="s">
        <v>6</v>
      </c>
      <c r="B1559" s="1">
        <v>45841.595601851855</v>
      </c>
      <c r="C1559">
        <v>30002</v>
      </c>
      <c r="D1559" t="s">
        <v>7</v>
      </c>
      <c r="E1559" t="s">
        <v>181</v>
      </c>
      <c r="F1559" t="s">
        <v>54</v>
      </c>
    </row>
    <row r="1560" spans="1:6">
      <c r="A1560" t="s">
        <v>6</v>
      </c>
      <c r="B1560" s="1">
        <v>45841.593310185184</v>
      </c>
      <c r="C1560">
        <v>30002</v>
      </c>
      <c r="D1560" t="s">
        <v>7</v>
      </c>
      <c r="E1560" t="s">
        <v>181</v>
      </c>
      <c r="F1560" t="s">
        <v>54</v>
      </c>
    </row>
    <row r="1561" spans="1:6">
      <c r="A1561" t="s">
        <v>6</v>
      </c>
      <c r="B1561" s="1">
        <v>45841.592939814815</v>
      </c>
      <c r="C1561">
        <v>30002</v>
      </c>
      <c r="D1561" t="s">
        <v>7</v>
      </c>
      <c r="E1561" t="s">
        <v>181</v>
      </c>
      <c r="F1561" t="s">
        <v>54</v>
      </c>
    </row>
    <row r="1562" spans="1:6">
      <c r="A1562" t="s">
        <v>6</v>
      </c>
      <c r="B1562" s="1">
        <v>45841.592835648145</v>
      </c>
      <c r="C1562">
        <v>30002</v>
      </c>
      <c r="D1562" t="s">
        <v>7</v>
      </c>
      <c r="E1562" t="s">
        <v>181</v>
      </c>
      <c r="F1562" t="s">
        <v>54</v>
      </c>
    </row>
    <row r="1563" spans="1:6">
      <c r="A1563" t="s">
        <v>6</v>
      </c>
      <c r="B1563" s="1">
        <v>45841.590682870374</v>
      </c>
      <c r="C1563">
        <v>30002</v>
      </c>
      <c r="D1563" t="s">
        <v>7</v>
      </c>
      <c r="E1563" t="s">
        <v>181</v>
      </c>
      <c r="F1563" t="s">
        <v>54</v>
      </c>
    </row>
    <row r="1564" spans="1:6">
      <c r="A1564" t="s">
        <v>6</v>
      </c>
      <c r="B1564" s="1">
        <v>45841.565196759257</v>
      </c>
      <c r="C1564">
        <v>30002</v>
      </c>
      <c r="D1564" t="s">
        <v>7</v>
      </c>
      <c r="E1564" t="s">
        <v>181</v>
      </c>
      <c r="F1564" t="s">
        <v>54</v>
      </c>
    </row>
    <row r="1565" spans="1:6">
      <c r="A1565" t="s">
        <v>6</v>
      </c>
      <c r="B1565" s="1">
        <v>45866.310335648152</v>
      </c>
      <c r="C1565">
        <v>30002</v>
      </c>
      <c r="D1565" t="s">
        <v>7</v>
      </c>
      <c r="E1565" t="s">
        <v>181</v>
      </c>
      <c r="F1565" t="s">
        <v>97</v>
      </c>
    </row>
    <row r="1566" spans="1:6">
      <c r="A1566" t="s">
        <v>6</v>
      </c>
      <c r="B1566" s="1">
        <v>45866.301550925928</v>
      </c>
      <c r="C1566">
        <v>30002</v>
      </c>
      <c r="D1566" t="s">
        <v>7</v>
      </c>
      <c r="E1566" t="s">
        <v>181</v>
      </c>
      <c r="F1566" t="s">
        <v>97</v>
      </c>
    </row>
    <row r="1567" spans="1:6">
      <c r="A1567" t="s">
        <v>6</v>
      </c>
      <c r="B1567" s="1">
        <v>45851.37672453704</v>
      </c>
      <c r="C1567">
        <v>30002</v>
      </c>
      <c r="D1567" t="s">
        <v>7</v>
      </c>
      <c r="E1567" t="s">
        <v>181</v>
      </c>
      <c r="F1567" t="s">
        <v>97</v>
      </c>
    </row>
    <row r="1568" spans="1:6">
      <c r="A1568" t="s">
        <v>6</v>
      </c>
      <c r="B1568" s="1">
        <v>45851.363136574073</v>
      </c>
      <c r="C1568">
        <v>30002</v>
      </c>
      <c r="D1568" t="s">
        <v>7</v>
      </c>
      <c r="E1568" t="s">
        <v>181</v>
      </c>
      <c r="F1568" t="s">
        <v>97</v>
      </c>
    </row>
    <row r="1569" spans="1:6">
      <c r="A1569" t="s">
        <v>6</v>
      </c>
      <c r="B1569" s="1">
        <v>45851.362060185187</v>
      </c>
      <c r="C1569">
        <v>30002</v>
      </c>
      <c r="D1569" t="s">
        <v>7</v>
      </c>
      <c r="E1569" t="s">
        <v>181</v>
      </c>
      <c r="F1569" t="s">
        <v>97</v>
      </c>
    </row>
    <row r="1570" spans="1:6">
      <c r="A1570" t="s">
        <v>6</v>
      </c>
      <c r="B1570" s="1">
        <v>45851.361793981479</v>
      </c>
      <c r="C1570">
        <v>30002</v>
      </c>
      <c r="D1570" t="s">
        <v>7</v>
      </c>
      <c r="E1570" t="s">
        <v>181</v>
      </c>
      <c r="F1570" t="s">
        <v>97</v>
      </c>
    </row>
    <row r="1571" spans="1:6">
      <c r="A1571" t="s">
        <v>6</v>
      </c>
      <c r="B1571" s="1">
        <v>45851.353865740741</v>
      </c>
      <c r="C1571">
        <v>30002</v>
      </c>
      <c r="D1571" t="s">
        <v>7</v>
      </c>
      <c r="E1571" t="s">
        <v>181</v>
      </c>
      <c r="F1571" t="s">
        <v>97</v>
      </c>
    </row>
    <row r="1572" spans="1:6">
      <c r="A1572" t="s">
        <v>6</v>
      </c>
      <c r="B1572" s="1">
        <v>45848.737488425926</v>
      </c>
      <c r="C1572">
        <v>30002</v>
      </c>
      <c r="D1572" t="s">
        <v>7</v>
      </c>
      <c r="E1572" t="s">
        <v>181</v>
      </c>
      <c r="F1572" t="s">
        <v>106</v>
      </c>
    </row>
    <row r="1573" spans="1:6">
      <c r="A1573" t="s">
        <v>6</v>
      </c>
      <c r="B1573" s="1">
        <v>45849.466180555559</v>
      </c>
      <c r="C1573">
        <v>30002</v>
      </c>
      <c r="D1573" t="s">
        <v>7</v>
      </c>
      <c r="E1573" t="s">
        <v>182</v>
      </c>
      <c r="F1573" t="s">
        <v>178</v>
      </c>
    </row>
    <row r="1574" spans="1:6">
      <c r="A1574" t="s">
        <v>6</v>
      </c>
      <c r="B1574" s="1">
        <v>45849.461875000001</v>
      </c>
      <c r="C1574">
        <v>30002</v>
      </c>
      <c r="D1574" t="s">
        <v>7</v>
      </c>
      <c r="E1574" t="s">
        <v>182</v>
      </c>
      <c r="F1574" t="s">
        <v>178</v>
      </c>
    </row>
    <row r="1575" spans="1:6">
      <c r="A1575" t="s">
        <v>6</v>
      </c>
      <c r="B1575" s="1">
        <v>45839.496342592596</v>
      </c>
      <c r="C1575">
        <v>30002</v>
      </c>
      <c r="D1575" t="s">
        <v>7</v>
      </c>
      <c r="E1575" t="s">
        <v>182</v>
      </c>
      <c r="F1575" t="s">
        <v>178</v>
      </c>
    </row>
    <row r="1576" spans="1:6">
      <c r="A1576" t="s">
        <v>6</v>
      </c>
      <c r="B1576" s="1">
        <v>45839.495879629627</v>
      </c>
      <c r="C1576">
        <v>30002</v>
      </c>
      <c r="D1576" t="s">
        <v>7</v>
      </c>
      <c r="E1576" t="s">
        <v>182</v>
      </c>
      <c r="F1576" t="s">
        <v>178</v>
      </c>
    </row>
    <row r="1577" spans="1:6">
      <c r="A1577" t="s">
        <v>6</v>
      </c>
      <c r="B1577" s="1">
        <v>45865.473946759259</v>
      </c>
      <c r="C1577">
        <v>30002</v>
      </c>
      <c r="D1577" t="s">
        <v>7</v>
      </c>
      <c r="E1577" t="s">
        <v>183</v>
      </c>
      <c r="F1577" t="s">
        <v>19</v>
      </c>
    </row>
    <row r="1578" spans="1:6">
      <c r="A1578" t="s">
        <v>6</v>
      </c>
      <c r="B1578" s="1">
        <v>45840.665034722224</v>
      </c>
      <c r="C1578">
        <v>30002</v>
      </c>
      <c r="D1578" t="s">
        <v>7</v>
      </c>
      <c r="E1578" t="s">
        <v>183</v>
      </c>
      <c r="F1578" t="s">
        <v>11</v>
      </c>
    </row>
    <row r="1579" spans="1:6">
      <c r="A1579" t="s">
        <v>6</v>
      </c>
      <c r="B1579" s="1">
        <v>45839.401307870372</v>
      </c>
      <c r="C1579">
        <v>30002</v>
      </c>
      <c r="D1579" t="s">
        <v>7</v>
      </c>
      <c r="E1579" t="s">
        <v>184</v>
      </c>
      <c r="F1579" t="s">
        <v>13</v>
      </c>
    </row>
    <row r="1580" spans="1:6">
      <c r="A1580" t="s">
        <v>6</v>
      </c>
      <c r="B1580" s="1">
        <v>45868.323449074072</v>
      </c>
      <c r="C1580">
        <v>30002</v>
      </c>
      <c r="D1580" t="s">
        <v>7</v>
      </c>
      <c r="E1580" t="s">
        <v>184</v>
      </c>
      <c r="F1580" t="s">
        <v>19</v>
      </c>
    </row>
    <row r="1581" spans="1:6">
      <c r="A1581" t="s">
        <v>6</v>
      </c>
      <c r="B1581" s="1">
        <v>45866.295520833337</v>
      </c>
      <c r="C1581">
        <v>30002</v>
      </c>
      <c r="D1581" t="s">
        <v>7</v>
      </c>
      <c r="E1581" t="s">
        <v>184</v>
      </c>
      <c r="F1581" t="s">
        <v>19</v>
      </c>
    </row>
    <row r="1582" spans="1:6">
      <c r="A1582" t="s">
        <v>6</v>
      </c>
      <c r="B1582" s="1">
        <v>45845.473981481482</v>
      </c>
      <c r="C1582">
        <v>30002</v>
      </c>
      <c r="D1582" t="s">
        <v>7</v>
      </c>
      <c r="E1582" t="s">
        <v>184</v>
      </c>
      <c r="F1582" t="s">
        <v>31</v>
      </c>
    </row>
    <row r="1583" spans="1:6">
      <c r="A1583" t="s">
        <v>6</v>
      </c>
      <c r="B1583" s="1">
        <v>45845.472581018519</v>
      </c>
      <c r="C1583">
        <v>30002</v>
      </c>
      <c r="D1583" t="s">
        <v>7</v>
      </c>
      <c r="E1583" t="s">
        <v>184</v>
      </c>
      <c r="F1583" t="s">
        <v>31</v>
      </c>
    </row>
    <row r="1584" spans="1:6">
      <c r="A1584" t="s">
        <v>6</v>
      </c>
      <c r="B1584" s="1">
        <v>45845.465474537035</v>
      </c>
      <c r="C1584">
        <v>30002</v>
      </c>
      <c r="D1584" t="s">
        <v>7</v>
      </c>
      <c r="E1584" t="s">
        <v>184</v>
      </c>
      <c r="F1584" t="s">
        <v>31</v>
      </c>
    </row>
    <row r="1585" spans="1:6">
      <c r="A1585" t="s">
        <v>6</v>
      </c>
      <c r="B1585" s="1">
        <v>45845.465196759258</v>
      </c>
      <c r="C1585">
        <v>30002</v>
      </c>
      <c r="D1585" t="s">
        <v>7</v>
      </c>
      <c r="E1585" t="s">
        <v>184</v>
      </c>
      <c r="F1585" t="s">
        <v>31</v>
      </c>
    </row>
    <row r="1586" spans="1:6">
      <c r="A1586" t="s">
        <v>6</v>
      </c>
      <c r="B1586" s="1">
        <v>45845.463993055557</v>
      </c>
      <c r="C1586">
        <v>30002</v>
      </c>
      <c r="D1586" t="s">
        <v>7</v>
      </c>
      <c r="E1586" t="s">
        <v>184</v>
      </c>
      <c r="F1586" t="s">
        <v>31</v>
      </c>
    </row>
    <row r="1587" spans="1:6">
      <c r="A1587" t="s">
        <v>6</v>
      </c>
      <c r="B1587" s="1">
        <v>45845.463645833333</v>
      </c>
      <c r="C1587">
        <v>30002</v>
      </c>
      <c r="D1587" t="s">
        <v>7</v>
      </c>
      <c r="E1587" t="s">
        <v>184</v>
      </c>
      <c r="F1587" t="s">
        <v>31</v>
      </c>
    </row>
    <row r="1588" spans="1:6">
      <c r="A1588" t="s">
        <v>6</v>
      </c>
      <c r="B1588" s="1">
        <v>45845.463159722225</v>
      </c>
      <c r="C1588">
        <v>30002</v>
      </c>
      <c r="D1588" t="s">
        <v>7</v>
      </c>
      <c r="E1588" t="s">
        <v>184</v>
      </c>
      <c r="F1588" t="s">
        <v>31</v>
      </c>
    </row>
    <row r="1589" spans="1:6">
      <c r="A1589" t="s">
        <v>6</v>
      </c>
      <c r="B1589" s="1">
        <v>45845.462592592594</v>
      </c>
      <c r="C1589">
        <v>30002</v>
      </c>
      <c r="D1589" t="s">
        <v>7</v>
      </c>
      <c r="E1589" t="s">
        <v>184</v>
      </c>
      <c r="F1589" t="s">
        <v>31</v>
      </c>
    </row>
    <row r="1590" spans="1:6">
      <c r="A1590" t="s">
        <v>6</v>
      </c>
      <c r="B1590" s="1">
        <v>45845.462337962963</v>
      </c>
      <c r="C1590">
        <v>30002</v>
      </c>
      <c r="D1590" t="s">
        <v>7</v>
      </c>
      <c r="E1590" t="s">
        <v>184</v>
      </c>
      <c r="F1590" t="s">
        <v>31</v>
      </c>
    </row>
    <row r="1591" spans="1:6">
      <c r="A1591" t="s">
        <v>6</v>
      </c>
      <c r="B1591" s="1">
        <v>45845.46193287037</v>
      </c>
      <c r="C1591">
        <v>30002</v>
      </c>
      <c r="D1591" t="s">
        <v>7</v>
      </c>
      <c r="E1591" t="s">
        <v>184</v>
      </c>
      <c r="F1591" t="s">
        <v>31</v>
      </c>
    </row>
    <row r="1592" spans="1:6">
      <c r="A1592" t="s">
        <v>6</v>
      </c>
      <c r="B1592" s="1">
        <v>45845.461342592593</v>
      </c>
      <c r="C1592">
        <v>30002</v>
      </c>
      <c r="D1592" t="s">
        <v>7</v>
      </c>
      <c r="E1592" t="s">
        <v>184</v>
      </c>
      <c r="F1592" t="s">
        <v>31</v>
      </c>
    </row>
    <row r="1593" spans="1:6">
      <c r="A1593" t="s">
        <v>6</v>
      </c>
      <c r="B1593" s="1">
        <v>45845.461226851854</v>
      </c>
      <c r="C1593">
        <v>30002</v>
      </c>
      <c r="D1593" t="s">
        <v>7</v>
      </c>
      <c r="E1593" t="s">
        <v>184</v>
      </c>
      <c r="F1593" t="s">
        <v>31</v>
      </c>
    </row>
    <row r="1594" spans="1:6">
      <c r="A1594" t="s">
        <v>6</v>
      </c>
      <c r="B1594" s="1">
        <v>45845.461099537039</v>
      </c>
      <c r="C1594">
        <v>30002</v>
      </c>
      <c r="D1594" t="s">
        <v>7</v>
      </c>
      <c r="E1594" t="s">
        <v>184</v>
      </c>
      <c r="F1594" t="s">
        <v>31</v>
      </c>
    </row>
    <row r="1595" spans="1:6">
      <c r="A1595" t="s">
        <v>6</v>
      </c>
      <c r="B1595" s="1">
        <v>45845.461006944446</v>
      </c>
      <c r="C1595">
        <v>30002</v>
      </c>
      <c r="D1595" t="s">
        <v>7</v>
      </c>
      <c r="E1595" t="s">
        <v>184</v>
      </c>
      <c r="F1595" t="s">
        <v>31</v>
      </c>
    </row>
    <row r="1596" spans="1:6">
      <c r="A1596" t="s">
        <v>6</v>
      </c>
      <c r="B1596" s="1">
        <v>45861.555081018516</v>
      </c>
      <c r="C1596">
        <v>30002</v>
      </c>
      <c r="D1596" t="s">
        <v>7</v>
      </c>
      <c r="E1596" t="s">
        <v>184</v>
      </c>
      <c r="F1596" t="s">
        <v>23</v>
      </c>
    </row>
    <row r="1597" spans="1:6">
      <c r="A1597" t="s">
        <v>6</v>
      </c>
      <c r="B1597" s="1">
        <v>45847.74790509259</v>
      </c>
      <c r="C1597">
        <v>30002</v>
      </c>
      <c r="D1597" t="s">
        <v>7</v>
      </c>
      <c r="E1597" t="s">
        <v>184</v>
      </c>
      <c r="F1597" t="s">
        <v>185</v>
      </c>
    </row>
    <row r="1598" spans="1:6">
      <c r="A1598" t="s">
        <v>6</v>
      </c>
      <c r="B1598" s="1">
        <v>45863.260879629626</v>
      </c>
      <c r="C1598">
        <v>30002</v>
      </c>
      <c r="D1598" t="s">
        <v>7</v>
      </c>
      <c r="E1598" t="s">
        <v>184</v>
      </c>
      <c r="F1598" t="s">
        <v>25</v>
      </c>
    </row>
    <row r="1599" spans="1:6">
      <c r="A1599" t="s">
        <v>6</v>
      </c>
      <c r="B1599" s="1">
        <v>45863.251909722225</v>
      </c>
      <c r="C1599">
        <v>30002</v>
      </c>
      <c r="D1599" t="s">
        <v>7</v>
      </c>
      <c r="E1599" t="s">
        <v>184</v>
      </c>
      <c r="F1599" t="s">
        <v>25</v>
      </c>
    </row>
    <row r="1600" spans="1:6">
      <c r="A1600" t="s">
        <v>6</v>
      </c>
      <c r="B1600" s="1">
        <v>45863.251828703702</v>
      </c>
      <c r="C1600">
        <v>30002</v>
      </c>
      <c r="D1600" t="s">
        <v>7</v>
      </c>
      <c r="E1600" t="s">
        <v>184</v>
      </c>
      <c r="F1600" t="s">
        <v>25</v>
      </c>
    </row>
    <row r="1601" spans="1:6">
      <c r="A1601" t="s">
        <v>6</v>
      </c>
      <c r="B1601" s="1">
        <v>45863.250902777778</v>
      </c>
      <c r="C1601">
        <v>30002</v>
      </c>
      <c r="D1601" t="s">
        <v>7</v>
      </c>
      <c r="E1601" t="s">
        <v>184</v>
      </c>
      <c r="F1601" t="s">
        <v>25</v>
      </c>
    </row>
    <row r="1602" spans="1:6">
      <c r="A1602" t="s">
        <v>6</v>
      </c>
      <c r="B1602" s="1">
        <v>45863.250787037039</v>
      </c>
      <c r="C1602">
        <v>30002</v>
      </c>
      <c r="D1602" t="s">
        <v>7</v>
      </c>
      <c r="E1602" t="s">
        <v>184</v>
      </c>
      <c r="F1602" t="s">
        <v>25</v>
      </c>
    </row>
    <row r="1603" spans="1:6">
      <c r="A1603" t="s">
        <v>6</v>
      </c>
      <c r="B1603" s="1">
        <v>45863.25072916667</v>
      </c>
      <c r="C1603">
        <v>30002</v>
      </c>
      <c r="D1603" t="s">
        <v>7</v>
      </c>
      <c r="E1603" t="s">
        <v>184</v>
      </c>
      <c r="F1603" t="s">
        <v>25</v>
      </c>
    </row>
    <row r="1604" spans="1:6">
      <c r="A1604" t="s">
        <v>6</v>
      </c>
      <c r="B1604" s="1">
        <v>45863.250497685185</v>
      </c>
      <c r="C1604">
        <v>30002</v>
      </c>
      <c r="D1604" t="s">
        <v>7</v>
      </c>
      <c r="E1604" t="s">
        <v>184</v>
      </c>
      <c r="F1604" t="s">
        <v>25</v>
      </c>
    </row>
    <row r="1605" spans="1:6">
      <c r="A1605" t="s">
        <v>6</v>
      </c>
      <c r="B1605" s="1">
        <v>45863.25037037037</v>
      </c>
      <c r="C1605">
        <v>30002</v>
      </c>
      <c r="D1605" t="s">
        <v>7</v>
      </c>
      <c r="E1605" t="s">
        <v>184</v>
      </c>
      <c r="F1605" t="s">
        <v>25</v>
      </c>
    </row>
    <row r="1606" spans="1:6">
      <c r="A1606" t="s">
        <v>6</v>
      </c>
      <c r="B1606" s="1">
        <v>45863.2502662037</v>
      </c>
      <c r="C1606">
        <v>30002</v>
      </c>
      <c r="D1606" t="s">
        <v>7</v>
      </c>
      <c r="E1606" t="s">
        <v>184</v>
      </c>
      <c r="F1606" t="s">
        <v>25</v>
      </c>
    </row>
    <row r="1607" spans="1:6">
      <c r="A1607" t="s">
        <v>6</v>
      </c>
      <c r="B1607" s="1">
        <v>45863.249652777777</v>
      </c>
      <c r="C1607">
        <v>30002</v>
      </c>
      <c r="D1607" t="s">
        <v>7</v>
      </c>
      <c r="E1607" t="s">
        <v>184</v>
      </c>
      <c r="F1607" t="s">
        <v>25</v>
      </c>
    </row>
    <row r="1608" spans="1:6">
      <c r="A1608" t="s">
        <v>6</v>
      </c>
      <c r="B1608" s="1">
        <v>45863.249548611115</v>
      </c>
      <c r="C1608">
        <v>30002</v>
      </c>
      <c r="D1608" t="s">
        <v>7</v>
      </c>
      <c r="E1608" t="s">
        <v>184</v>
      </c>
      <c r="F1608" t="s">
        <v>25</v>
      </c>
    </row>
    <row r="1609" spans="1:6">
      <c r="A1609" t="s">
        <v>6</v>
      </c>
      <c r="B1609" s="1">
        <v>45863.249421296299</v>
      </c>
      <c r="C1609">
        <v>30002</v>
      </c>
      <c r="D1609" t="s">
        <v>7</v>
      </c>
      <c r="E1609" t="s">
        <v>184</v>
      </c>
      <c r="F1609" t="s">
        <v>25</v>
      </c>
    </row>
    <row r="1610" spans="1:6">
      <c r="A1610" t="s">
        <v>6</v>
      </c>
      <c r="B1610" s="1">
        <v>45863.249131944445</v>
      </c>
      <c r="C1610">
        <v>30002</v>
      </c>
      <c r="D1610" t="s">
        <v>7</v>
      </c>
      <c r="E1610" t="s">
        <v>184</v>
      </c>
      <c r="F1610" t="s">
        <v>25</v>
      </c>
    </row>
    <row r="1611" spans="1:6">
      <c r="A1611" t="s">
        <v>6</v>
      </c>
      <c r="B1611" s="1">
        <v>45863.249039351853</v>
      </c>
      <c r="C1611">
        <v>30002</v>
      </c>
      <c r="D1611" t="s">
        <v>7</v>
      </c>
      <c r="E1611" t="s">
        <v>184</v>
      </c>
      <c r="F1611" t="s">
        <v>25</v>
      </c>
    </row>
    <row r="1612" spans="1:6">
      <c r="A1612" t="s">
        <v>6</v>
      </c>
      <c r="B1612" s="1">
        <v>45863.248854166668</v>
      </c>
      <c r="C1612">
        <v>30002</v>
      </c>
      <c r="D1612" t="s">
        <v>7</v>
      </c>
      <c r="E1612" t="s">
        <v>184</v>
      </c>
      <c r="F1612" t="s">
        <v>25</v>
      </c>
    </row>
    <row r="1613" spans="1:6">
      <c r="A1613" t="s">
        <v>6</v>
      </c>
      <c r="B1613" s="1">
        <v>45863.248796296299</v>
      </c>
      <c r="C1613">
        <v>30002</v>
      </c>
      <c r="D1613" t="s">
        <v>7</v>
      </c>
      <c r="E1613" t="s">
        <v>184</v>
      </c>
      <c r="F1613" t="s">
        <v>25</v>
      </c>
    </row>
    <row r="1614" spans="1:6">
      <c r="A1614" t="s">
        <v>6</v>
      </c>
      <c r="B1614" s="1">
        <v>45863.248645833337</v>
      </c>
      <c r="C1614">
        <v>30002</v>
      </c>
      <c r="D1614" t="s">
        <v>7</v>
      </c>
      <c r="E1614" t="s">
        <v>184</v>
      </c>
      <c r="F1614" t="s">
        <v>25</v>
      </c>
    </row>
    <row r="1615" spans="1:6">
      <c r="A1615" t="s">
        <v>6</v>
      </c>
      <c r="B1615" s="1">
        <v>45863.248553240737</v>
      </c>
      <c r="C1615">
        <v>30002</v>
      </c>
      <c r="D1615" t="s">
        <v>7</v>
      </c>
      <c r="E1615" t="s">
        <v>184</v>
      </c>
      <c r="F1615" t="s">
        <v>25</v>
      </c>
    </row>
    <row r="1616" spans="1:6">
      <c r="A1616" t="s">
        <v>6</v>
      </c>
      <c r="B1616" s="1">
        <v>45863.248483796298</v>
      </c>
      <c r="C1616">
        <v>30002</v>
      </c>
      <c r="D1616" t="s">
        <v>7</v>
      </c>
      <c r="E1616" t="s">
        <v>184</v>
      </c>
      <c r="F1616" t="s">
        <v>25</v>
      </c>
    </row>
    <row r="1617" spans="1:6">
      <c r="A1617" t="s">
        <v>6</v>
      </c>
      <c r="B1617" s="1">
        <v>45863.248391203706</v>
      </c>
      <c r="C1617">
        <v>30002</v>
      </c>
      <c r="D1617" t="s">
        <v>7</v>
      </c>
      <c r="E1617" t="s">
        <v>184</v>
      </c>
      <c r="F1617" t="s">
        <v>25</v>
      </c>
    </row>
    <row r="1618" spans="1:6">
      <c r="A1618" t="s">
        <v>6</v>
      </c>
      <c r="B1618" s="1">
        <v>45863.248287037037</v>
      </c>
      <c r="C1618">
        <v>30002</v>
      </c>
      <c r="D1618" t="s">
        <v>7</v>
      </c>
      <c r="E1618" t="s">
        <v>184</v>
      </c>
      <c r="F1618" t="s">
        <v>25</v>
      </c>
    </row>
    <row r="1619" spans="1:6">
      <c r="A1619" t="s">
        <v>6</v>
      </c>
      <c r="B1619" s="1">
        <v>45863.41846064815</v>
      </c>
      <c r="C1619">
        <v>30002</v>
      </c>
      <c r="D1619" t="s">
        <v>7</v>
      </c>
      <c r="E1619" t="s">
        <v>184</v>
      </c>
      <c r="F1619" t="s">
        <v>97</v>
      </c>
    </row>
    <row r="1620" spans="1:6">
      <c r="A1620" t="s">
        <v>6</v>
      </c>
      <c r="B1620" s="1">
        <v>45863.415752314817</v>
      </c>
      <c r="C1620">
        <v>30002</v>
      </c>
      <c r="D1620" t="s">
        <v>7</v>
      </c>
      <c r="E1620" t="s">
        <v>184</v>
      </c>
      <c r="F1620" t="s">
        <v>97</v>
      </c>
    </row>
    <row r="1621" spans="1:6">
      <c r="A1621" t="s">
        <v>6</v>
      </c>
      <c r="B1621" s="1">
        <v>45863.410069444442</v>
      </c>
      <c r="C1621">
        <v>30002</v>
      </c>
      <c r="D1621" t="s">
        <v>7</v>
      </c>
      <c r="E1621" t="s">
        <v>184</v>
      </c>
      <c r="F1621" t="s">
        <v>97</v>
      </c>
    </row>
    <row r="1622" spans="1:6">
      <c r="A1622" t="s">
        <v>6</v>
      </c>
      <c r="B1622" s="1">
        <v>45863.407812500001</v>
      </c>
      <c r="C1622">
        <v>30002</v>
      </c>
      <c r="D1622" t="s">
        <v>7</v>
      </c>
      <c r="E1622" t="s">
        <v>184</v>
      </c>
      <c r="F1622" t="s">
        <v>97</v>
      </c>
    </row>
    <row r="1623" spans="1:6">
      <c r="A1623" t="s">
        <v>6</v>
      </c>
      <c r="B1623" s="1">
        <v>45863.405787037038</v>
      </c>
      <c r="C1623">
        <v>30002</v>
      </c>
      <c r="D1623" t="s">
        <v>7</v>
      </c>
      <c r="E1623" t="s">
        <v>184</v>
      </c>
      <c r="F1623" t="s">
        <v>97</v>
      </c>
    </row>
    <row r="1624" spans="1:6">
      <c r="A1624" t="s">
        <v>6</v>
      </c>
      <c r="B1624" s="1">
        <v>45863.404814814814</v>
      </c>
      <c r="C1624">
        <v>30002</v>
      </c>
      <c r="D1624" t="s">
        <v>7</v>
      </c>
      <c r="E1624" t="s">
        <v>184</v>
      </c>
      <c r="F1624" t="s">
        <v>97</v>
      </c>
    </row>
    <row r="1625" spans="1:6">
      <c r="A1625" t="s">
        <v>6</v>
      </c>
      <c r="B1625" s="1">
        <v>45839.264270833337</v>
      </c>
      <c r="C1625">
        <v>30002</v>
      </c>
      <c r="D1625" t="s">
        <v>7</v>
      </c>
      <c r="E1625" t="s">
        <v>186</v>
      </c>
      <c r="F1625" t="s">
        <v>19</v>
      </c>
    </row>
    <row r="1626" spans="1:6">
      <c r="A1626" t="s">
        <v>6</v>
      </c>
      <c r="B1626" s="1">
        <v>45849.511574074073</v>
      </c>
      <c r="C1626">
        <v>30002</v>
      </c>
      <c r="D1626" t="s">
        <v>7</v>
      </c>
      <c r="E1626" t="s">
        <v>187</v>
      </c>
      <c r="F1626" t="s">
        <v>31</v>
      </c>
    </row>
    <row r="1627" spans="1:6">
      <c r="A1627" t="s">
        <v>6</v>
      </c>
      <c r="B1627" s="1">
        <v>45849.511354166665</v>
      </c>
      <c r="C1627">
        <v>30002</v>
      </c>
      <c r="D1627" t="s">
        <v>7</v>
      </c>
      <c r="E1627" t="s">
        <v>187</v>
      </c>
      <c r="F1627" t="s">
        <v>31</v>
      </c>
    </row>
    <row r="1628" spans="1:6">
      <c r="A1628" t="s">
        <v>6</v>
      </c>
      <c r="B1628" s="1">
        <v>45849.510810185187</v>
      </c>
      <c r="C1628">
        <v>30002</v>
      </c>
      <c r="D1628" t="s">
        <v>7</v>
      </c>
      <c r="E1628" t="s">
        <v>187</v>
      </c>
      <c r="F1628" t="s">
        <v>31</v>
      </c>
    </row>
    <row r="1629" spans="1:6">
      <c r="A1629" t="s">
        <v>6</v>
      </c>
      <c r="B1629" s="1">
        <v>45849.494745370372</v>
      </c>
      <c r="C1629">
        <v>30002</v>
      </c>
      <c r="D1629" t="s">
        <v>7</v>
      </c>
      <c r="E1629" t="s">
        <v>187</v>
      </c>
      <c r="F1629" t="s">
        <v>31</v>
      </c>
    </row>
    <row r="1630" spans="1:6">
      <c r="A1630" t="s">
        <v>6</v>
      </c>
      <c r="B1630" s="1">
        <v>45848.30777777778</v>
      </c>
      <c r="C1630">
        <v>30002</v>
      </c>
      <c r="D1630" t="s">
        <v>7</v>
      </c>
      <c r="E1630" t="s">
        <v>187</v>
      </c>
      <c r="F1630" t="s">
        <v>31</v>
      </c>
    </row>
    <row r="1631" spans="1:6">
      <c r="A1631" t="s">
        <v>6</v>
      </c>
      <c r="B1631" s="1">
        <v>45848.306168981479</v>
      </c>
      <c r="C1631">
        <v>30002</v>
      </c>
      <c r="D1631" t="s">
        <v>7</v>
      </c>
      <c r="E1631" t="s">
        <v>187</v>
      </c>
      <c r="F1631" t="s">
        <v>31</v>
      </c>
    </row>
    <row r="1632" spans="1:6">
      <c r="A1632" t="s">
        <v>6</v>
      </c>
      <c r="B1632" s="1">
        <v>45848.306064814817</v>
      </c>
      <c r="C1632">
        <v>30002</v>
      </c>
      <c r="D1632" t="s">
        <v>7</v>
      </c>
      <c r="E1632" t="s">
        <v>187</v>
      </c>
      <c r="F1632" t="s">
        <v>31</v>
      </c>
    </row>
    <row r="1633" spans="1:6">
      <c r="A1633" t="s">
        <v>6</v>
      </c>
      <c r="B1633" s="1">
        <v>45848.305856481478</v>
      </c>
      <c r="C1633">
        <v>30002</v>
      </c>
      <c r="D1633" t="s">
        <v>7</v>
      </c>
      <c r="E1633" t="s">
        <v>187</v>
      </c>
      <c r="F1633" t="s">
        <v>31</v>
      </c>
    </row>
    <row r="1634" spans="1:6">
      <c r="A1634" t="s">
        <v>6</v>
      </c>
      <c r="B1634" s="1">
        <v>45848.304236111115</v>
      </c>
      <c r="C1634">
        <v>30002</v>
      </c>
      <c r="D1634" t="s">
        <v>7</v>
      </c>
      <c r="E1634" t="s">
        <v>187</v>
      </c>
      <c r="F1634" t="s">
        <v>31</v>
      </c>
    </row>
    <row r="1635" spans="1:6">
      <c r="A1635" t="s">
        <v>6</v>
      </c>
      <c r="B1635" s="1">
        <v>45868.948981481481</v>
      </c>
      <c r="C1635">
        <v>30002</v>
      </c>
      <c r="D1635" t="s">
        <v>7</v>
      </c>
      <c r="E1635" t="s">
        <v>188</v>
      </c>
      <c r="F1635" t="s">
        <v>189</v>
      </c>
    </row>
    <row r="1636" spans="1:6">
      <c r="A1636" t="s">
        <v>6</v>
      </c>
      <c r="B1636" s="1">
        <v>45852.969907407409</v>
      </c>
      <c r="C1636">
        <v>30002</v>
      </c>
      <c r="D1636" t="s">
        <v>7</v>
      </c>
      <c r="E1636" t="s">
        <v>188</v>
      </c>
      <c r="F1636" t="s">
        <v>189</v>
      </c>
    </row>
    <row r="1637" spans="1:6">
      <c r="A1637" t="s">
        <v>6</v>
      </c>
      <c r="B1637" s="1">
        <v>45855.479988425926</v>
      </c>
      <c r="C1637">
        <v>30002</v>
      </c>
      <c r="D1637" t="s">
        <v>7</v>
      </c>
      <c r="E1637" t="s">
        <v>190</v>
      </c>
      <c r="F1637" t="s">
        <v>13</v>
      </c>
    </row>
    <row r="1638" spans="1:6">
      <c r="A1638" t="s">
        <v>6</v>
      </c>
      <c r="B1638" s="1">
        <v>45848.517951388887</v>
      </c>
      <c r="C1638">
        <v>30002</v>
      </c>
      <c r="D1638" t="s">
        <v>7</v>
      </c>
      <c r="E1638" t="s">
        <v>190</v>
      </c>
      <c r="F1638" t="s">
        <v>13</v>
      </c>
    </row>
    <row r="1639" spans="1:6">
      <c r="A1639" t="s">
        <v>6</v>
      </c>
      <c r="B1639" s="1">
        <v>45848.510798611111</v>
      </c>
      <c r="C1639">
        <v>30002</v>
      </c>
      <c r="D1639" t="s">
        <v>7</v>
      </c>
      <c r="E1639" t="s">
        <v>190</v>
      </c>
      <c r="F1639" t="s">
        <v>13</v>
      </c>
    </row>
    <row r="1640" spans="1:6">
      <c r="A1640" t="s">
        <v>6</v>
      </c>
      <c r="B1640" s="1">
        <v>45862.286423611113</v>
      </c>
      <c r="C1640">
        <v>30002</v>
      </c>
      <c r="D1640" t="s">
        <v>7</v>
      </c>
      <c r="E1640" t="s">
        <v>190</v>
      </c>
      <c r="F1640" t="s">
        <v>19</v>
      </c>
    </row>
    <row r="1641" spans="1:6">
      <c r="A1641" t="s">
        <v>6</v>
      </c>
      <c r="B1641" s="1">
        <v>45840.27952546296</v>
      </c>
      <c r="C1641">
        <v>30002</v>
      </c>
      <c r="D1641" t="s">
        <v>7</v>
      </c>
      <c r="E1641" t="s">
        <v>190</v>
      </c>
      <c r="F1641" t="s">
        <v>19</v>
      </c>
    </row>
    <row r="1642" spans="1:6">
      <c r="A1642" t="s">
        <v>6</v>
      </c>
      <c r="B1642" s="1">
        <v>45869.351099537038</v>
      </c>
      <c r="C1642">
        <v>30002</v>
      </c>
      <c r="D1642" t="s">
        <v>7</v>
      </c>
      <c r="E1642" t="s">
        <v>190</v>
      </c>
      <c r="F1642" t="s">
        <v>23</v>
      </c>
    </row>
    <row r="1643" spans="1:6">
      <c r="A1643" t="s">
        <v>6</v>
      </c>
      <c r="B1643" s="1">
        <v>45868.367743055554</v>
      </c>
      <c r="C1643">
        <v>30002</v>
      </c>
      <c r="D1643" t="s">
        <v>7</v>
      </c>
      <c r="E1643" t="s">
        <v>190</v>
      </c>
      <c r="F1643" t="s">
        <v>23</v>
      </c>
    </row>
    <row r="1644" spans="1:6">
      <c r="A1644" t="s">
        <v>6</v>
      </c>
      <c r="B1644" s="1">
        <v>45846.838333333333</v>
      </c>
      <c r="C1644">
        <v>30002</v>
      </c>
      <c r="D1644" t="s">
        <v>7</v>
      </c>
      <c r="E1644" t="s">
        <v>190</v>
      </c>
      <c r="F1644" t="s">
        <v>38</v>
      </c>
    </row>
    <row r="1645" spans="1:6">
      <c r="A1645" t="s">
        <v>6</v>
      </c>
      <c r="B1645" s="1">
        <v>45867.639004629629</v>
      </c>
      <c r="C1645">
        <v>30002</v>
      </c>
      <c r="D1645" t="s">
        <v>7</v>
      </c>
      <c r="E1645" t="s">
        <v>190</v>
      </c>
      <c r="F1645" t="s">
        <v>24</v>
      </c>
    </row>
    <row r="1646" spans="1:6">
      <c r="A1646" t="s">
        <v>6</v>
      </c>
      <c r="B1646" s="1">
        <v>45853.570937500001</v>
      </c>
      <c r="C1646">
        <v>30002</v>
      </c>
      <c r="D1646" t="s">
        <v>7</v>
      </c>
      <c r="E1646" t="s">
        <v>190</v>
      </c>
      <c r="F1646" t="s">
        <v>24</v>
      </c>
    </row>
    <row r="1647" spans="1:6">
      <c r="A1647" t="s">
        <v>6</v>
      </c>
      <c r="B1647" s="1">
        <v>45853.570590277777</v>
      </c>
      <c r="C1647">
        <v>30002</v>
      </c>
      <c r="D1647" t="s">
        <v>7</v>
      </c>
      <c r="E1647" t="s">
        <v>190</v>
      </c>
      <c r="F1647" t="s">
        <v>24</v>
      </c>
    </row>
    <row r="1648" spans="1:6">
      <c r="A1648" t="s">
        <v>6</v>
      </c>
      <c r="B1648" s="1">
        <v>45867.47078703704</v>
      </c>
      <c r="C1648">
        <v>30002</v>
      </c>
      <c r="D1648" t="s">
        <v>7</v>
      </c>
      <c r="E1648" t="s">
        <v>190</v>
      </c>
      <c r="F1648" t="s">
        <v>97</v>
      </c>
    </row>
    <row r="1649" spans="1:6">
      <c r="A1649" t="s">
        <v>6</v>
      </c>
      <c r="B1649" s="1">
        <v>45866.53197916667</v>
      </c>
      <c r="C1649">
        <v>30002</v>
      </c>
      <c r="D1649" t="s">
        <v>7</v>
      </c>
      <c r="E1649" t="s">
        <v>190</v>
      </c>
      <c r="F1649" t="s">
        <v>97</v>
      </c>
    </row>
    <row r="1650" spans="1:6">
      <c r="A1650" t="s">
        <v>6</v>
      </c>
      <c r="B1650" s="1">
        <v>45866.52716435185</v>
      </c>
      <c r="C1650">
        <v>30002</v>
      </c>
      <c r="D1650" t="s">
        <v>7</v>
      </c>
      <c r="E1650" t="s">
        <v>190</v>
      </c>
      <c r="F1650" t="s">
        <v>97</v>
      </c>
    </row>
    <row r="1651" spans="1:6">
      <c r="A1651" t="s">
        <v>6</v>
      </c>
      <c r="B1651" s="1">
        <v>45866.504328703704</v>
      </c>
      <c r="C1651">
        <v>30002</v>
      </c>
      <c r="D1651" t="s">
        <v>7</v>
      </c>
      <c r="E1651" t="s">
        <v>190</v>
      </c>
      <c r="F1651" t="s">
        <v>97</v>
      </c>
    </row>
    <row r="1652" spans="1:6">
      <c r="A1652" t="s">
        <v>6</v>
      </c>
      <c r="B1652" s="1">
        <v>45866.486273148148</v>
      </c>
      <c r="C1652">
        <v>30002</v>
      </c>
      <c r="D1652" t="s">
        <v>7</v>
      </c>
      <c r="E1652" t="s">
        <v>190</v>
      </c>
      <c r="F1652" t="s">
        <v>97</v>
      </c>
    </row>
    <row r="1653" spans="1:6">
      <c r="A1653" t="s">
        <v>6</v>
      </c>
      <c r="B1653" s="1">
        <v>45866.485625000001</v>
      </c>
      <c r="C1653">
        <v>30002</v>
      </c>
      <c r="D1653" t="s">
        <v>7</v>
      </c>
      <c r="E1653" t="s">
        <v>190</v>
      </c>
      <c r="F1653" t="s">
        <v>97</v>
      </c>
    </row>
    <row r="1654" spans="1:6">
      <c r="A1654" t="s">
        <v>6</v>
      </c>
      <c r="B1654" s="1">
        <v>45866.478692129633</v>
      </c>
      <c r="C1654">
        <v>30002</v>
      </c>
      <c r="D1654" t="s">
        <v>7</v>
      </c>
      <c r="E1654" t="s">
        <v>190</v>
      </c>
      <c r="F1654" t="s">
        <v>97</v>
      </c>
    </row>
    <row r="1655" spans="1:6">
      <c r="A1655" t="s">
        <v>6</v>
      </c>
      <c r="B1655" s="1">
        <v>45849.304328703707</v>
      </c>
      <c r="C1655">
        <v>30002</v>
      </c>
      <c r="D1655" t="s">
        <v>7</v>
      </c>
      <c r="E1655" t="s">
        <v>190</v>
      </c>
      <c r="F1655" t="s">
        <v>97</v>
      </c>
    </row>
    <row r="1656" spans="1:6">
      <c r="A1656" t="s">
        <v>6</v>
      </c>
      <c r="B1656" s="1">
        <v>45848.480358796296</v>
      </c>
      <c r="C1656">
        <v>30002</v>
      </c>
      <c r="D1656" t="s">
        <v>7</v>
      </c>
      <c r="E1656" t="s">
        <v>190</v>
      </c>
      <c r="F1656" t="s">
        <v>97</v>
      </c>
    </row>
    <row r="1657" spans="1:6">
      <c r="A1657" t="s">
        <v>6</v>
      </c>
      <c r="B1657" s="1">
        <v>45848.3049537037</v>
      </c>
      <c r="C1657">
        <v>30002</v>
      </c>
      <c r="D1657" t="s">
        <v>7</v>
      </c>
      <c r="E1657" t="s">
        <v>190</v>
      </c>
      <c r="F1657" t="s">
        <v>97</v>
      </c>
    </row>
    <row r="1658" spans="1:6">
      <c r="A1658" t="s">
        <v>6</v>
      </c>
      <c r="B1658" s="1">
        <v>45848.300810185188</v>
      </c>
      <c r="C1658">
        <v>30002</v>
      </c>
      <c r="D1658" t="s">
        <v>7</v>
      </c>
      <c r="E1658" t="s">
        <v>190</v>
      </c>
      <c r="F1658" t="s">
        <v>97</v>
      </c>
    </row>
    <row r="1659" spans="1:6">
      <c r="A1659" t="s">
        <v>6</v>
      </c>
      <c r="B1659" s="1">
        <v>45846.729212962964</v>
      </c>
      <c r="C1659">
        <v>30002</v>
      </c>
      <c r="D1659" t="s">
        <v>7</v>
      </c>
      <c r="E1659" t="s">
        <v>190</v>
      </c>
      <c r="F1659" t="s">
        <v>97</v>
      </c>
    </row>
    <row r="1660" spans="1:6">
      <c r="A1660" t="s">
        <v>6</v>
      </c>
      <c r="B1660" s="1">
        <v>45846.726817129631</v>
      </c>
      <c r="C1660">
        <v>30002</v>
      </c>
      <c r="D1660" t="s">
        <v>7</v>
      </c>
      <c r="E1660" t="s">
        <v>190</v>
      </c>
      <c r="F1660" t="s">
        <v>97</v>
      </c>
    </row>
    <row r="1661" spans="1:6">
      <c r="A1661" t="s">
        <v>6</v>
      </c>
      <c r="B1661" s="1">
        <v>45846.721516203703</v>
      </c>
      <c r="C1661">
        <v>30002</v>
      </c>
      <c r="D1661" t="s">
        <v>7</v>
      </c>
      <c r="E1661" t="s">
        <v>190</v>
      </c>
      <c r="F1661" t="s">
        <v>97</v>
      </c>
    </row>
    <row r="1662" spans="1:6">
      <c r="A1662" t="s">
        <v>6</v>
      </c>
      <c r="B1662" s="1">
        <v>45846.716111111113</v>
      </c>
      <c r="C1662">
        <v>30002</v>
      </c>
      <c r="D1662" t="s">
        <v>7</v>
      </c>
      <c r="E1662" t="s">
        <v>190</v>
      </c>
      <c r="F1662" t="s">
        <v>97</v>
      </c>
    </row>
    <row r="1663" spans="1:6">
      <c r="A1663" t="s">
        <v>6</v>
      </c>
      <c r="B1663" s="1">
        <v>45846.712384259263</v>
      </c>
      <c r="C1663">
        <v>30002</v>
      </c>
      <c r="D1663" t="s">
        <v>7</v>
      </c>
      <c r="E1663" t="s">
        <v>190</v>
      </c>
      <c r="F1663" t="s">
        <v>97</v>
      </c>
    </row>
    <row r="1664" spans="1:6">
      <c r="A1664" t="s">
        <v>6</v>
      </c>
      <c r="B1664" s="1">
        <v>45846.712152777778</v>
      </c>
      <c r="C1664">
        <v>30002</v>
      </c>
      <c r="D1664" t="s">
        <v>7</v>
      </c>
      <c r="E1664" t="s">
        <v>190</v>
      </c>
      <c r="F1664" t="s">
        <v>97</v>
      </c>
    </row>
    <row r="1665" spans="1:6">
      <c r="A1665" t="s">
        <v>6</v>
      </c>
      <c r="B1665" s="1">
        <v>45846.689710648148</v>
      </c>
      <c r="C1665">
        <v>30002</v>
      </c>
      <c r="D1665" t="s">
        <v>7</v>
      </c>
      <c r="E1665" t="s">
        <v>190</v>
      </c>
      <c r="F1665" t="s">
        <v>97</v>
      </c>
    </row>
    <row r="1666" spans="1:6">
      <c r="A1666" t="s">
        <v>6</v>
      </c>
      <c r="B1666" s="1">
        <v>45846.683506944442</v>
      </c>
      <c r="C1666">
        <v>30002</v>
      </c>
      <c r="D1666" t="s">
        <v>7</v>
      </c>
      <c r="E1666" t="s">
        <v>190</v>
      </c>
      <c r="F1666" t="s">
        <v>97</v>
      </c>
    </row>
    <row r="1667" spans="1:6">
      <c r="A1667" t="s">
        <v>6</v>
      </c>
      <c r="B1667" s="1">
        <v>45846.679247685184</v>
      </c>
      <c r="C1667">
        <v>30002</v>
      </c>
      <c r="D1667" t="s">
        <v>7</v>
      </c>
      <c r="E1667" t="s">
        <v>190</v>
      </c>
      <c r="F1667" t="s">
        <v>97</v>
      </c>
    </row>
    <row r="1668" spans="1:6">
      <c r="A1668" t="s">
        <v>6</v>
      </c>
      <c r="B1668" s="1">
        <v>45846.674791666665</v>
      </c>
      <c r="C1668">
        <v>30002</v>
      </c>
      <c r="D1668" t="s">
        <v>7</v>
      </c>
      <c r="E1668" t="s">
        <v>190</v>
      </c>
      <c r="F1668" t="s">
        <v>97</v>
      </c>
    </row>
    <row r="1669" spans="1:6">
      <c r="A1669" t="s">
        <v>6</v>
      </c>
      <c r="B1669" s="1">
        <v>45846.670763888891</v>
      </c>
      <c r="C1669">
        <v>30002</v>
      </c>
      <c r="D1669" t="s">
        <v>7</v>
      </c>
      <c r="E1669" t="s">
        <v>190</v>
      </c>
      <c r="F1669" t="s">
        <v>97</v>
      </c>
    </row>
    <row r="1670" spans="1:6">
      <c r="A1670" t="s">
        <v>6</v>
      </c>
      <c r="B1670" s="1">
        <v>45841.426620370374</v>
      </c>
      <c r="C1670">
        <v>30002</v>
      </c>
      <c r="D1670" t="s">
        <v>7</v>
      </c>
      <c r="E1670" t="s">
        <v>190</v>
      </c>
      <c r="F1670" t="s">
        <v>97</v>
      </c>
    </row>
    <row r="1671" spans="1:6">
      <c r="A1671" t="s">
        <v>6</v>
      </c>
      <c r="B1671" s="1">
        <v>45852.359699074077</v>
      </c>
      <c r="C1671">
        <v>30002</v>
      </c>
      <c r="D1671" t="s">
        <v>7</v>
      </c>
      <c r="E1671" t="s">
        <v>190</v>
      </c>
      <c r="F1671" t="s">
        <v>11</v>
      </c>
    </row>
    <row r="1672" spans="1:6">
      <c r="A1672" t="s">
        <v>6</v>
      </c>
      <c r="B1672" s="1">
        <v>45849.321111111109</v>
      </c>
      <c r="C1672">
        <v>30002</v>
      </c>
      <c r="D1672" t="s">
        <v>7</v>
      </c>
      <c r="E1672" t="s">
        <v>191</v>
      </c>
      <c r="F1672" t="s">
        <v>97</v>
      </c>
    </row>
    <row r="1673" spans="1:6">
      <c r="A1673" t="s">
        <v>6</v>
      </c>
      <c r="B1673" s="1">
        <v>45849.311956018515</v>
      </c>
      <c r="C1673">
        <v>30002</v>
      </c>
      <c r="D1673" t="s">
        <v>7</v>
      </c>
      <c r="E1673" t="s">
        <v>191</v>
      </c>
      <c r="F1673" t="s">
        <v>97</v>
      </c>
    </row>
    <row r="1674" spans="1:6">
      <c r="A1674" t="s">
        <v>6</v>
      </c>
      <c r="B1674" s="1">
        <v>45848.488935185182</v>
      </c>
      <c r="C1674">
        <v>30002</v>
      </c>
      <c r="D1674" t="s">
        <v>7</v>
      </c>
      <c r="E1674" t="s">
        <v>191</v>
      </c>
      <c r="F1674" t="s">
        <v>97</v>
      </c>
    </row>
    <row r="1675" spans="1:6">
      <c r="A1675" t="s">
        <v>6</v>
      </c>
      <c r="B1675" s="1">
        <v>45848.306967592594</v>
      </c>
      <c r="C1675">
        <v>30002</v>
      </c>
      <c r="D1675" t="s">
        <v>7</v>
      </c>
      <c r="E1675" t="s">
        <v>191</v>
      </c>
      <c r="F1675" t="s">
        <v>97</v>
      </c>
    </row>
    <row r="1676" spans="1:6">
      <c r="A1676" t="s">
        <v>6</v>
      </c>
      <c r="B1676" s="1">
        <v>45846.720682870371</v>
      </c>
      <c r="C1676">
        <v>30002</v>
      </c>
      <c r="D1676" t="s">
        <v>7</v>
      </c>
      <c r="E1676" t="s">
        <v>191</v>
      </c>
      <c r="F1676" t="s">
        <v>97</v>
      </c>
    </row>
    <row r="1677" spans="1:6">
      <c r="A1677" t="s">
        <v>6</v>
      </c>
      <c r="B1677" s="1">
        <v>45846.682615740741</v>
      </c>
      <c r="C1677">
        <v>30002</v>
      </c>
      <c r="D1677" t="s">
        <v>7</v>
      </c>
      <c r="E1677" t="s">
        <v>191</v>
      </c>
      <c r="F1677" t="s">
        <v>97</v>
      </c>
    </row>
    <row r="1678" spans="1:6">
      <c r="A1678" t="s">
        <v>6</v>
      </c>
      <c r="B1678" s="1">
        <v>45859.413912037038</v>
      </c>
      <c r="C1678">
        <v>30002</v>
      </c>
      <c r="D1678" t="s">
        <v>7</v>
      </c>
      <c r="E1678" t="s">
        <v>192</v>
      </c>
      <c r="F1678" t="s">
        <v>13</v>
      </c>
    </row>
    <row r="1679" spans="1:6">
      <c r="A1679" t="s">
        <v>6</v>
      </c>
      <c r="B1679" s="1">
        <v>45859.413483796299</v>
      </c>
      <c r="C1679">
        <v>30002</v>
      </c>
      <c r="D1679" t="s">
        <v>7</v>
      </c>
      <c r="E1679" t="s">
        <v>192</v>
      </c>
      <c r="F1679" t="s">
        <v>13</v>
      </c>
    </row>
    <row r="1680" spans="1:6">
      <c r="A1680" t="s">
        <v>6</v>
      </c>
      <c r="B1680" s="1">
        <v>45853.517013888886</v>
      </c>
      <c r="C1680">
        <v>30002</v>
      </c>
      <c r="D1680" t="s">
        <v>7</v>
      </c>
      <c r="E1680" t="s">
        <v>192</v>
      </c>
      <c r="F1680" t="s">
        <v>13</v>
      </c>
    </row>
    <row r="1681" spans="1:6">
      <c r="A1681" t="s">
        <v>6</v>
      </c>
      <c r="B1681" s="1">
        <v>45853.504918981482</v>
      </c>
      <c r="C1681">
        <v>30002</v>
      </c>
      <c r="D1681" t="s">
        <v>7</v>
      </c>
      <c r="E1681" t="s">
        <v>192</v>
      </c>
      <c r="F1681" t="s">
        <v>13</v>
      </c>
    </row>
    <row r="1682" spans="1:6">
      <c r="A1682" t="s">
        <v>6</v>
      </c>
      <c r="B1682" s="1">
        <v>45853.503807870373</v>
      </c>
      <c r="C1682">
        <v>30002</v>
      </c>
      <c r="D1682" t="s">
        <v>7</v>
      </c>
      <c r="E1682" t="s">
        <v>192</v>
      </c>
      <c r="F1682" t="s">
        <v>13</v>
      </c>
    </row>
    <row r="1683" spans="1:6">
      <c r="A1683" t="s">
        <v>6</v>
      </c>
      <c r="B1683" s="1">
        <v>45856.450381944444</v>
      </c>
      <c r="C1683">
        <v>30002</v>
      </c>
      <c r="D1683" t="s">
        <v>7</v>
      </c>
      <c r="E1683" t="s">
        <v>193</v>
      </c>
      <c r="F1683" t="s">
        <v>36</v>
      </c>
    </row>
    <row r="1684" spans="1:6">
      <c r="A1684" t="s">
        <v>6</v>
      </c>
      <c r="B1684" s="1">
        <v>45859.78230324074</v>
      </c>
      <c r="C1684">
        <v>30002</v>
      </c>
      <c r="D1684" t="s">
        <v>7</v>
      </c>
      <c r="E1684" t="s">
        <v>194</v>
      </c>
      <c r="F1684" t="s">
        <v>19</v>
      </c>
    </row>
    <row r="1685" spans="1:6">
      <c r="A1685" t="s">
        <v>6</v>
      </c>
      <c r="B1685" s="1">
        <v>45846.248796296299</v>
      </c>
      <c r="C1685">
        <v>30002</v>
      </c>
      <c r="D1685" t="s">
        <v>7</v>
      </c>
      <c r="E1685" t="s">
        <v>194</v>
      </c>
      <c r="F1685" t="s">
        <v>19</v>
      </c>
    </row>
    <row r="1686" spans="1:6">
      <c r="A1686" t="s">
        <v>6</v>
      </c>
      <c r="B1686" s="1">
        <v>45846.24763888889</v>
      </c>
      <c r="C1686">
        <v>30002</v>
      </c>
      <c r="D1686" t="s">
        <v>7</v>
      </c>
      <c r="E1686" t="s">
        <v>194</v>
      </c>
      <c r="F1686" t="s">
        <v>19</v>
      </c>
    </row>
    <row r="1687" spans="1:6">
      <c r="A1687" t="s">
        <v>6</v>
      </c>
      <c r="B1687" s="1">
        <v>45841.581967592596</v>
      </c>
      <c r="C1687">
        <v>30002</v>
      </c>
      <c r="D1687" t="s">
        <v>7</v>
      </c>
      <c r="E1687" t="s">
        <v>194</v>
      </c>
      <c r="F1687" t="s">
        <v>19</v>
      </c>
    </row>
    <row r="1688" spans="1:6">
      <c r="A1688" t="s">
        <v>6</v>
      </c>
      <c r="B1688" s="1">
        <v>45840.284803240742</v>
      </c>
      <c r="C1688">
        <v>30002</v>
      </c>
      <c r="D1688" t="s">
        <v>7</v>
      </c>
      <c r="E1688" t="s">
        <v>194</v>
      </c>
      <c r="F1688" t="s">
        <v>19</v>
      </c>
    </row>
    <row r="1689" spans="1:6">
      <c r="A1689" t="s">
        <v>6</v>
      </c>
      <c r="B1689" s="1">
        <v>45840.209479166668</v>
      </c>
      <c r="C1689">
        <v>30002</v>
      </c>
      <c r="D1689" t="s">
        <v>7</v>
      </c>
      <c r="E1689" t="s">
        <v>194</v>
      </c>
      <c r="F1689" t="s">
        <v>19</v>
      </c>
    </row>
    <row r="1690" spans="1:6">
      <c r="A1690" t="s">
        <v>6</v>
      </c>
      <c r="B1690" s="1">
        <v>45846.586944444447</v>
      </c>
      <c r="C1690">
        <v>30002</v>
      </c>
      <c r="D1690" t="s">
        <v>7</v>
      </c>
      <c r="E1690" t="s">
        <v>195</v>
      </c>
      <c r="F1690" t="s">
        <v>196</v>
      </c>
    </row>
    <row r="1691" spans="1:6">
      <c r="A1691" t="s">
        <v>6</v>
      </c>
      <c r="B1691" s="1">
        <v>45846.582025462965</v>
      </c>
      <c r="C1691">
        <v>30002</v>
      </c>
      <c r="D1691" t="s">
        <v>7</v>
      </c>
      <c r="E1691" t="s">
        <v>195</v>
      </c>
      <c r="F1691" t="s">
        <v>196</v>
      </c>
    </row>
    <row r="1692" spans="1:6">
      <c r="A1692" t="s">
        <v>6</v>
      </c>
      <c r="B1692" s="1">
        <v>45867.384421296294</v>
      </c>
      <c r="C1692">
        <v>30002</v>
      </c>
      <c r="D1692" t="s">
        <v>7</v>
      </c>
      <c r="E1692" t="s">
        <v>195</v>
      </c>
      <c r="F1692" t="s">
        <v>15</v>
      </c>
    </row>
    <row r="1693" spans="1:6">
      <c r="A1693" t="s">
        <v>6</v>
      </c>
      <c r="B1693" s="1">
        <v>45861.439606481479</v>
      </c>
      <c r="C1693">
        <v>30002</v>
      </c>
      <c r="D1693" t="s">
        <v>7</v>
      </c>
      <c r="E1693" t="s">
        <v>195</v>
      </c>
      <c r="F1693" t="s">
        <v>15</v>
      </c>
    </row>
    <row r="1694" spans="1:6">
      <c r="A1694" t="s">
        <v>6</v>
      </c>
      <c r="B1694" s="1">
        <v>45852.380972222221</v>
      </c>
      <c r="C1694">
        <v>30002</v>
      </c>
      <c r="D1694" t="s">
        <v>7</v>
      </c>
      <c r="E1694" t="s">
        <v>195</v>
      </c>
      <c r="F1694" t="s">
        <v>15</v>
      </c>
    </row>
    <row r="1695" spans="1:6">
      <c r="A1695" t="s">
        <v>6</v>
      </c>
      <c r="B1695" s="1">
        <v>45839.465601851851</v>
      </c>
      <c r="C1695">
        <v>30002</v>
      </c>
      <c r="D1695" t="s">
        <v>7</v>
      </c>
      <c r="E1695" t="s">
        <v>197</v>
      </c>
      <c r="F1695" t="s">
        <v>146</v>
      </c>
    </row>
    <row r="1696" spans="1:6">
      <c r="A1696" t="s">
        <v>6</v>
      </c>
      <c r="B1696" s="1">
        <v>45852.266053240739</v>
      </c>
      <c r="C1696">
        <v>30002</v>
      </c>
      <c r="D1696" t="s">
        <v>7</v>
      </c>
      <c r="E1696" t="s">
        <v>198</v>
      </c>
      <c r="F1696" t="s">
        <v>19</v>
      </c>
    </row>
    <row r="1697" spans="1:6">
      <c r="A1697" t="s">
        <v>6</v>
      </c>
      <c r="B1697" s="1">
        <v>45840.524988425925</v>
      </c>
      <c r="C1697">
        <v>30002</v>
      </c>
      <c r="D1697" t="s">
        <v>7</v>
      </c>
      <c r="E1697" t="s">
        <v>199</v>
      </c>
      <c r="F1697" t="s">
        <v>101</v>
      </c>
    </row>
    <row r="1698" spans="1:6">
      <c r="A1698" t="s">
        <v>6</v>
      </c>
      <c r="B1698" s="1">
        <v>45840.517083333332</v>
      </c>
      <c r="C1698">
        <v>30002</v>
      </c>
      <c r="D1698" t="s">
        <v>7</v>
      </c>
      <c r="E1698" t="s">
        <v>199</v>
      </c>
      <c r="F1698" t="s">
        <v>101</v>
      </c>
    </row>
    <row r="1699" spans="1:6">
      <c r="A1699" t="s">
        <v>6</v>
      </c>
      <c r="B1699" s="1">
        <v>45840.512766203705</v>
      </c>
      <c r="C1699">
        <v>30002</v>
      </c>
      <c r="D1699" t="s">
        <v>7</v>
      </c>
      <c r="E1699" t="s">
        <v>199</v>
      </c>
      <c r="F1699" t="s">
        <v>101</v>
      </c>
    </row>
    <row r="1700" spans="1:6">
      <c r="A1700" t="s">
        <v>6</v>
      </c>
      <c r="B1700" s="1">
        <v>45840.512048611112</v>
      </c>
      <c r="C1700">
        <v>30002</v>
      </c>
      <c r="D1700" t="s">
        <v>7</v>
      </c>
      <c r="E1700" t="s">
        <v>199</v>
      </c>
      <c r="F1700" t="s">
        <v>101</v>
      </c>
    </row>
    <row r="1701" spans="1:6">
      <c r="A1701" t="s">
        <v>6</v>
      </c>
      <c r="B1701" s="1">
        <v>45840.511793981481</v>
      </c>
      <c r="C1701">
        <v>30002</v>
      </c>
      <c r="D1701" t="s">
        <v>7</v>
      </c>
      <c r="E1701" t="s">
        <v>199</v>
      </c>
      <c r="F1701" t="s">
        <v>101</v>
      </c>
    </row>
    <row r="1702" spans="1:6">
      <c r="A1702" t="s">
        <v>6</v>
      </c>
      <c r="B1702" s="1">
        <v>45867.496157407404</v>
      </c>
      <c r="C1702">
        <v>30002</v>
      </c>
      <c r="D1702" t="s">
        <v>7</v>
      </c>
      <c r="E1702" t="s">
        <v>199</v>
      </c>
      <c r="F1702" t="s">
        <v>13</v>
      </c>
    </row>
    <row r="1703" spans="1:6">
      <c r="A1703" t="s">
        <v>6</v>
      </c>
      <c r="B1703" s="1">
        <v>45867.450543981482</v>
      </c>
      <c r="C1703">
        <v>30002</v>
      </c>
      <c r="D1703" t="s">
        <v>7</v>
      </c>
      <c r="E1703" t="s">
        <v>199</v>
      </c>
      <c r="F1703" t="s">
        <v>13</v>
      </c>
    </row>
    <row r="1704" spans="1:6">
      <c r="A1704" t="s">
        <v>6</v>
      </c>
      <c r="B1704" s="1">
        <v>45867.437395833331</v>
      </c>
      <c r="C1704">
        <v>30002</v>
      </c>
      <c r="D1704" t="s">
        <v>7</v>
      </c>
      <c r="E1704" t="s">
        <v>199</v>
      </c>
      <c r="F1704" t="s">
        <v>13</v>
      </c>
    </row>
    <row r="1705" spans="1:6">
      <c r="A1705" t="s">
        <v>6</v>
      </c>
      <c r="B1705" s="1">
        <v>45867.423784722225</v>
      </c>
      <c r="C1705">
        <v>30002</v>
      </c>
      <c r="D1705" t="s">
        <v>7</v>
      </c>
      <c r="E1705" t="s">
        <v>199</v>
      </c>
      <c r="F1705" t="s">
        <v>13</v>
      </c>
    </row>
    <row r="1706" spans="1:6">
      <c r="A1706" t="s">
        <v>6</v>
      </c>
      <c r="B1706" s="1">
        <v>45867.417546296296</v>
      </c>
      <c r="C1706">
        <v>30002</v>
      </c>
      <c r="D1706" t="s">
        <v>7</v>
      </c>
      <c r="E1706" t="s">
        <v>199</v>
      </c>
      <c r="F1706" t="s">
        <v>13</v>
      </c>
    </row>
    <row r="1707" spans="1:6">
      <c r="A1707" t="s">
        <v>6</v>
      </c>
      <c r="B1707" s="1">
        <v>45867.416990740741</v>
      </c>
      <c r="C1707">
        <v>30002</v>
      </c>
      <c r="D1707" t="s">
        <v>7</v>
      </c>
      <c r="E1707" t="s">
        <v>199</v>
      </c>
      <c r="F1707" t="s">
        <v>13</v>
      </c>
    </row>
    <row r="1708" spans="1:6">
      <c r="A1708" t="s">
        <v>6</v>
      </c>
      <c r="B1708" s="1">
        <v>45867.404143518521</v>
      </c>
      <c r="C1708">
        <v>30002</v>
      </c>
      <c r="D1708" t="s">
        <v>7</v>
      </c>
      <c r="E1708" t="s">
        <v>199</v>
      </c>
      <c r="F1708" t="s">
        <v>13</v>
      </c>
    </row>
    <row r="1709" spans="1:6">
      <c r="A1709" t="s">
        <v>6</v>
      </c>
      <c r="B1709" s="1">
        <v>45867.400543981479</v>
      </c>
      <c r="C1709">
        <v>30002</v>
      </c>
      <c r="D1709" t="s">
        <v>7</v>
      </c>
      <c r="E1709" t="s">
        <v>199</v>
      </c>
      <c r="F1709" t="s">
        <v>13</v>
      </c>
    </row>
    <row r="1710" spans="1:6">
      <c r="A1710" t="s">
        <v>6</v>
      </c>
      <c r="B1710" s="1">
        <v>45867.399861111109</v>
      </c>
      <c r="C1710">
        <v>30002</v>
      </c>
      <c r="D1710" t="s">
        <v>7</v>
      </c>
      <c r="E1710" t="s">
        <v>199</v>
      </c>
      <c r="F1710" t="s">
        <v>13</v>
      </c>
    </row>
    <row r="1711" spans="1:6">
      <c r="A1711" t="s">
        <v>6</v>
      </c>
      <c r="B1711" s="1">
        <v>45867.399386574078</v>
      </c>
      <c r="C1711">
        <v>30002</v>
      </c>
      <c r="D1711" t="s">
        <v>7</v>
      </c>
      <c r="E1711" t="s">
        <v>199</v>
      </c>
      <c r="F1711" t="s">
        <v>13</v>
      </c>
    </row>
    <row r="1712" spans="1:6">
      <c r="A1712" t="s">
        <v>6</v>
      </c>
      <c r="B1712" s="1">
        <v>45866.401712962965</v>
      </c>
      <c r="C1712">
        <v>30002</v>
      </c>
      <c r="D1712" t="s">
        <v>7</v>
      </c>
      <c r="E1712" t="s">
        <v>199</v>
      </c>
      <c r="F1712" t="s">
        <v>13</v>
      </c>
    </row>
    <row r="1713" spans="1:6">
      <c r="A1713" t="s">
        <v>6</v>
      </c>
      <c r="B1713" s="1">
        <v>45855.486458333333</v>
      </c>
      <c r="C1713">
        <v>30002</v>
      </c>
      <c r="D1713" t="s">
        <v>7</v>
      </c>
      <c r="E1713" t="s">
        <v>199</v>
      </c>
      <c r="F1713" t="s">
        <v>13</v>
      </c>
    </row>
    <row r="1714" spans="1:6">
      <c r="A1714" t="s">
        <v>6</v>
      </c>
      <c r="B1714" s="1">
        <v>45855.486087962963</v>
      </c>
      <c r="C1714">
        <v>30002</v>
      </c>
      <c r="D1714" t="s">
        <v>7</v>
      </c>
      <c r="E1714" t="s">
        <v>199</v>
      </c>
      <c r="F1714" t="s">
        <v>13</v>
      </c>
    </row>
    <row r="1715" spans="1:6">
      <c r="A1715" t="s">
        <v>6</v>
      </c>
      <c r="B1715" s="1">
        <v>45855.48574074074</v>
      </c>
      <c r="C1715">
        <v>30002</v>
      </c>
      <c r="D1715" t="s">
        <v>7</v>
      </c>
      <c r="E1715" t="s">
        <v>199</v>
      </c>
      <c r="F1715" t="s">
        <v>13</v>
      </c>
    </row>
    <row r="1716" spans="1:6">
      <c r="A1716" t="s">
        <v>6</v>
      </c>
      <c r="B1716" s="1">
        <v>45855.485138888886</v>
      </c>
      <c r="C1716">
        <v>30002</v>
      </c>
      <c r="D1716" t="s">
        <v>7</v>
      </c>
      <c r="E1716" t="s">
        <v>199</v>
      </c>
      <c r="F1716" t="s">
        <v>13</v>
      </c>
    </row>
    <row r="1717" spans="1:6">
      <c r="A1717" t="s">
        <v>6</v>
      </c>
      <c r="B1717" s="1">
        <v>45855.484791666669</v>
      </c>
      <c r="C1717">
        <v>30002</v>
      </c>
      <c r="D1717" t="s">
        <v>7</v>
      </c>
      <c r="E1717" t="s">
        <v>199</v>
      </c>
      <c r="F1717" t="s">
        <v>13</v>
      </c>
    </row>
    <row r="1718" spans="1:6">
      <c r="A1718" t="s">
        <v>6</v>
      </c>
      <c r="B1718" s="1">
        <v>45855.484189814815</v>
      </c>
      <c r="C1718">
        <v>30002</v>
      </c>
      <c r="D1718" t="s">
        <v>7</v>
      </c>
      <c r="E1718" t="s">
        <v>199</v>
      </c>
      <c r="F1718" t="s">
        <v>13</v>
      </c>
    </row>
    <row r="1719" spans="1:6">
      <c r="A1719" t="s">
        <v>6</v>
      </c>
      <c r="B1719" s="1">
        <v>45855.483877314815</v>
      </c>
      <c r="C1719">
        <v>30002</v>
      </c>
      <c r="D1719" t="s">
        <v>7</v>
      </c>
      <c r="E1719" t="s">
        <v>199</v>
      </c>
      <c r="F1719" t="s">
        <v>13</v>
      </c>
    </row>
    <row r="1720" spans="1:6">
      <c r="A1720" t="s">
        <v>6</v>
      </c>
      <c r="B1720" s="1">
        <v>45855.483043981483</v>
      </c>
      <c r="C1720">
        <v>30002</v>
      </c>
      <c r="D1720" t="s">
        <v>7</v>
      </c>
      <c r="E1720" t="s">
        <v>199</v>
      </c>
      <c r="F1720" t="s">
        <v>13</v>
      </c>
    </row>
    <row r="1721" spans="1:6">
      <c r="A1721" t="s">
        <v>6</v>
      </c>
      <c r="B1721" s="1">
        <v>45855.482187499998</v>
      </c>
      <c r="C1721">
        <v>30002</v>
      </c>
      <c r="D1721" t="s">
        <v>7</v>
      </c>
      <c r="E1721" t="s">
        <v>199</v>
      </c>
      <c r="F1721" t="s">
        <v>13</v>
      </c>
    </row>
    <row r="1722" spans="1:6">
      <c r="A1722" t="s">
        <v>6</v>
      </c>
      <c r="B1722" s="1">
        <v>45855.481226851851</v>
      </c>
      <c r="C1722">
        <v>30002</v>
      </c>
      <c r="D1722" t="s">
        <v>7</v>
      </c>
      <c r="E1722" t="s">
        <v>199</v>
      </c>
      <c r="F1722" t="s">
        <v>13</v>
      </c>
    </row>
    <row r="1723" spans="1:6">
      <c r="A1723" t="s">
        <v>6</v>
      </c>
      <c r="B1723" s="1">
        <v>45855.480891203704</v>
      </c>
      <c r="C1723">
        <v>30002</v>
      </c>
      <c r="D1723" t="s">
        <v>7</v>
      </c>
      <c r="E1723" t="s">
        <v>199</v>
      </c>
      <c r="F1723" t="s">
        <v>13</v>
      </c>
    </row>
    <row r="1724" spans="1:6">
      <c r="A1724" t="s">
        <v>6</v>
      </c>
      <c r="B1724" s="1">
        <v>45855.480312500003</v>
      </c>
      <c r="C1724">
        <v>30002</v>
      </c>
      <c r="D1724" t="s">
        <v>7</v>
      </c>
      <c r="E1724" t="s">
        <v>199</v>
      </c>
      <c r="F1724" t="s">
        <v>13</v>
      </c>
    </row>
    <row r="1725" spans="1:6">
      <c r="A1725" t="s">
        <v>6</v>
      </c>
      <c r="B1725" s="1">
        <v>45853.503344907411</v>
      </c>
      <c r="C1725">
        <v>30002</v>
      </c>
      <c r="D1725" t="s">
        <v>7</v>
      </c>
      <c r="E1725" t="s">
        <v>199</v>
      </c>
      <c r="F1725" t="s">
        <v>13</v>
      </c>
    </row>
    <row r="1726" spans="1:6">
      <c r="A1726" t="s">
        <v>6</v>
      </c>
      <c r="B1726" s="1">
        <v>45848.52789351852</v>
      </c>
      <c r="C1726">
        <v>30002</v>
      </c>
      <c r="D1726" t="s">
        <v>7</v>
      </c>
      <c r="E1726" t="s">
        <v>199</v>
      </c>
      <c r="F1726" t="s">
        <v>13</v>
      </c>
    </row>
    <row r="1727" spans="1:6">
      <c r="A1727" t="s">
        <v>6</v>
      </c>
      <c r="B1727" s="1">
        <v>45848.51871527778</v>
      </c>
      <c r="C1727">
        <v>30002</v>
      </c>
      <c r="D1727" t="s">
        <v>7</v>
      </c>
      <c r="E1727" t="s">
        <v>199</v>
      </c>
      <c r="F1727" t="s">
        <v>13</v>
      </c>
    </row>
    <row r="1728" spans="1:6">
      <c r="A1728" t="s">
        <v>6</v>
      </c>
      <c r="B1728" s="1">
        <v>45848.512453703705</v>
      </c>
      <c r="C1728">
        <v>30002</v>
      </c>
      <c r="D1728" t="s">
        <v>7</v>
      </c>
      <c r="E1728" t="s">
        <v>199</v>
      </c>
      <c r="F1728" t="s">
        <v>13</v>
      </c>
    </row>
    <row r="1729" spans="1:6">
      <c r="A1729" t="s">
        <v>6</v>
      </c>
      <c r="B1729" s="1">
        <v>45840.386284722219</v>
      </c>
      <c r="C1729">
        <v>30002</v>
      </c>
      <c r="D1729" t="s">
        <v>7</v>
      </c>
      <c r="E1729" t="s">
        <v>199</v>
      </c>
      <c r="F1729" t="s">
        <v>13</v>
      </c>
    </row>
    <row r="1730" spans="1:6">
      <c r="A1730" t="s">
        <v>6</v>
      </c>
      <c r="B1730" s="1">
        <v>45848.372511574074</v>
      </c>
      <c r="C1730">
        <v>30002</v>
      </c>
      <c r="D1730" t="s">
        <v>7</v>
      </c>
      <c r="E1730" t="s">
        <v>199</v>
      </c>
      <c r="F1730" t="s">
        <v>18</v>
      </c>
    </row>
    <row r="1731" spans="1:6">
      <c r="A1731" t="s">
        <v>6</v>
      </c>
      <c r="B1731" s="1">
        <v>45848.35528935185</v>
      </c>
      <c r="C1731">
        <v>30002</v>
      </c>
      <c r="D1731" t="s">
        <v>7</v>
      </c>
      <c r="E1731" t="s">
        <v>199</v>
      </c>
      <c r="F1731" t="s">
        <v>18</v>
      </c>
    </row>
    <row r="1732" spans="1:6">
      <c r="A1732" t="s">
        <v>6</v>
      </c>
      <c r="B1732" s="1">
        <v>45869.746990740743</v>
      </c>
      <c r="C1732">
        <v>30002</v>
      </c>
      <c r="D1732" t="s">
        <v>7</v>
      </c>
      <c r="E1732" t="s">
        <v>199</v>
      </c>
      <c r="F1732" t="s">
        <v>103</v>
      </c>
    </row>
    <row r="1733" spans="1:6">
      <c r="A1733" t="s">
        <v>6</v>
      </c>
      <c r="B1733" s="1">
        <v>45854.409375000003</v>
      </c>
      <c r="C1733">
        <v>30002</v>
      </c>
      <c r="D1733" t="s">
        <v>7</v>
      </c>
      <c r="E1733" t="s">
        <v>199</v>
      </c>
      <c r="F1733" t="s">
        <v>103</v>
      </c>
    </row>
    <row r="1734" spans="1:6">
      <c r="A1734" t="s">
        <v>6</v>
      </c>
      <c r="B1734" s="1">
        <v>45839.518553240741</v>
      </c>
      <c r="C1734">
        <v>30002</v>
      </c>
      <c r="D1734" t="s">
        <v>7</v>
      </c>
      <c r="E1734" t="s">
        <v>199</v>
      </c>
      <c r="F1734" t="s">
        <v>103</v>
      </c>
    </row>
    <row r="1735" spans="1:6">
      <c r="A1735" t="s">
        <v>6</v>
      </c>
      <c r="B1735" s="1">
        <v>45839.492719907408</v>
      </c>
      <c r="C1735">
        <v>30002</v>
      </c>
      <c r="D1735" t="s">
        <v>7</v>
      </c>
      <c r="E1735" t="s">
        <v>199</v>
      </c>
      <c r="F1735" t="s">
        <v>103</v>
      </c>
    </row>
    <row r="1736" spans="1:6">
      <c r="A1736" t="s">
        <v>6</v>
      </c>
      <c r="B1736" s="1">
        <v>45866.294722222221</v>
      </c>
      <c r="C1736">
        <v>30002</v>
      </c>
      <c r="D1736" t="s">
        <v>7</v>
      </c>
      <c r="E1736" t="s">
        <v>199</v>
      </c>
      <c r="F1736" t="s">
        <v>19</v>
      </c>
    </row>
    <row r="1737" spans="1:6">
      <c r="A1737" t="s">
        <v>6</v>
      </c>
      <c r="B1737" s="1">
        <v>45866.289386574077</v>
      </c>
      <c r="C1737">
        <v>30002</v>
      </c>
      <c r="D1737" t="s">
        <v>7</v>
      </c>
      <c r="E1737" t="s">
        <v>199</v>
      </c>
      <c r="F1737" t="s">
        <v>19</v>
      </c>
    </row>
    <row r="1738" spans="1:6">
      <c r="A1738" t="s">
        <v>6</v>
      </c>
      <c r="B1738" s="1">
        <v>45866.286539351851</v>
      </c>
      <c r="C1738">
        <v>30002</v>
      </c>
      <c r="D1738" t="s">
        <v>7</v>
      </c>
      <c r="E1738" t="s">
        <v>199</v>
      </c>
      <c r="F1738" t="s">
        <v>19</v>
      </c>
    </row>
    <row r="1739" spans="1:6">
      <c r="A1739" t="s">
        <v>6</v>
      </c>
      <c r="B1739" s="1">
        <v>45866.278993055559</v>
      </c>
      <c r="C1739">
        <v>30002</v>
      </c>
      <c r="D1739" t="s">
        <v>7</v>
      </c>
      <c r="E1739" t="s">
        <v>199</v>
      </c>
      <c r="F1739" t="s">
        <v>19</v>
      </c>
    </row>
    <row r="1740" spans="1:6">
      <c r="A1740" t="s">
        <v>6</v>
      </c>
      <c r="B1740" s="1">
        <v>45859.790578703702</v>
      </c>
      <c r="C1740">
        <v>30002</v>
      </c>
      <c r="D1740" t="s">
        <v>7</v>
      </c>
      <c r="E1740" t="s">
        <v>199</v>
      </c>
      <c r="F1740" t="s">
        <v>19</v>
      </c>
    </row>
    <row r="1741" spans="1:6">
      <c r="A1741" t="s">
        <v>6</v>
      </c>
      <c r="B1741" s="1">
        <v>45859.782592592594</v>
      </c>
      <c r="C1741">
        <v>30002</v>
      </c>
      <c r="D1741" t="s">
        <v>7</v>
      </c>
      <c r="E1741" t="s">
        <v>199</v>
      </c>
      <c r="F1741" t="s">
        <v>19</v>
      </c>
    </row>
    <row r="1742" spans="1:6">
      <c r="A1742" t="s">
        <v>6</v>
      </c>
      <c r="B1742" s="1">
        <v>45859.275358796294</v>
      </c>
      <c r="C1742">
        <v>30002</v>
      </c>
      <c r="D1742" t="s">
        <v>7</v>
      </c>
      <c r="E1742" t="s">
        <v>199</v>
      </c>
      <c r="F1742" t="s">
        <v>19</v>
      </c>
    </row>
    <row r="1743" spans="1:6">
      <c r="A1743" t="s">
        <v>6</v>
      </c>
      <c r="B1743" s="1">
        <v>45841.556550925925</v>
      </c>
      <c r="C1743">
        <v>30002</v>
      </c>
      <c r="D1743" t="s">
        <v>7</v>
      </c>
      <c r="E1743" t="s">
        <v>199</v>
      </c>
      <c r="F1743" t="s">
        <v>22</v>
      </c>
    </row>
    <row r="1744" spans="1:6">
      <c r="A1744" t="s">
        <v>6</v>
      </c>
      <c r="B1744" s="1">
        <v>45839.371828703705</v>
      </c>
      <c r="C1744">
        <v>30002</v>
      </c>
      <c r="D1744" t="s">
        <v>7</v>
      </c>
      <c r="E1744" t="s">
        <v>199</v>
      </c>
      <c r="F1744" t="s">
        <v>22</v>
      </c>
    </row>
    <row r="1745" spans="1:6">
      <c r="A1745" t="s">
        <v>6</v>
      </c>
      <c r="B1745" s="1">
        <v>45853.573645833334</v>
      </c>
      <c r="C1745">
        <v>30002</v>
      </c>
      <c r="D1745" t="s">
        <v>7</v>
      </c>
      <c r="E1745" t="s">
        <v>199</v>
      </c>
      <c r="F1745" t="s">
        <v>24</v>
      </c>
    </row>
    <row r="1746" spans="1:6">
      <c r="A1746" t="s">
        <v>6</v>
      </c>
      <c r="B1746" s="1">
        <v>45853.571828703702</v>
      </c>
      <c r="C1746">
        <v>30002</v>
      </c>
      <c r="D1746" t="s">
        <v>7</v>
      </c>
      <c r="E1746" t="s">
        <v>199</v>
      </c>
      <c r="F1746" t="s">
        <v>24</v>
      </c>
    </row>
    <row r="1747" spans="1:6">
      <c r="A1747" t="s">
        <v>6</v>
      </c>
      <c r="B1747" s="1">
        <v>45855.358252314814</v>
      </c>
      <c r="C1747">
        <v>30002</v>
      </c>
      <c r="D1747" t="s">
        <v>7</v>
      </c>
      <c r="E1747" t="s">
        <v>199</v>
      </c>
      <c r="F1747" t="s">
        <v>97</v>
      </c>
    </row>
    <row r="1748" spans="1:6">
      <c r="A1748" t="s">
        <v>6</v>
      </c>
      <c r="B1748" s="1">
        <v>45849.332233796296</v>
      </c>
      <c r="C1748">
        <v>30002</v>
      </c>
      <c r="D1748" t="s">
        <v>7</v>
      </c>
      <c r="E1748" t="s">
        <v>199</v>
      </c>
      <c r="F1748" t="s">
        <v>97</v>
      </c>
    </row>
    <row r="1749" spans="1:6">
      <c r="A1749" t="s">
        <v>6</v>
      </c>
      <c r="B1749" s="1">
        <v>45853.525069444448</v>
      </c>
      <c r="C1749">
        <v>30002</v>
      </c>
      <c r="D1749" t="s">
        <v>7</v>
      </c>
      <c r="E1749" t="s">
        <v>200</v>
      </c>
      <c r="F1749" t="s">
        <v>36</v>
      </c>
    </row>
    <row r="1750" spans="1:6">
      <c r="A1750" t="s">
        <v>6</v>
      </c>
      <c r="B1750" s="1">
        <v>45853.524988425925</v>
      </c>
      <c r="C1750">
        <v>30002</v>
      </c>
      <c r="D1750" t="s">
        <v>7</v>
      </c>
      <c r="E1750" t="s">
        <v>200</v>
      </c>
      <c r="F1750" t="s">
        <v>36</v>
      </c>
    </row>
    <row r="1751" spans="1:6">
      <c r="A1751" t="s">
        <v>6</v>
      </c>
      <c r="B1751" s="1">
        <v>45869.360081018516</v>
      </c>
      <c r="C1751">
        <v>30002</v>
      </c>
      <c r="D1751" t="s">
        <v>7</v>
      </c>
      <c r="E1751" t="s">
        <v>200</v>
      </c>
      <c r="F1751" t="s">
        <v>23</v>
      </c>
    </row>
    <row r="1752" spans="1:6">
      <c r="A1752" t="s">
        <v>6</v>
      </c>
      <c r="B1752" s="1">
        <v>45868.514664351853</v>
      </c>
      <c r="C1752">
        <v>30002</v>
      </c>
      <c r="D1752" t="s">
        <v>7</v>
      </c>
      <c r="E1752" t="s">
        <v>200</v>
      </c>
      <c r="F1752" t="s">
        <v>23</v>
      </c>
    </row>
    <row r="1753" spans="1:6">
      <c r="A1753" t="s">
        <v>6</v>
      </c>
      <c r="B1753" s="1">
        <v>45860.331296296295</v>
      </c>
      <c r="C1753">
        <v>30002</v>
      </c>
      <c r="D1753" t="s">
        <v>7</v>
      </c>
      <c r="E1753" t="s">
        <v>200</v>
      </c>
      <c r="F1753" t="s">
        <v>23</v>
      </c>
    </row>
    <row r="1754" spans="1:6">
      <c r="A1754" t="s">
        <v>6</v>
      </c>
      <c r="B1754" s="1">
        <v>45860.327430555553</v>
      </c>
      <c r="C1754">
        <v>30002</v>
      </c>
      <c r="D1754" t="s">
        <v>7</v>
      </c>
      <c r="E1754" t="s">
        <v>200</v>
      </c>
      <c r="F1754" t="s">
        <v>23</v>
      </c>
    </row>
    <row r="1755" spans="1:6">
      <c r="A1755" t="s">
        <v>6</v>
      </c>
      <c r="B1755" s="1">
        <v>45853.52171296296</v>
      </c>
      <c r="C1755">
        <v>30002</v>
      </c>
      <c r="D1755" t="s">
        <v>7</v>
      </c>
      <c r="E1755" t="s">
        <v>201</v>
      </c>
      <c r="F1755" t="s">
        <v>36</v>
      </c>
    </row>
    <row r="1756" spans="1:6">
      <c r="A1756" t="s">
        <v>6</v>
      </c>
      <c r="B1756" s="1">
        <v>45863.248090277775</v>
      </c>
      <c r="C1756">
        <v>30002</v>
      </c>
      <c r="D1756" t="s">
        <v>7</v>
      </c>
      <c r="E1756" t="s">
        <v>202</v>
      </c>
      <c r="F1756" t="s">
        <v>25</v>
      </c>
    </row>
    <row r="1757" spans="1:6">
      <c r="A1757" t="s">
        <v>6</v>
      </c>
      <c r="B1757" s="1">
        <v>45863.244166666664</v>
      </c>
      <c r="C1757">
        <v>30002</v>
      </c>
      <c r="D1757" t="s">
        <v>7</v>
      </c>
      <c r="E1757" t="s">
        <v>202</v>
      </c>
      <c r="F1757" t="s">
        <v>25</v>
      </c>
    </row>
    <row r="1758" spans="1:6">
      <c r="A1758" t="s">
        <v>6</v>
      </c>
      <c r="B1758" s="1">
        <v>45863.243981481479</v>
      </c>
      <c r="C1758">
        <v>30002</v>
      </c>
      <c r="D1758" t="s">
        <v>7</v>
      </c>
      <c r="E1758" t="s">
        <v>202</v>
      </c>
      <c r="F1758" t="s">
        <v>25</v>
      </c>
    </row>
    <row r="1759" spans="1:6">
      <c r="A1759" t="s">
        <v>6</v>
      </c>
      <c r="B1759" s="1">
        <v>45863.243761574071</v>
      </c>
      <c r="C1759">
        <v>30002</v>
      </c>
      <c r="D1759" t="s">
        <v>7</v>
      </c>
      <c r="E1759" t="s">
        <v>202</v>
      </c>
      <c r="F1759" t="s">
        <v>25</v>
      </c>
    </row>
    <row r="1760" spans="1:6">
      <c r="A1760" t="s">
        <v>6</v>
      </c>
      <c r="B1760" s="1">
        <v>45863.243518518517</v>
      </c>
      <c r="C1760">
        <v>30002</v>
      </c>
      <c r="D1760" t="s">
        <v>7</v>
      </c>
      <c r="E1760" t="s">
        <v>202</v>
      </c>
      <c r="F1760" t="s">
        <v>25</v>
      </c>
    </row>
    <row r="1761" spans="1:6">
      <c r="A1761" t="s">
        <v>6</v>
      </c>
      <c r="B1761" s="1">
        <v>45863.243391203701</v>
      </c>
      <c r="C1761">
        <v>30002</v>
      </c>
      <c r="D1761" t="s">
        <v>7</v>
      </c>
      <c r="E1761" t="s">
        <v>202</v>
      </c>
      <c r="F1761" t="s">
        <v>25</v>
      </c>
    </row>
    <row r="1762" spans="1:6">
      <c r="A1762" t="s">
        <v>6</v>
      </c>
      <c r="B1762" s="1">
        <v>45869.514976851853</v>
      </c>
      <c r="C1762">
        <v>30002</v>
      </c>
      <c r="D1762" t="s">
        <v>7</v>
      </c>
      <c r="E1762" t="s">
        <v>203</v>
      </c>
      <c r="F1762" t="s">
        <v>25</v>
      </c>
    </row>
    <row r="1763" spans="1:6">
      <c r="A1763" t="s">
        <v>6</v>
      </c>
      <c r="B1763" s="1">
        <v>45845.309837962966</v>
      </c>
      <c r="C1763">
        <v>30002</v>
      </c>
      <c r="D1763" t="s">
        <v>7</v>
      </c>
      <c r="E1763" t="s">
        <v>203</v>
      </c>
      <c r="F1763" t="s">
        <v>25</v>
      </c>
    </row>
    <row r="1764" spans="1:6">
      <c r="A1764" t="s">
        <v>6</v>
      </c>
      <c r="B1764" s="1">
        <v>45840.344687500001</v>
      </c>
      <c r="C1764">
        <v>30002</v>
      </c>
      <c r="D1764" t="s">
        <v>7</v>
      </c>
      <c r="E1764" t="s">
        <v>203</v>
      </c>
      <c r="F1764" t="s">
        <v>25</v>
      </c>
    </row>
    <row r="1765" spans="1:6">
      <c r="A1765" t="s">
        <v>6</v>
      </c>
      <c r="B1765" s="1">
        <v>45840.335474537038</v>
      </c>
      <c r="C1765">
        <v>30002</v>
      </c>
      <c r="D1765" t="s">
        <v>7</v>
      </c>
      <c r="E1765" t="s">
        <v>203</v>
      </c>
      <c r="F1765" t="s">
        <v>25</v>
      </c>
    </row>
    <row r="1766" spans="1:6">
      <c r="A1766" t="s">
        <v>6</v>
      </c>
      <c r="B1766" s="1">
        <v>45840.335243055553</v>
      </c>
      <c r="C1766">
        <v>30002</v>
      </c>
      <c r="D1766" t="s">
        <v>7</v>
      </c>
      <c r="E1766" t="s">
        <v>203</v>
      </c>
      <c r="F1766" t="s">
        <v>25</v>
      </c>
    </row>
    <row r="1767" spans="1:6">
      <c r="A1767" t="s">
        <v>6</v>
      </c>
      <c r="B1767" s="1">
        <v>45840.631944444445</v>
      </c>
      <c r="C1767">
        <v>30002</v>
      </c>
      <c r="D1767" t="s">
        <v>7</v>
      </c>
      <c r="E1767" t="s">
        <v>204</v>
      </c>
      <c r="F1767" t="s">
        <v>27</v>
      </c>
    </row>
    <row r="1768" spans="1:6">
      <c r="A1768" t="s">
        <v>6</v>
      </c>
      <c r="B1768" s="1">
        <v>45840.631655092591</v>
      </c>
      <c r="C1768">
        <v>30002</v>
      </c>
      <c r="D1768" t="s">
        <v>7</v>
      </c>
      <c r="E1768" t="s">
        <v>204</v>
      </c>
      <c r="F1768" t="s">
        <v>27</v>
      </c>
    </row>
    <row r="1769" spans="1:6">
      <c r="A1769" t="s">
        <v>6</v>
      </c>
      <c r="B1769" s="1">
        <v>45840.633067129631</v>
      </c>
      <c r="C1769">
        <v>30002</v>
      </c>
      <c r="D1769" t="s">
        <v>7</v>
      </c>
      <c r="E1769" t="s">
        <v>205</v>
      </c>
      <c r="F1769" t="s">
        <v>27</v>
      </c>
    </row>
    <row r="1770" spans="1:6">
      <c r="A1770" t="s">
        <v>6</v>
      </c>
      <c r="B1770" s="1">
        <v>45840.632199074076</v>
      </c>
      <c r="C1770">
        <v>30002</v>
      </c>
      <c r="D1770" t="s">
        <v>7</v>
      </c>
      <c r="E1770" t="s">
        <v>205</v>
      </c>
      <c r="F1770" t="s">
        <v>27</v>
      </c>
    </row>
    <row r="1771" spans="1:6">
      <c r="A1771" t="s">
        <v>6</v>
      </c>
      <c r="B1771" s="1">
        <v>45840.590856481482</v>
      </c>
      <c r="C1771">
        <v>30002</v>
      </c>
      <c r="D1771" t="s">
        <v>7</v>
      </c>
      <c r="E1771" t="s">
        <v>206</v>
      </c>
      <c r="F1771" t="s">
        <v>15</v>
      </c>
    </row>
    <row r="1772" spans="1:6">
      <c r="A1772" t="s">
        <v>6</v>
      </c>
      <c r="B1772" s="1">
        <v>45868.415000000001</v>
      </c>
      <c r="C1772">
        <v>30002</v>
      </c>
      <c r="D1772" t="s">
        <v>7</v>
      </c>
      <c r="E1772" t="s">
        <v>207</v>
      </c>
      <c r="F1772" t="s">
        <v>208</v>
      </c>
    </row>
    <row r="1773" spans="1:6">
      <c r="A1773" t="s">
        <v>6</v>
      </c>
      <c r="B1773" s="1">
        <v>45861.538530092592</v>
      </c>
      <c r="C1773">
        <v>30002</v>
      </c>
      <c r="D1773" t="s">
        <v>7</v>
      </c>
      <c r="E1773" t="s">
        <v>207</v>
      </c>
      <c r="F1773" t="s">
        <v>208</v>
      </c>
    </row>
    <row r="1774" spans="1:6">
      <c r="A1774" t="s">
        <v>6</v>
      </c>
      <c r="B1774" s="1">
        <v>45839.609606481485</v>
      </c>
      <c r="C1774">
        <v>30002</v>
      </c>
      <c r="D1774" t="s">
        <v>7</v>
      </c>
      <c r="E1774" t="s">
        <v>209</v>
      </c>
      <c r="F1774" t="s">
        <v>145</v>
      </c>
    </row>
    <row r="1775" spans="1:6">
      <c r="A1775" t="s">
        <v>6</v>
      </c>
      <c r="B1775" s="1">
        <v>45839.608252314814</v>
      </c>
      <c r="C1775">
        <v>30002</v>
      </c>
      <c r="D1775" t="s">
        <v>7</v>
      </c>
      <c r="E1775" t="s">
        <v>209</v>
      </c>
      <c r="F1775" t="s">
        <v>145</v>
      </c>
    </row>
    <row r="1776" spans="1:6">
      <c r="A1776" t="s">
        <v>6</v>
      </c>
      <c r="B1776" s="1">
        <v>45839.607210648152</v>
      </c>
      <c r="C1776">
        <v>30002</v>
      </c>
      <c r="D1776" t="s">
        <v>7</v>
      </c>
      <c r="E1776" t="s">
        <v>209</v>
      </c>
      <c r="F1776" t="s">
        <v>145</v>
      </c>
    </row>
    <row r="1777" spans="1:6">
      <c r="A1777" t="s">
        <v>6</v>
      </c>
      <c r="B1777" s="1">
        <v>45839.604016203702</v>
      </c>
      <c r="C1777">
        <v>30002</v>
      </c>
      <c r="D1777" t="s">
        <v>7</v>
      </c>
      <c r="E1777" t="s">
        <v>209</v>
      </c>
      <c r="F1777" t="s">
        <v>145</v>
      </c>
    </row>
    <row r="1778" spans="1:6">
      <c r="A1778" t="s">
        <v>6</v>
      </c>
      <c r="B1778" s="1">
        <v>45839.601331018515</v>
      </c>
      <c r="C1778">
        <v>30002</v>
      </c>
      <c r="D1778" t="s">
        <v>7</v>
      </c>
      <c r="E1778" t="s">
        <v>210</v>
      </c>
      <c r="F1778" t="s">
        <v>145</v>
      </c>
    </row>
    <row r="1779" spans="1:6">
      <c r="A1779" t="s">
        <v>6</v>
      </c>
      <c r="B1779" s="1">
        <v>45839.599259259259</v>
      </c>
      <c r="C1779">
        <v>30002</v>
      </c>
      <c r="D1779" t="s">
        <v>7</v>
      </c>
      <c r="E1779" t="s">
        <v>210</v>
      </c>
      <c r="F1779" t="s">
        <v>145</v>
      </c>
    </row>
    <row r="1780" spans="1:6">
      <c r="A1780" t="s">
        <v>6</v>
      </c>
      <c r="B1780" s="1">
        <v>45839.612187500003</v>
      </c>
      <c r="C1780">
        <v>30002</v>
      </c>
      <c r="D1780" t="s">
        <v>7</v>
      </c>
      <c r="E1780" t="s">
        <v>211</v>
      </c>
      <c r="F1780" t="s">
        <v>145</v>
      </c>
    </row>
    <row r="1781" spans="1:6">
      <c r="A1781" t="s">
        <v>6</v>
      </c>
      <c r="B1781" s="1">
        <v>45839.616018518522</v>
      </c>
      <c r="C1781">
        <v>30002</v>
      </c>
      <c r="D1781" t="s">
        <v>7</v>
      </c>
      <c r="E1781" t="s">
        <v>212</v>
      </c>
      <c r="F1781" t="s">
        <v>145</v>
      </c>
    </row>
    <row r="1782" spans="1:6">
      <c r="A1782" t="s">
        <v>6</v>
      </c>
      <c r="B1782" s="1">
        <v>45839.607557870368</v>
      </c>
      <c r="C1782">
        <v>30002</v>
      </c>
      <c r="D1782" t="s">
        <v>7</v>
      </c>
      <c r="E1782" t="s">
        <v>213</v>
      </c>
      <c r="F1782" t="s">
        <v>27</v>
      </c>
    </row>
    <row r="1783" spans="1:6">
      <c r="A1783" t="s">
        <v>6</v>
      </c>
      <c r="B1783" s="1">
        <v>45839.285937499997</v>
      </c>
      <c r="C1783">
        <v>30002</v>
      </c>
      <c r="D1783" t="s">
        <v>7</v>
      </c>
      <c r="E1783" t="s">
        <v>214</v>
      </c>
      <c r="F1783" t="s">
        <v>97</v>
      </c>
    </row>
    <row r="1784" spans="1:6">
      <c r="A1784" t="s">
        <v>6</v>
      </c>
      <c r="B1784" s="1">
        <v>45839.282673611109</v>
      </c>
      <c r="C1784">
        <v>30002</v>
      </c>
      <c r="D1784" t="s">
        <v>7</v>
      </c>
      <c r="E1784" t="s">
        <v>214</v>
      </c>
      <c r="F1784" t="s">
        <v>97</v>
      </c>
    </row>
    <row r="1785" spans="1:6">
      <c r="A1785" t="s">
        <v>6</v>
      </c>
      <c r="B1785" s="1">
        <v>45841.330381944441</v>
      </c>
      <c r="C1785">
        <v>30002</v>
      </c>
      <c r="D1785" t="s">
        <v>7</v>
      </c>
      <c r="E1785" t="s">
        <v>215</v>
      </c>
      <c r="F1785" t="s">
        <v>9</v>
      </c>
    </row>
    <row r="1786" spans="1:6">
      <c r="A1786" t="s">
        <v>6</v>
      </c>
      <c r="B1786" s="1">
        <v>45841.329652777778</v>
      </c>
      <c r="C1786">
        <v>30002</v>
      </c>
      <c r="D1786" t="s">
        <v>7</v>
      </c>
      <c r="E1786" t="s">
        <v>215</v>
      </c>
      <c r="F1786" t="s">
        <v>9</v>
      </c>
    </row>
    <row r="1787" spans="1:6">
      <c r="A1787" t="s">
        <v>6</v>
      </c>
      <c r="B1787" s="1">
        <v>45841.325104166666</v>
      </c>
      <c r="C1787">
        <v>30002</v>
      </c>
      <c r="D1787" t="s">
        <v>7</v>
      </c>
      <c r="E1787" t="s">
        <v>215</v>
      </c>
      <c r="F1787" t="s">
        <v>9</v>
      </c>
    </row>
    <row r="1788" spans="1:6">
      <c r="A1788" t="s">
        <v>6</v>
      </c>
      <c r="B1788" s="1">
        <v>45840.371064814812</v>
      </c>
      <c r="C1788">
        <v>30002</v>
      </c>
      <c r="D1788" t="s">
        <v>7</v>
      </c>
      <c r="E1788" t="s">
        <v>216</v>
      </c>
      <c r="F1788" t="s">
        <v>27</v>
      </c>
    </row>
    <row r="1789" spans="1:6">
      <c r="A1789" t="s">
        <v>6</v>
      </c>
      <c r="B1789" s="1">
        <v>45840.319351851853</v>
      </c>
      <c r="C1789">
        <v>30002</v>
      </c>
      <c r="D1789" t="s">
        <v>7</v>
      </c>
      <c r="E1789" t="s">
        <v>217</v>
      </c>
      <c r="F1789" t="s">
        <v>11</v>
      </c>
    </row>
    <row r="1790" spans="1:6">
      <c r="A1790" t="s">
        <v>6</v>
      </c>
      <c r="B1790" s="1">
        <v>45839.581689814811</v>
      </c>
      <c r="C1790">
        <v>30002</v>
      </c>
      <c r="D1790" t="s">
        <v>7</v>
      </c>
      <c r="E1790" t="s">
        <v>218</v>
      </c>
      <c r="F1790" t="s">
        <v>27</v>
      </c>
    </row>
    <row r="1791" spans="1:6">
      <c r="A1791" t="s">
        <v>6</v>
      </c>
      <c r="B1791" s="1">
        <v>45839.469814814816</v>
      </c>
      <c r="C1791">
        <v>30002</v>
      </c>
      <c r="D1791" t="s">
        <v>7</v>
      </c>
      <c r="E1791" t="s">
        <v>218</v>
      </c>
      <c r="F1791" t="s">
        <v>27</v>
      </c>
    </row>
    <row r="1792" spans="1:6">
      <c r="A1792" t="s">
        <v>6</v>
      </c>
      <c r="B1792" s="1">
        <v>45839.465428240743</v>
      </c>
      <c r="C1792">
        <v>30002</v>
      </c>
      <c r="D1792" t="s">
        <v>7</v>
      </c>
      <c r="E1792" t="s">
        <v>218</v>
      </c>
      <c r="F1792" t="s">
        <v>27</v>
      </c>
    </row>
    <row r="1793" spans="1:6">
      <c r="A1793" t="s">
        <v>6</v>
      </c>
      <c r="B1793" s="1">
        <v>45839.465266203704</v>
      </c>
      <c r="C1793">
        <v>30002</v>
      </c>
      <c r="D1793" t="s">
        <v>7</v>
      </c>
      <c r="E1793" t="s">
        <v>218</v>
      </c>
      <c r="F1793" t="s">
        <v>27</v>
      </c>
    </row>
    <row r="1794" spans="1:6">
      <c r="A1794" t="s">
        <v>6</v>
      </c>
      <c r="B1794" s="1">
        <v>45839.34547453704</v>
      </c>
      <c r="C1794">
        <v>30002</v>
      </c>
      <c r="D1794" t="s">
        <v>7</v>
      </c>
      <c r="E1794" t="s">
        <v>218</v>
      </c>
      <c r="F1794" t="s">
        <v>27</v>
      </c>
    </row>
    <row r="1795" spans="1:6">
      <c r="A1795" t="s">
        <v>6</v>
      </c>
      <c r="B1795" s="1">
        <v>45839.342974537038</v>
      </c>
      <c r="C1795">
        <v>30002</v>
      </c>
      <c r="D1795" t="s">
        <v>7</v>
      </c>
      <c r="E1795" t="s">
        <v>218</v>
      </c>
      <c r="F1795" t="s">
        <v>27</v>
      </c>
    </row>
    <row r="1796" spans="1:6">
      <c r="A1796" t="s">
        <v>6</v>
      </c>
      <c r="B1796" s="1">
        <v>45839.340983796297</v>
      </c>
      <c r="C1796">
        <v>30002</v>
      </c>
      <c r="D1796" t="s">
        <v>7</v>
      </c>
      <c r="E1796" t="s">
        <v>218</v>
      </c>
      <c r="F1796" t="s">
        <v>27</v>
      </c>
    </row>
    <row r="1797" spans="1:6">
      <c r="A1797" t="s">
        <v>6</v>
      </c>
      <c r="B1797" s="1">
        <v>45839.606469907405</v>
      </c>
      <c r="C1797">
        <v>30002</v>
      </c>
      <c r="D1797" t="s">
        <v>7</v>
      </c>
      <c r="E1797" t="s">
        <v>219</v>
      </c>
      <c r="F1797" t="s">
        <v>27</v>
      </c>
    </row>
    <row r="1798" spans="1:6">
      <c r="A1798" t="s">
        <v>6</v>
      </c>
      <c r="B1798" s="1">
        <v>45839.567719907405</v>
      </c>
      <c r="C1798">
        <v>30002</v>
      </c>
      <c r="D1798" t="s">
        <v>7</v>
      </c>
      <c r="E1798" t="s">
        <v>219</v>
      </c>
      <c r="F1798" t="s">
        <v>27</v>
      </c>
    </row>
    <row r="1799" spans="1:6">
      <c r="A1799" t="s">
        <v>6</v>
      </c>
      <c r="B1799" s="1">
        <v>45839.555254629631</v>
      </c>
      <c r="C1799">
        <v>30002</v>
      </c>
      <c r="D1799" t="s">
        <v>7</v>
      </c>
      <c r="E1799" t="s">
        <v>219</v>
      </c>
      <c r="F1799" t="s">
        <v>27</v>
      </c>
    </row>
    <row r="1800" spans="1:6">
      <c r="A1800" t="s">
        <v>6</v>
      </c>
      <c r="B1800" s="1">
        <v>45839.504363425927</v>
      </c>
      <c r="C1800">
        <v>30002</v>
      </c>
      <c r="D1800" t="s">
        <v>7</v>
      </c>
      <c r="E1800" t="s">
        <v>219</v>
      </c>
      <c r="F1800" t="s">
        <v>27</v>
      </c>
    </row>
    <row r="1801" spans="1:6">
      <c r="A1801" t="s">
        <v>6</v>
      </c>
      <c r="B1801" s="1">
        <v>45839.451111111113</v>
      </c>
      <c r="C1801">
        <v>30002</v>
      </c>
      <c r="D1801" t="s">
        <v>7</v>
      </c>
      <c r="E1801" t="s">
        <v>219</v>
      </c>
      <c r="F1801" t="s">
        <v>27</v>
      </c>
    </row>
    <row r="1802" spans="1:6">
      <c r="A1802" t="s">
        <v>6</v>
      </c>
      <c r="B1802" s="1">
        <v>45869.672847222224</v>
      </c>
      <c r="C1802">
        <v>30002</v>
      </c>
      <c r="D1802" t="s">
        <v>7</v>
      </c>
      <c r="E1802" t="s">
        <v>220</v>
      </c>
      <c r="F1802" t="s">
        <v>27</v>
      </c>
    </row>
    <row r="1803" spans="1:6">
      <c r="A1803" t="s">
        <v>6</v>
      </c>
      <c r="B1803" s="1">
        <v>45869.672303240739</v>
      </c>
      <c r="C1803">
        <v>30002</v>
      </c>
      <c r="D1803" t="s">
        <v>7</v>
      </c>
      <c r="E1803" t="s">
        <v>220</v>
      </c>
      <c r="F1803" t="s">
        <v>27</v>
      </c>
    </row>
    <row r="1804" spans="1:6">
      <c r="A1804" t="s">
        <v>6</v>
      </c>
      <c r="B1804" s="1">
        <v>45869.671793981484</v>
      </c>
      <c r="C1804">
        <v>30002</v>
      </c>
      <c r="D1804" t="s">
        <v>7</v>
      </c>
      <c r="E1804" t="s">
        <v>220</v>
      </c>
      <c r="F1804" t="s">
        <v>27</v>
      </c>
    </row>
    <row r="1805" spans="1:6">
      <c r="A1805" t="s">
        <v>6</v>
      </c>
      <c r="B1805" s="1">
        <v>45869.667523148149</v>
      </c>
      <c r="C1805">
        <v>30002</v>
      </c>
      <c r="D1805" t="s">
        <v>7</v>
      </c>
      <c r="E1805" t="s">
        <v>220</v>
      </c>
      <c r="F1805" t="s">
        <v>27</v>
      </c>
    </row>
    <row r="1806" spans="1:6">
      <c r="A1806" t="s">
        <v>6</v>
      </c>
      <c r="B1806" s="1">
        <v>45866.325740740744</v>
      </c>
      <c r="C1806">
        <v>30002</v>
      </c>
      <c r="D1806" t="s">
        <v>7</v>
      </c>
      <c r="E1806" t="s">
        <v>220</v>
      </c>
      <c r="F1806" t="s">
        <v>27</v>
      </c>
    </row>
    <row r="1807" spans="1:6">
      <c r="A1807" t="s">
        <v>6</v>
      </c>
      <c r="B1807" s="1">
        <v>45839.596817129626</v>
      </c>
      <c r="C1807">
        <v>30002</v>
      </c>
      <c r="D1807" t="s">
        <v>7</v>
      </c>
      <c r="E1807" t="s">
        <v>220</v>
      </c>
      <c r="F1807" t="s">
        <v>27</v>
      </c>
    </row>
    <row r="1808" spans="1:6">
      <c r="A1808" t="s">
        <v>6</v>
      </c>
      <c r="B1808" s="1">
        <v>45839.590474537035</v>
      </c>
      <c r="C1808">
        <v>30002</v>
      </c>
      <c r="D1808" t="s">
        <v>7</v>
      </c>
      <c r="E1808" t="s">
        <v>220</v>
      </c>
      <c r="F1808" t="s">
        <v>27</v>
      </c>
    </row>
    <row r="1809" spans="1:6">
      <c r="A1809" t="s">
        <v>6</v>
      </c>
      <c r="B1809" s="1">
        <v>45839.582291666666</v>
      </c>
      <c r="C1809">
        <v>30002</v>
      </c>
      <c r="D1809" t="s">
        <v>7</v>
      </c>
      <c r="E1809" t="s">
        <v>220</v>
      </c>
      <c r="F1809" t="s">
        <v>27</v>
      </c>
    </row>
    <row r="1810" spans="1:6">
      <c r="A1810" t="s">
        <v>6</v>
      </c>
      <c r="B1810" s="1">
        <v>45839.560185185182</v>
      </c>
      <c r="C1810">
        <v>30002</v>
      </c>
      <c r="D1810" t="s">
        <v>7</v>
      </c>
      <c r="E1810" t="s">
        <v>220</v>
      </c>
      <c r="F1810" t="s">
        <v>27</v>
      </c>
    </row>
    <row r="1811" spans="1:6">
      <c r="A1811" t="s">
        <v>6</v>
      </c>
      <c r="B1811" s="1">
        <v>45839.486712962964</v>
      </c>
      <c r="C1811">
        <v>30002</v>
      </c>
      <c r="D1811" t="s">
        <v>7</v>
      </c>
      <c r="E1811" t="s">
        <v>220</v>
      </c>
      <c r="F1811" t="s">
        <v>27</v>
      </c>
    </row>
    <row r="1812" spans="1:6">
      <c r="A1812" t="s">
        <v>6</v>
      </c>
      <c r="B1812" s="1">
        <v>45839.338541666664</v>
      </c>
      <c r="C1812">
        <v>30002</v>
      </c>
      <c r="D1812" t="s">
        <v>7</v>
      </c>
      <c r="E1812" t="s">
        <v>220</v>
      </c>
      <c r="F1812" t="s">
        <v>27</v>
      </c>
    </row>
    <row r="1813" spans="1:6">
      <c r="A1813" t="s">
        <v>6</v>
      </c>
      <c r="B1813" s="1">
        <v>45846.581863425927</v>
      </c>
      <c r="C1813">
        <v>30002</v>
      </c>
      <c r="D1813" t="s">
        <v>7</v>
      </c>
      <c r="E1813" t="s">
        <v>221</v>
      </c>
      <c r="F1813" t="s">
        <v>196</v>
      </c>
    </row>
    <row r="1814" spans="1:6">
      <c r="A1814" t="s">
        <v>6</v>
      </c>
      <c r="B1814" s="1">
        <v>45839.456180555557</v>
      </c>
      <c r="C1814">
        <v>30002</v>
      </c>
      <c r="D1814" t="s">
        <v>7</v>
      </c>
      <c r="E1814" t="s">
        <v>221</v>
      </c>
      <c r="F1814" t="s">
        <v>178</v>
      </c>
    </row>
    <row r="1815" spans="1:6">
      <c r="A1815" t="s">
        <v>6</v>
      </c>
      <c r="B1815" s="1">
        <v>45839.447916666664</v>
      </c>
      <c r="C1815">
        <v>30002</v>
      </c>
      <c r="D1815" t="s">
        <v>7</v>
      </c>
      <c r="E1815" t="s">
        <v>221</v>
      </c>
      <c r="F1815" t="s">
        <v>178</v>
      </c>
    </row>
    <row r="1816" spans="1:6">
      <c r="A1816" t="s">
        <v>6</v>
      </c>
      <c r="B1816" s="1">
        <v>45839.447847222225</v>
      </c>
      <c r="C1816">
        <v>30002</v>
      </c>
      <c r="D1816" t="s">
        <v>7</v>
      </c>
      <c r="E1816" t="s">
        <v>221</v>
      </c>
      <c r="F1816" t="s">
        <v>178</v>
      </c>
    </row>
    <row r="1817" spans="1:6">
      <c r="A1817" t="s">
        <v>6</v>
      </c>
      <c r="B1817" s="1">
        <v>45840.471377314818</v>
      </c>
      <c r="C1817">
        <v>30002</v>
      </c>
      <c r="D1817" t="s">
        <v>7</v>
      </c>
      <c r="E1817" t="s">
        <v>222</v>
      </c>
      <c r="F1817" t="s">
        <v>178</v>
      </c>
    </row>
    <row r="1818" spans="1:6">
      <c r="A1818" t="s">
        <v>6</v>
      </c>
      <c r="B1818" s="1">
        <v>45840.468206018515</v>
      </c>
      <c r="C1818">
        <v>30002</v>
      </c>
      <c r="D1818" t="s">
        <v>7</v>
      </c>
      <c r="E1818" t="s">
        <v>222</v>
      </c>
      <c r="F1818" t="s">
        <v>178</v>
      </c>
    </row>
    <row r="1819" spans="1:6">
      <c r="A1819" t="s">
        <v>6</v>
      </c>
      <c r="B1819" s="1">
        <v>45852.605416666665</v>
      </c>
      <c r="C1819">
        <v>30002</v>
      </c>
      <c r="D1819" t="s">
        <v>7</v>
      </c>
      <c r="E1819" t="s">
        <v>223</v>
      </c>
      <c r="F1819" t="s">
        <v>9</v>
      </c>
    </row>
    <row r="1820" spans="1:6">
      <c r="A1820" t="s">
        <v>6</v>
      </c>
      <c r="B1820" s="1">
        <v>45869.385567129626</v>
      </c>
      <c r="C1820">
        <v>30002</v>
      </c>
      <c r="D1820" t="s">
        <v>7</v>
      </c>
      <c r="E1820" t="s">
        <v>224</v>
      </c>
      <c r="F1820" t="s">
        <v>13</v>
      </c>
    </row>
    <row r="1821" spans="1:6">
      <c r="A1821" t="s">
        <v>6</v>
      </c>
      <c r="B1821" s="1">
        <v>45869.377824074072</v>
      </c>
      <c r="C1821">
        <v>30002</v>
      </c>
      <c r="D1821" t="s">
        <v>7</v>
      </c>
      <c r="E1821" t="s">
        <v>224</v>
      </c>
      <c r="F1821" t="s">
        <v>13</v>
      </c>
    </row>
    <row r="1822" spans="1:6">
      <c r="A1822" t="s">
        <v>6</v>
      </c>
      <c r="B1822" s="1">
        <v>45869.335879629631</v>
      </c>
      <c r="C1822">
        <v>30002</v>
      </c>
      <c r="D1822" t="s">
        <v>7</v>
      </c>
      <c r="E1822" t="s">
        <v>225</v>
      </c>
      <c r="F1822" t="s">
        <v>27</v>
      </c>
    </row>
    <row r="1823" spans="1:6">
      <c r="A1823" t="s">
        <v>6</v>
      </c>
      <c r="B1823" s="1">
        <v>45868.378842592596</v>
      </c>
      <c r="C1823">
        <v>30002</v>
      </c>
      <c r="D1823" t="s">
        <v>7</v>
      </c>
      <c r="E1823" t="s">
        <v>225</v>
      </c>
      <c r="F1823" t="s">
        <v>27</v>
      </c>
    </row>
    <row r="1824" spans="1:6">
      <c r="A1824" t="s">
        <v>6</v>
      </c>
      <c r="B1824" s="1">
        <v>45866.317418981482</v>
      </c>
      <c r="C1824">
        <v>30002</v>
      </c>
      <c r="D1824" t="s">
        <v>7</v>
      </c>
      <c r="E1824" t="s">
        <v>225</v>
      </c>
      <c r="F1824" t="s">
        <v>27</v>
      </c>
    </row>
    <row r="1825" spans="1:6">
      <c r="A1825" t="s">
        <v>6</v>
      </c>
      <c r="B1825" s="1">
        <v>45866.316828703704</v>
      </c>
      <c r="C1825">
        <v>30002</v>
      </c>
      <c r="D1825" t="s">
        <v>7</v>
      </c>
      <c r="E1825" t="s">
        <v>225</v>
      </c>
      <c r="F1825" t="s">
        <v>27</v>
      </c>
    </row>
    <row r="1826" spans="1:6">
      <c r="A1826" t="s">
        <v>6</v>
      </c>
      <c r="B1826" s="1">
        <v>45839.547465277778</v>
      </c>
      <c r="C1826">
        <v>30002</v>
      </c>
      <c r="D1826" t="s">
        <v>7</v>
      </c>
      <c r="E1826" t="s">
        <v>225</v>
      </c>
      <c r="F1826" t="s">
        <v>27</v>
      </c>
    </row>
    <row r="1827" spans="1:6">
      <c r="A1827" t="s">
        <v>6</v>
      </c>
      <c r="B1827" s="1">
        <v>45839.544212962966</v>
      </c>
      <c r="C1827">
        <v>30002</v>
      </c>
      <c r="D1827" t="s">
        <v>7</v>
      </c>
      <c r="E1827" t="s">
        <v>225</v>
      </c>
      <c r="F1827" t="s">
        <v>27</v>
      </c>
    </row>
    <row r="1828" spans="1:6">
      <c r="A1828" t="s">
        <v>6</v>
      </c>
      <c r="B1828" s="1">
        <v>45839.490069444444</v>
      </c>
      <c r="C1828">
        <v>30002</v>
      </c>
      <c r="D1828" t="s">
        <v>7</v>
      </c>
      <c r="E1828" t="s">
        <v>225</v>
      </c>
      <c r="F1828" t="s">
        <v>27</v>
      </c>
    </row>
    <row r="1829" spans="1:6">
      <c r="A1829" t="s">
        <v>6</v>
      </c>
      <c r="B1829" s="1">
        <v>45839.487719907411</v>
      </c>
      <c r="C1829">
        <v>30002</v>
      </c>
      <c r="D1829" t="s">
        <v>7</v>
      </c>
      <c r="E1829" t="s">
        <v>225</v>
      </c>
      <c r="F1829" t="s">
        <v>27</v>
      </c>
    </row>
    <row r="1830" spans="1:6">
      <c r="A1830" t="s">
        <v>6</v>
      </c>
      <c r="B1830" s="1">
        <v>45839.487708333334</v>
      </c>
      <c r="C1830">
        <v>30002</v>
      </c>
      <c r="D1830" t="s">
        <v>7</v>
      </c>
      <c r="E1830" t="s">
        <v>225</v>
      </c>
      <c r="F1830" t="s">
        <v>27</v>
      </c>
    </row>
    <row r="1831" spans="1:6">
      <c r="A1831" t="s">
        <v>6</v>
      </c>
      <c r="B1831" s="1">
        <v>45839.482905092591</v>
      </c>
      <c r="C1831">
        <v>30002</v>
      </c>
      <c r="D1831" t="s">
        <v>7</v>
      </c>
      <c r="E1831" t="s">
        <v>225</v>
      </c>
      <c r="F1831" t="s">
        <v>27</v>
      </c>
    </row>
    <row r="1832" spans="1:6">
      <c r="A1832" t="s">
        <v>6</v>
      </c>
      <c r="B1832" s="1">
        <v>45839.479745370372</v>
      </c>
      <c r="C1832">
        <v>30002</v>
      </c>
      <c r="D1832" t="s">
        <v>7</v>
      </c>
      <c r="E1832" t="s">
        <v>225</v>
      </c>
      <c r="F1832" t="s">
        <v>27</v>
      </c>
    </row>
    <row r="1833" spans="1:6">
      <c r="A1833" t="s">
        <v>6</v>
      </c>
      <c r="B1833" s="1">
        <v>45839.460659722223</v>
      </c>
      <c r="C1833">
        <v>30002</v>
      </c>
      <c r="D1833" t="s">
        <v>7</v>
      </c>
      <c r="E1833" t="s">
        <v>225</v>
      </c>
      <c r="F1833" t="s">
        <v>27</v>
      </c>
    </row>
    <row r="1834" spans="1:6">
      <c r="A1834" t="s">
        <v>6</v>
      </c>
      <c r="B1834" s="1">
        <v>45839.46056712963</v>
      </c>
      <c r="C1834">
        <v>30002</v>
      </c>
      <c r="D1834" t="s">
        <v>7</v>
      </c>
      <c r="E1834" t="s">
        <v>225</v>
      </c>
      <c r="F1834" t="s">
        <v>27</v>
      </c>
    </row>
    <row r="1835" spans="1:6">
      <c r="A1835" t="s">
        <v>6</v>
      </c>
      <c r="B1835" s="1">
        <v>45839.458819444444</v>
      </c>
      <c r="C1835">
        <v>30002</v>
      </c>
      <c r="D1835" t="s">
        <v>7</v>
      </c>
      <c r="E1835" t="s">
        <v>225</v>
      </c>
      <c r="F1835" t="s">
        <v>27</v>
      </c>
    </row>
    <row r="1836" spans="1:6">
      <c r="A1836" t="s">
        <v>6</v>
      </c>
      <c r="B1836" s="1">
        <v>45839.452094907407</v>
      </c>
      <c r="C1836">
        <v>30002</v>
      </c>
      <c r="D1836" t="s">
        <v>7</v>
      </c>
      <c r="E1836" t="s">
        <v>225</v>
      </c>
      <c r="F1836" t="s">
        <v>27</v>
      </c>
    </row>
    <row r="1837" spans="1:6">
      <c r="A1837" t="s">
        <v>6</v>
      </c>
      <c r="B1837" s="1">
        <v>45839.451956018522</v>
      </c>
      <c r="C1837">
        <v>30002</v>
      </c>
      <c r="D1837" t="s">
        <v>7</v>
      </c>
      <c r="E1837" t="s">
        <v>225</v>
      </c>
      <c r="F1837" t="s">
        <v>27</v>
      </c>
    </row>
    <row r="1838" spans="1:6">
      <c r="A1838" t="s">
        <v>6</v>
      </c>
      <c r="B1838" s="1">
        <v>45839.440185185187</v>
      </c>
      <c r="C1838">
        <v>30002</v>
      </c>
      <c r="D1838" t="s">
        <v>7</v>
      </c>
      <c r="E1838" t="s">
        <v>225</v>
      </c>
      <c r="F1838" t="s">
        <v>27</v>
      </c>
    </row>
    <row r="1839" spans="1:6">
      <c r="A1839" t="s">
        <v>6</v>
      </c>
      <c r="B1839" s="1">
        <v>45839.43949074074</v>
      </c>
      <c r="C1839">
        <v>30002</v>
      </c>
      <c r="D1839" t="s">
        <v>7</v>
      </c>
      <c r="E1839" t="s">
        <v>225</v>
      </c>
      <c r="F1839" t="s">
        <v>27</v>
      </c>
    </row>
    <row r="1840" spans="1:6">
      <c r="A1840" t="s">
        <v>6</v>
      </c>
      <c r="B1840" s="1">
        <v>45839.438576388886</v>
      </c>
      <c r="C1840">
        <v>30002</v>
      </c>
      <c r="D1840" t="s">
        <v>7</v>
      </c>
      <c r="E1840" t="s">
        <v>225</v>
      </c>
      <c r="F1840" t="s">
        <v>27</v>
      </c>
    </row>
    <row r="1841" spans="1:6">
      <c r="A1841" t="s">
        <v>6</v>
      </c>
      <c r="B1841" s="1">
        <v>45839.435949074075</v>
      </c>
      <c r="C1841">
        <v>30002</v>
      </c>
      <c r="D1841" t="s">
        <v>7</v>
      </c>
      <c r="E1841" t="s">
        <v>225</v>
      </c>
      <c r="F1841" t="s">
        <v>27</v>
      </c>
    </row>
    <row r="1842" spans="1:6">
      <c r="A1842" t="s">
        <v>6</v>
      </c>
      <c r="B1842" s="1">
        <v>45839.435937499999</v>
      </c>
      <c r="C1842">
        <v>30002</v>
      </c>
      <c r="D1842" t="s">
        <v>7</v>
      </c>
      <c r="E1842" t="s">
        <v>225</v>
      </c>
      <c r="F1842" t="s">
        <v>27</v>
      </c>
    </row>
    <row r="1843" spans="1:6">
      <c r="A1843" t="s">
        <v>6</v>
      </c>
      <c r="B1843" s="1">
        <v>45839.435914351852</v>
      </c>
      <c r="C1843">
        <v>30002</v>
      </c>
      <c r="D1843" t="s">
        <v>7</v>
      </c>
      <c r="E1843" t="s">
        <v>225</v>
      </c>
      <c r="F1843" t="s">
        <v>27</v>
      </c>
    </row>
    <row r="1844" spans="1:6">
      <c r="A1844" t="s">
        <v>6</v>
      </c>
      <c r="B1844" s="1">
        <v>45839.435868055552</v>
      </c>
      <c r="C1844">
        <v>30002</v>
      </c>
      <c r="D1844" t="s">
        <v>7</v>
      </c>
      <c r="E1844" t="s">
        <v>225</v>
      </c>
      <c r="F1844" t="s">
        <v>27</v>
      </c>
    </row>
    <row r="1845" spans="1:6">
      <c r="A1845" t="s">
        <v>6</v>
      </c>
      <c r="B1845" s="1">
        <v>45839.435856481483</v>
      </c>
      <c r="C1845">
        <v>30002</v>
      </c>
      <c r="D1845" t="s">
        <v>7</v>
      </c>
      <c r="E1845" t="s">
        <v>225</v>
      </c>
      <c r="F1845" t="s">
        <v>27</v>
      </c>
    </row>
    <row r="1846" spans="1:6">
      <c r="A1846" t="s">
        <v>6</v>
      </c>
      <c r="B1846" s="1">
        <v>45839.410590277781</v>
      </c>
      <c r="C1846">
        <v>30002</v>
      </c>
      <c r="D1846" t="s">
        <v>7</v>
      </c>
      <c r="E1846" t="s">
        <v>225</v>
      </c>
      <c r="F1846" t="s">
        <v>27</v>
      </c>
    </row>
    <row r="1847" spans="1:6">
      <c r="A1847" t="s">
        <v>6</v>
      </c>
      <c r="B1847" s="1">
        <v>45839.402696759258</v>
      </c>
      <c r="C1847">
        <v>30002</v>
      </c>
      <c r="D1847" t="s">
        <v>7</v>
      </c>
      <c r="E1847" t="s">
        <v>225</v>
      </c>
      <c r="F1847" t="s">
        <v>27</v>
      </c>
    </row>
    <row r="1848" spans="1:6">
      <c r="A1848" t="s">
        <v>6</v>
      </c>
      <c r="B1848" s="1">
        <v>45839.338356481479</v>
      </c>
      <c r="C1848">
        <v>30002</v>
      </c>
      <c r="D1848" t="s">
        <v>7</v>
      </c>
      <c r="E1848" t="s">
        <v>225</v>
      </c>
      <c r="F1848" t="s">
        <v>27</v>
      </c>
    </row>
    <row r="1849" spans="1:6">
      <c r="A1849" t="s">
        <v>6</v>
      </c>
      <c r="B1849" s="1">
        <v>45839.337245370371</v>
      </c>
      <c r="C1849">
        <v>30002</v>
      </c>
      <c r="D1849" t="s">
        <v>7</v>
      </c>
      <c r="E1849" t="s">
        <v>225</v>
      </c>
      <c r="F1849" t="s">
        <v>27</v>
      </c>
    </row>
    <row r="1850" spans="1:6">
      <c r="A1850" t="s">
        <v>6</v>
      </c>
      <c r="B1850" s="1">
        <v>45862.574340277781</v>
      </c>
      <c r="C1850">
        <v>30002</v>
      </c>
      <c r="D1850" t="s">
        <v>7</v>
      </c>
      <c r="E1850" t="s">
        <v>226</v>
      </c>
      <c r="F1850" t="s">
        <v>19</v>
      </c>
    </row>
    <row r="1851" spans="1:6">
      <c r="A1851" t="s">
        <v>6</v>
      </c>
      <c r="B1851" s="1">
        <v>45847.574062500003</v>
      </c>
      <c r="C1851">
        <v>30002</v>
      </c>
      <c r="D1851" t="s">
        <v>7</v>
      </c>
      <c r="E1851" t="s">
        <v>227</v>
      </c>
      <c r="F1851" t="s">
        <v>178</v>
      </c>
    </row>
    <row r="1852" spans="1:6">
      <c r="A1852" t="s">
        <v>6</v>
      </c>
      <c r="B1852" s="1">
        <v>45847.573819444442</v>
      </c>
      <c r="C1852">
        <v>30002</v>
      </c>
      <c r="D1852" t="s">
        <v>7</v>
      </c>
      <c r="E1852" t="s">
        <v>227</v>
      </c>
      <c r="F1852" t="s">
        <v>178</v>
      </c>
    </row>
    <row r="1853" spans="1:6">
      <c r="A1853" t="s">
        <v>6</v>
      </c>
      <c r="B1853" s="1">
        <v>45839.495659722219</v>
      </c>
      <c r="C1853">
        <v>30002</v>
      </c>
      <c r="D1853" t="s">
        <v>7</v>
      </c>
      <c r="E1853" t="s">
        <v>227</v>
      </c>
      <c r="F1853" t="s">
        <v>178</v>
      </c>
    </row>
    <row r="1854" spans="1:6">
      <c r="A1854" t="s">
        <v>6</v>
      </c>
      <c r="B1854" s="1">
        <v>45839.493726851855</v>
      </c>
      <c r="C1854">
        <v>30002</v>
      </c>
      <c r="D1854" t="s">
        <v>7</v>
      </c>
      <c r="E1854" t="s">
        <v>227</v>
      </c>
      <c r="F1854" t="s">
        <v>178</v>
      </c>
    </row>
    <row r="1855" spans="1:6">
      <c r="A1855" t="s">
        <v>6</v>
      </c>
      <c r="B1855" s="1">
        <v>45839.492615740739</v>
      </c>
      <c r="C1855">
        <v>30002</v>
      </c>
      <c r="D1855" t="s">
        <v>7</v>
      </c>
      <c r="E1855" t="s">
        <v>227</v>
      </c>
      <c r="F1855" t="s">
        <v>178</v>
      </c>
    </row>
    <row r="1856" spans="1:6">
      <c r="A1856" t="s">
        <v>6</v>
      </c>
      <c r="B1856" s="1">
        <v>45839.456319444442</v>
      </c>
      <c r="C1856">
        <v>30002</v>
      </c>
      <c r="D1856" t="s">
        <v>7</v>
      </c>
      <c r="E1856" t="s">
        <v>227</v>
      </c>
      <c r="F1856" t="s">
        <v>178</v>
      </c>
    </row>
    <row r="1857" spans="1:6">
      <c r="A1857" t="s">
        <v>6</v>
      </c>
      <c r="B1857" s="1">
        <v>45869.652060185188</v>
      </c>
      <c r="C1857">
        <v>30002</v>
      </c>
      <c r="D1857" t="s">
        <v>7</v>
      </c>
      <c r="E1857" t="s">
        <v>227</v>
      </c>
      <c r="F1857" t="s">
        <v>54</v>
      </c>
    </row>
    <row r="1858" spans="1:6">
      <c r="A1858" t="s">
        <v>6</v>
      </c>
      <c r="B1858" s="1">
        <v>45868.645312499997</v>
      </c>
      <c r="C1858">
        <v>30002</v>
      </c>
      <c r="D1858" t="s">
        <v>7</v>
      </c>
      <c r="E1858" t="s">
        <v>227</v>
      </c>
      <c r="F1858" t="s">
        <v>54</v>
      </c>
    </row>
    <row r="1859" spans="1:6">
      <c r="A1859" t="s">
        <v>6</v>
      </c>
      <c r="B1859" s="1">
        <v>45868.645138888889</v>
      </c>
      <c r="C1859">
        <v>30002</v>
      </c>
      <c r="D1859" t="s">
        <v>7</v>
      </c>
      <c r="E1859" t="s">
        <v>227</v>
      </c>
      <c r="F1859" t="s">
        <v>54</v>
      </c>
    </row>
    <row r="1860" spans="1:6">
      <c r="A1860" t="s">
        <v>6</v>
      </c>
      <c r="B1860" s="1">
        <v>45868.644756944443</v>
      </c>
      <c r="C1860">
        <v>30002</v>
      </c>
      <c r="D1860" t="s">
        <v>7</v>
      </c>
      <c r="E1860" t="s">
        <v>227</v>
      </c>
      <c r="F1860" t="s">
        <v>54</v>
      </c>
    </row>
    <row r="1861" spans="1:6">
      <c r="A1861" t="s">
        <v>6</v>
      </c>
      <c r="B1861" s="1">
        <v>45866.496157407404</v>
      </c>
      <c r="C1861">
        <v>30002</v>
      </c>
      <c r="D1861" t="s">
        <v>7</v>
      </c>
      <c r="E1861" t="s">
        <v>227</v>
      </c>
      <c r="F1861" t="s">
        <v>54</v>
      </c>
    </row>
    <row r="1862" spans="1:6">
      <c r="A1862" t="s">
        <v>6</v>
      </c>
      <c r="B1862" s="1">
        <v>45866.477476851855</v>
      </c>
      <c r="C1862">
        <v>30002</v>
      </c>
      <c r="D1862" t="s">
        <v>7</v>
      </c>
      <c r="E1862" t="s">
        <v>227</v>
      </c>
      <c r="F1862" t="s">
        <v>54</v>
      </c>
    </row>
    <row r="1863" spans="1:6">
      <c r="A1863" t="s">
        <v>6</v>
      </c>
      <c r="B1863" s="1">
        <v>45860.647129629629</v>
      </c>
      <c r="C1863">
        <v>30002</v>
      </c>
      <c r="D1863" t="s">
        <v>7</v>
      </c>
      <c r="E1863" t="s">
        <v>227</v>
      </c>
      <c r="F1863" t="s">
        <v>54</v>
      </c>
    </row>
    <row r="1864" spans="1:6">
      <c r="A1864" t="s">
        <v>6</v>
      </c>
      <c r="B1864" s="1">
        <v>45840.513287037036</v>
      </c>
      <c r="C1864">
        <v>30002</v>
      </c>
      <c r="D1864" t="s">
        <v>7</v>
      </c>
      <c r="E1864" t="s">
        <v>227</v>
      </c>
      <c r="F1864" t="s">
        <v>54</v>
      </c>
    </row>
    <row r="1865" spans="1:6">
      <c r="A1865" t="s">
        <v>6</v>
      </c>
      <c r="B1865" s="1">
        <v>45854.604872685188</v>
      </c>
      <c r="C1865">
        <v>30002</v>
      </c>
      <c r="D1865" t="s">
        <v>7</v>
      </c>
      <c r="E1865" t="s">
        <v>228</v>
      </c>
      <c r="F1865" t="s">
        <v>9</v>
      </c>
    </row>
    <row r="1866" spans="1:6">
      <c r="A1866" t="s">
        <v>6</v>
      </c>
      <c r="B1866" s="1">
        <v>45841.366493055553</v>
      </c>
      <c r="C1866">
        <v>30002</v>
      </c>
      <c r="D1866" t="s">
        <v>7</v>
      </c>
      <c r="E1866" t="s">
        <v>228</v>
      </c>
      <c r="F1866" t="s">
        <v>9</v>
      </c>
    </row>
    <row r="1867" spans="1:6">
      <c r="A1867" t="s">
        <v>6</v>
      </c>
      <c r="B1867" s="1">
        <v>45841.365057870367</v>
      </c>
      <c r="C1867">
        <v>30002</v>
      </c>
      <c r="D1867" t="s">
        <v>7</v>
      </c>
      <c r="E1867" t="s">
        <v>228</v>
      </c>
      <c r="F1867" t="s">
        <v>9</v>
      </c>
    </row>
    <row r="1868" spans="1:6">
      <c r="A1868" t="s">
        <v>6</v>
      </c>
      <c r="B1868" s="1">
        <v>45839.420335648145</v>
      </c>
      <c r="C1868">
        <v>30002</v>
      </c>
      <c r="D1868" t="s">
        <v>7</v>
      </c>
      <c r="E1868" t="s">
        <v>228</v>
      </c>
      <c r="F1868" t="s">
        <v>9</v>
      </c>
    </row>
    <row r="1869" spans="1:6">
      <c r="A1869" t="s">
        <v>6</v>
      </c>
      <c r="B1869" s="1">
        <v>45839.414560185185</v>
      </c>
      <c r="C1869">
        <v>30002</v>
      </c>
      <c r="D1869" t="s">
        <v>7</v>
      </c>
      <c r="E1869" t="s">
        <v>228</v>
      </c>
      <c r="F1869" t="s">
        <v>9</v>
      </c>
    </row>
  </sheetData>
  <sortState xmlns:xlrd2="http://schemas.microsoft.com/office/spreadsheetml/2017/richdata2" ref="A2:F1870">
    <sortCondition ref="E2:E1870"/>
    <sortCondition ref="F2:F187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7DE62-9E57-4A3D-999E-DA603656E505}">
  <dimension ref="A1:G2028"/>
  <sheetViews>
    <sheetView workbookViewId="0">
      <selection activeCell="D160" sqref="D160"/>
    </sheetView>
  </sheetViews>
  <sheetFormatPr defaultRowHeight="15" outlineLevelRow="2"/>
  <cols>
    <col min="1" max="1" width="7.140625" bestFit="1" customWidth="1"/>
    <col min="2" max="2" width="15.85546875" bestFit="1" customWidth="1"/>
    <col min="3" max="3" width="5.85546875" bestFit="1" customWidth="1"/>
    <col min="4" max="4" width="71.140625" bestFit="1" customWidth="1"/>
    <col min="5" max="5" width="89.42578125" bestFit="1" customWidth="1"/>
    <col min="6" max="6" width="12" bestFit="1" customWidth="1"/>
    <col min="7" max="7" width="1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229</v>
      </c>
    </row>
    <row r="2" spans="1:7" hidden="1" outlineLevel="2">
      <c r="A2" t="s">
        <v>6</v>
      </c>
      <c r="B2" s="1">
        <v>45860.363182870373</v>
      </c>
      <c r="C2">
        <v>30002</v>
      </c>
      <c r="D2" t="s">
        <v>7</v>
      </c>
      <c r="E2" t="s">
        <v>8</v>
      </c>
      <c r="F2" t="s">
        <v>9</v>
      </c>
    </row>
    <row r="3" spans="1:7" hidden="1" outlineLevel="2">
      <c r="A3" t="s">
        <v>6</v>
      </c>
      <c r="B3" s="1">
        <v>45860.325613425928</v>
      </c>
      <c r="C3">
        <v>30002</v>
      </c>
      <c r="D3" t="s">
        <v>7</v>
      </c>
      <c r="E3" t="s">
        <v>8</v>
      </c>
      <c r="F3" t="s">
        <v>9</v>
      </c>
    </row>
    <row r="4" spans="1:7" hidden="1" outlineLevel="2">
      <c r="A4" t="s">
        <v>6</v>
      </c>
      <c r="B4" s="1">
        <v>45860.322928240741</v>
      </c>
      <c r="C4">
        <v>30002</v>
      </c>
      <c r="D4" t="s">
        <v>7</v>
      </c>
      <c r="E4" t="s">
        <v>8</v>
      </c>
      <c r="F4" t="s">
        <v>9</v>
      </c>
    </row>
    <row r="5" spans="1:7" outlineLevel="1" collapsed="1">
      <c r="B5" s="1"/>
      <c r="E5" s="2" t="s">
        <v>230</v>
      </c>
      <c r="F5">
        <f>SUBTOTAL(3,F2:F4)</f>
        <v>3</v>
      </c>
    </row>
    <row r="6" spans="1:7" hidden="1" outlineLevel="2">
      <c r="A6" t="s">
        <v>6</v>
      </c>
      <c r="B6" s="1">
        <v>45840.324502314812</v>
      </c>
      <c r="C6">
        <v>30002</v>
      </c>
      <c r="D6" t="s">
        <v>7</v>
      </c>
      <c r="E6" t="s">
        <v>10</v>
      </c>
      <c r="F6" t="s">
        <v>11</v>
      </c>
    </row>
    <row r="7" spans="1:7" hidden="1" outlineLevel="2">
      <c r="A7" t="s">
        <v>6</v>
      </c>
      <c r="B7" s="1">
        <v>45840.31962962963</v>
      </c>
      <c r="C7">
        <v>30002</v>
      </c>
      <c r="D7" t="s">
        <v>7</v>
      </c>
      <c r="E7" t="s">
        <v>10</v>
      </c>
      <c r="F7" t="s">
        <v>11</v>
      </c>
    </row>
    <row r="8" spans="1:7" hidden="1" outlineLevel="2">
      <c r="A8" t="s">
        <v>6</v>
      </c>
      <c r="B8" s="1">
        <v>45840.318333333336</v>
      </c>
      <c r="C8">
        <v>30002</v>
      </c>
      <c r="D8" t="s">
        <v>7</v>
      </c>
      <c r="E8" t="s">
        <v>10</v>
      </c>
      <c r="F8" t="s">
        <v>11</v>
      </c>
    </row>
    <row r="9" spans="1:7" hidden="1" outlineLevel="2">
      <c r="A9" t="s">
        <v>6</v>
      </c>
      <c r="B9" s="1">
        <v>45840.315289351849</v>
      </c>
      <c r="C9">
        <v>30002</v>
      </c>
      <c r="D9" t="s">
        <v>7</v>
      </c>
      <c r="E9" t="s">
        <v>10</v>
      </c>
      <c r="F9" t="s">
        <v>11</v>
      </c>
    </row>
    <row r="10" spans="1:7" hidden="1" outlineLevel="2">
      <c r="A10" t="s">
        <v>6</v>
      </c>
      <c r="B10" s="1">
        <v>45840.315023148149</v>
      </c>
      <c r="C10">
        <v>30002</v>
      </c>
      <c r="D10" t="s">
        <v>7</v>
      </c>
      <c r="E10" t="s">
        <v>10</v>
      </c>
      <c r="F10" t="s">
        <v>11</v>
      </c>
    </row>
    <row r="11" spans="1:7" hidden="1" outlineLevel="2">
      <c r="A11" t="s">
        <v>6</v>
      </c>
      <c r="B11" s="1">
        <v>45840.313356481478</v>
      </c>
      <c r="C11">
        <v>30002</v>
      </c>
      <c r="D11" t="s">
        <v>7</v>
      </c>
      <c r="E11" t="s">
        <v>10</v>
      </c>
      <c r="F11" t="s">
        <v>11</v>
      </c>
    </row>
    <row r="12" spans="1:7" hidden="1" outlineLevel="2">
      <c r="A12" t="s">
        <v>6</v>
      </c>
      <c r="B12" s="1">
        <v>45840.312048611115</v>
      </c>
      <c r="C12">
        <v>30002</v>
      </c>
      <c r="D12" t="s">
        <v>7</v>
      </c>
      <c r="E12" t="s">
        <v>10</v>
      </c>
      <c r="F12" t="s">
        <v>11</v>
      </c>
    </row>
    <row r="13" spans="1:7" hidden="1" outlineLevel="2">
      <c r="A13" t="s">
        <v>6</v>
      </c>
      <c r="B13" s="1">
        <v>45840.311782407407</v>
      </c>
      <c r="C13">
        <v>30002</v>
      </c>
      <c r="D13" t="s">
        <v>7</v>
      </c>
      <c r="E13" t="s">
        <v>10</v>
      </c>
      <c r="F13" t="s">
        <v>11</v>
      </c>
    </row>
    <row r="14" spans="1:7" hidden="1" outlineLevel="2">
      <c r="A14" t="s">
        <v>6</v>
      </c>
      <c r="B14" s="1">
        <v>45840.309814814813</v>
      </c>
      <c r="C14">
        <v>30002</v>
      </c>
      <c r="D14" t="s">
        <v>7</v>
      </c>
      <c r="E14" t="s">
        <v>10</v>
      </c>
      <c r="F14" t="s">
        <v>11</v>
      </c>
    </row>
    <row r="15" spans="1:7" hidden="1" outlineLevel="2">
      <c r="A15" t="s">
        <v>6</v>
      </c>
      <c r="B15" s="1">
        <v>45840.309236111112</v>
      </c>
      <c r="C15">
        <v>30002</v>
      </c>
      <c r="D15" t="s">
        <v>7</v>
      </c>
      <c r="E15" t="s">
        <v>10</v>
      </c>
      <c r="F15" t="s">
        <v>11</v>
      </c>
    </row>
    <row r="16" spans="1:7" outlineLevel="1" collapsed="1">
      <c r="B16" s="1"/>
      <c r="E16" s="2" t="s">
        <v>231</v>
      </c>
      <c r="F16">
        <f>SUBTOTAL(3,F6:F15)</f>
        <v>10</v>
      </c>
    </row>
    <row r="17" spans="1:6" hidden="1" outlineLevel="2">
      <c r="A17" t="s">
        <v>6</v>
      </c>
      <c r="B17" s="1">
        <v>45855.583564814813</v>
      </c>
      <c r="C17">
        <v>30002</v>
      </c>
      <c r="D17" t="s">
        <v>7</v>
      </c>
      <c r="E17" t="s">
        <v>12</v>
      </c>
      <c r="F17" t="s">
        <v>13</v>
      </c>
    </row>
    <row r="18" spans="1:6" hidden="1" outlineLevel="2">
      <c r="A18" t="s">
        <v>6</v>
      </c>
      <c r="B18" s="1">
        <v>45848.484826388885</v>
      </c>
      <c r="C18">
        <v>30002</v>
      </c>
      <c r="D18" t="s">
        <v>7</v>
      </c>
      <c r="E18" t="s">
        <v>12</v>
      </c>
      <c r="F18" t="s">
        <v>13</v>
      </c>
    </row>
    <row r="19" spans="1:6" outlineLevel="1" collapsed="1">
      <c r="B19" s="1"/>
      <c r="E19" s="2" t="s">
        <v>232</v>
      </c>
      <c r="F19">
        <f>SUBTOTAL(3,F17:F18)</f>
        <v>2</v>
      </c>
    </row>
    <row r="20" spans="1:6" hidden="1" outlineLevel="2">
      <c r="A20" t="s">
        <v>6</v>
      </c>
      <c r="B20" s="1">
        <v>45847.450879629629</v>
      </c>
      <c r="C20">
        <v>30002</v>
      </c>
      <c r="D20" t="s">
        <v>7</v>
      </c>
      <c r="E20" t="s">
        <v>14</v>
      </c>
      <c r="F20" t="s">
        <v>15</v>
      </c>
    </row>
    <row r="21" spans="1:6" hidden="1" outlineLevel="2">
      <c r="A21" t="s">
        <v>6</v>
      </c>
      <c r="B21" s="1">
        <v>45846.446053240739</v>
      </c>
      <c r="C21">
        <v>30002</v>
      </c>
      <c r="D21" t="s">
        <v>7</v>
      </c>
      <c r="E21" t="s">
        <v>14</v>
      </c>
      <c r="F21" t="s">
        <v>15</v>
      </c>
    </row>
    <row r="22" spans="1:6" hidden="1" outlineLevel="2">
      <c r="A22" t="s">
        <v>6</v>
      </c>
      <c r="B22" s="1">
        <v>45845.386990740742</v>
      </c>
      <c r="C22">
        <v>30002</v>
      </c>
      <c r="D22" t="s">
        <v>7</v>
      </c>
      <c r="E22" t="s">
        <v>14</v>
      </c>
      <c r="F22" t="s">
        <v>15</v>
      </c>
    </row>
    <row r="23" spans="1:6" hidden="1" outlineLevel="2">
      <c r="A23" t="s">
        <v>6</v>
      </c>
      <c r="B23" s="1">
        <v>45841.385509259257</v>
      </c>
      <c r="C23">
        <v>30002</v>
      </c>
      <c r="D23" t="s">
        <v>7</v>
      </c>
      <c r="E23" t="s">
        <v>14</v>
      </c>
      <c r="F23" t="s">
        <v>15</v>
      </c>
    </row>
    <row r="24" spans="1:6" outlineLevel="1" collapsed="1">
      <c r="B24" s="1"/>
      <c r="E24" s="2" t="s">
        <v>233</v>
      </c>
      <c r="F24">
        <f>SUBTOTAL(3,F20:F23)</f>
        <v>4</v>
      </c>
    </row>
    <row r="25" spans="1:6" hidden="1" outlineLevel="2">
      <c r="A25" t="s">
        <v>6</v>
      </c>
      <c r="B25" s="1">
        <v>45840.420671296299</v>
      </c>
      <c r="C25">
        <v>30002</v>
      </c>
      <c r="D25" t="s">
        <v>7</v>
      </c>
      <c r="E25" t="s">
        <v>16</v>
      </c>
      <c r="F25" t="s">
        <v>17</v>
      </c>
    </row>
    <row r="26" spans="1:6" hidden="1" outlineLevel="2">
      <c r="A26" t="s">
        <v>6</v>
      </c>
      <c r="B26" s="1">
        <v>45859.604930555557</v>
      </c>
      <c r="C26">
        <v>30002</v>
      </c>
      <c r="D26" t="s">
        <v>7</v>
      </c>
      <c r="E26" t="s">
        <v>16</v>
      </c>
      <c r="F26" t="s">
        <v>13</v>
      </c>
    </row>
    <row r="27" spans="1:6" hidden="1" outlineLevel="2">
      <c r="A27" t="s">
        <v>6</v>
      </c>
      <c r="B27" s="1">
        <v>45859.603750000002</v>
      </c>
      <c r="C27">
        <v>30002</v>
      </c>
      <c r="D27" t="s">
        <v>7</v>
      </c>
      <c r="E27" t="s">
        <v>16</v>
      </c>
      <c r="F27" t="s">
        <v>13</v>
      </c>
    </row>
    <row r="28" spans="1:6" hidden="1" outlineLevel="2">
      <c r="A28" t="s">
        <v>6</v>
      </c>
      <c r="B28" s="1">
        <v>45859.603472222225</v>
      </c>
      <c r="C28">
        <v>30002</v>
      </c>
      <c r="D28" t="s">
        <v>7</v>
      </c>
      <c r="E28" t="s">
        <v>16</v>
      </c>
      <c r="F28" t="s">
        <v>13</v>
      </c>
    </row>
    <row r="29" spans="1:6" hidden="1" outlineLevel="2">
      <c r="A29" t="s">
        <v>6</v>
      </c>
      <c r="B29" s="1">
        <v>45859.602986111109</v>
      </c>
      <c r="C29">
        <v>30002</v>
      </c>
      <c r="D29" t="s">
        <v>7</v>
      </c>
      <c r="E29" t="s">
        <v>16</v>
      </c>
      <c r="F29" t="s">
        <v>13</v>
      </c>
    </row>
    <row r="30" spans="1:6" hidden="1" outlineLevel="2">
      <c r="A30" t="s">
        <v>6</v>
      </c>
      <c r="B30" s="1">
        <v>45848.483622685184</v>
      </c>
      <c r="C30">
        <v>30002</v>
      </c>
      <c r="D30" t="s">
        <v>7</v>
      </c>
      <c r="E30" t="s">
        <v>16</v>
      </c>
      <c r="F30" t="s">
        <v>13</v>
      </c>
    </row>
    <row r="31" spans="1:6" hidden="1" outlineLevel="2">
      <c r="A31" t="s">
        <v>6</v>
      </c>
      <c r="B31" s="1">
        <v>45866.305787037039</v>
      </c>
      <c r="C31">
        <v>30002</v>
      </c>
      <c r="D31" t="s">
        <v>7</v>
      </c>
      <c r="E31" t="s">
        <v>16</v>
      </c>
      <c r="F31" t="s">
        <v>18</v>
      </c>
    </row>
    <row r="32" spans="1:6" hidden="1" outlineLevel="2">
      <c r="A32" t="s">
        <v>6</v>
      </c>
      <c r="B32" s="1">
        <v>45867.266597222224</v>
      </c>
      <c r="C32">
        <v>30002</v>
      </c>
      <c r="D32" t="s">
        <v>7</v>
      </c>
      <c r="E32" t="s">
        <v>16</v>
      </c>
      <c r="F32" t="s">
        <v>19</v>
      </c>
    </row>
    <row r="33" spans="1:6" hidden="1" outlineLevel="2">
      <c r="A33" t="s">
        <v>6</v>
      </c>
      <c r="B33" s="1">
        <v>45866.285729166666</v>
      </c>
      <c r="C33">
        <v>30002</v>
      </c>
      <c r="D33" t="s">
        <v>7</v>
      </c>
      <c r="E33" t="s">
        <v>16</v>
      </c>
      <c r="F33" t="s">
        <v>19</v>
      </c>
    </row>
    <row r="34" spans="1:6" hidden="1" outlineLevel="2">
      <c r="A34" t="s">
        <v>6</v>
      </c>
      <c r="B34" s="1">
        <v>45847.667361111111</v>
      </c>
      <c r="C34">
        <v>30002</v>
      </c>
      <c r="D34" t="s">
        <v>7</v>
      </c>
      <c r="E34" t="s">
        <v>16</v>
      </c>
      <c r="F34" t="s">
        <v>19</v>
      </c>
    </row>
    <row r="35" spans="1:6" hidden="1" outlineLevel="2">
      <c r="A35" t="s">
        <v>6</v>
      </c>
      <c r="B35" s="1">
        <v>45847.667048611111</v>
      </c>
      <c r="C35">
        <v>30002</v>
      </c>
      <c r="D35" t="s">
        <v>7</v>
      </c>
      <c r="E35" t="s">
        <v>16</v>
      </c>
      <c r="F35" t="s">
        <v>19</v>
      </c>
    </row>
    <row r="36" spans="1:6" hidden="1" outlineLevel="2">
      <c r="A36" t="s">
        <v>6</v>
      </c>
      <c r="B36" s="1">
        <v>45847.664050925923</v>
      </c>
      <c r="C36">
        <v>30002</v>
      </c>
      <c r="D36" t="s">
        <v>7</v>
      </c>
      <c r="E36" t="s">
        <v>16</v>
      </c>
      <c r="F36" t="s">
        <v>19</v>
      </c>
    </row>
    <row r="37" spans="1:6" hidden="1" outlineLevel="2">
      <c r="A37" t="s">
        <v>6</v>
      </c>
      <c r="B37" s="1">
        <v>45847.65792824074</v>
      </c>
      <c r="C37">
        <v>30002</v>
      </c>
      <c r="D37" t="s">
        <v>7</v>
      </c>
      <c r="E37" t="s">
        <v>16</v>
      </c>
      <c r="F37" t="s">
        <v>19</v>
      </c>
    </row>
    <row r="38" spans="1:6" hidden="1" outlineLevel="2">
      <c r="A38" t="s">
        <v>6</v>
      </c>
      <c r="B38" s="1">
        <v>45841.252638888887</v>
      </c>
      <c r="C38">
        <v>30002</v>
      </c>
      <c r="D38" t="s">
        <v>7</v>
      </c>
      <c r="E38" t="s">
        <v>16</v>
      </c>
      <c r="F38" t="s">
        <v>19</v>
      </c>
    </row>
    <row r="39" spans="1:6" hidden="1" outlineLevel="2">
      <c r="A39" t="s">
        <v>6</v>
      </c>
      <c r="B39" s="1">
        <v>45839.565555555557</v>
      </c>
      <c r="C39">
        <v>30002</v>
      </c>
      <c r="D39" t="s">
        <v>7</v>
      </c>
      <c r="E39" t="s">
        <v>16</v>
      </c>
      <c r="F39" t="s">
        <v>20</v>
      </c>
    </row>
    <row r="40" spans="1:6" hidden="1" outlineLevel="2">
      <c r="A40" t="s">
        <v>6</v>
      </c>
      <c r="B40" s="1">
        <v>45841.352337962962</v>
      </c>
      <c r="C40">
        <v>30002</v>
      </c>
      <c r="D40" t="s">
        <v>7</v>
      </c>
      <c r="E40" t="s">
        <v>16</v>
      </c>
      <c r="F40" t="s">
        <v>21</v>
      </c>
    </row>
    <row r="41" spans="1:6" hidden="1" outlineLevel="2">
      <c r="A41" t="s">
        <v>6</v>
      </c>
      <c r="B41" s="1">
        <v>45841.351261574076</v>
      </c>
      <c r="C41">
        <v>30002</v>
      </c>
      <c r="D41" t="s">
        <v>7</v>
      </c>
      <c r="E41" t="s">
        <v>16</v>
      </c>
      <c r="F41" t="s">
        <v>21</v>
      </c>
    </row>
    <row r="42" spans="1:6" hidden="1" outlineLevel="2">
      <c r="A42" t="s">
        <v>6</v>
      </c>
      <c r="B42" s="1">
        <v>45845.329189814816</v>
      </c>
      <c r="C42">
        <v>30002</v>
      </c>
      <c r="D42" t="s">
        <v>7</v>
      </c>
      <c r="E42" t="s">
        <v>16</v>
      </c>
      <c r="F42" t="s">
        <v>9</v>
      </c>
    </row>
    <row r="43" spans="1:6" hidden="1" outlineLevel="2">
      <c r="A43" t="s">
        <v>6</v>
      </c>
      <c r="B43" s="1">
        <v>45841.580046296294</v>
      </c>
      <c r="C43">
        <v>30002</v>
      </c>
      <c r="D43" t="s">
        <v>7</v>
      </c>
      <c r="E43" t="s">
        <v>16</v>
      </c>
      <c r="F43" t="s">
        <v>9</v>
      </c>
    </row>
    <row r="44" spans="1:6" hidden="1" outlineLevel="2">
      <c r="A44" t="s">
        <v>6</v>
      </c>
      <c r="B44" s="1">
        <v>45841.579837962963</v>
      </c>
      <c r="C44">
        <v>30002</v>
      </c>
      <c r="D44" t="s">
        <v>7</v>
      </c>
      <c r="E44" t="s">
        <v>16</v>
      </c>
      <c r="F44" t="s">
        <v>9</v>
      </c>
    </row>
    <row r="45" spans="1:6" hidden="1" outlineLevel="2">
      <c r="A45" t="s">
        <v>6</v>
      </c>
      <c r="B45" s="1">
        <v>45841.579641203702</v>
      </c>
      <c r="C45">
        <v>30002</v>
      </c>
      <c r="D45" t="s">
        <v>7</v>
      </c>
      <c r="E45" t="s">
        <v>16</v>
      </c>
      <c r="F45" t="s">
        <v>9</v>
      </c>
    </row>
    <row r="46" spans="1:6" hidden="1" outlineLevel="2">
      <c r="A46" t="s">
        <v>6</v>
      </c>
      <c r="B46" s="1">
        <v>45841.579467592594</v>
      </c>
      <c r="C46">
        <v>30002</v>
      </c>
      <c r="D46" t="s">
        <v>7</v>
      </c>
      <c r="E46" t="s">
        <v>16</v>
      </c>
      <c r="F46" t="s">
        <v>9</v>
      </c>
    </row>
    <row r="47" spans="1:6" hidden="1" outlineLevel="2">
      <c r="A47" t="s">
        <v>6</v>
      </c>
      <c r="B47" s="1">
        <v>45841.295057870368</v>
      </c>
      <c r="C47">
        <v>30002</v>
      </c>
      <c r="D47" t="s">
        <v>7</v>
      </c>
      <c r="E47" t="s">
        <v>16</v>
      </c>
      <c r="F47" t="s">
        <v>22</v>
      </c>
    </row>
    <row r="48" spans="1:6" hidden="1" outlineLevel="2">
      <c r="A48" t="s">
        <v>6</v>
      </c>
      <c r="B48" s="1">
        <v>45867.525902777779</v>
      </c>
      <c r="C48">
        <v>30002</v>
      </c>
      <c r="D48" t="s">
        <v>7</v>
      </c>
      <c r="E48" t="s">
        <v>16</v>
      </c>
      <c r="F48" t="s">
        <v>23</v>
      </c>
    </row>
    <row r="49" spans="1:6" hidden="1" outlineLevel="2">
      <c r="A49" t="s">
        <v>6</v>
      </c>
      <c r="B49" s="1">
        <v>45867.381423611114</v>
      </c>
      <c r="C49">
        <v>30002</v>
      </c>
      <c r="D49" t="s">
        <v>7</v>
      </c>
      <c r="E49" t="s">
        <v>16</v>
      </c>
      <c r="F49" t="s">
        <v>23</v>
      </c>
    </row>
    <row r="50" spans="1:6" hidden="1" outlineLevel="2">
      <c r="A50" t="s">
        <v>6</v>
      </c>
      <c r="B50" s="1">
        <v>45867.369780092595</v>
      </c>
      <c r="C50">
        <v>30002</v>
      </c>
      <c r="D50" t="s">
        <v>7</v>
      </c>
      <c r="E50" t="s">
        <v>16</v>
      </c>
      <c r="F50" t="s">
        <v>23</v>
      </c>
    </row>
    <row r="51" spans="1:6" hidden="1" outlineLevel="2">
      <c r="A51" t="s">
        <v>6</v>
      </c>
      <c r="B51" s="1">
        <v>45866.385949074072</v>
      </c>
      <c r="C51">
        <v>30002</v>
      </c>
      <c r="D51" t="s">
        <v>7</v>
      </c>
      <c r="E51" t="s">
        <v>16</v>
      </c>
      <c r="F51" t="s">
        <v>23</v>
      </c>
    </row>
    <row r="52" spans="1:6" hidden="1" outlineLevel="2">
      <c r="A52" t="s">
        <v>6</v>
      </c>
      <c r="B52" s="1">
        <v>45866.385243055556</v>
      </c>
      <c r="C52">
        <v>30002</v>
      </c>
      <c r="D52" t="s">
        <v>7</v>
      </c>
      <c r="E52" t="s">
        <v>16</v>
      </c>
      <c r="F52" t="s">
        <v>23</v>
      </c>
    </row>
    <row r="53" spans="1:6" hidden="1" outlineLevel="2">
      <c r="A53" t="s">
        <v>6</v>
      </c>
      <c r="B53" s="1">
        <v>45861.546956018516</v>
      </c>
      <c r="C53">
        <v>30002</v>
      </c>
      <c r="D53" t="s">
        <v>7</v>
      </c>
      <c r="E53" t="s">
        <v>16</v>
      </c>
      <c r="F53" t="s">
        <v>23</v>
      </c>
    </row>
    <row r="54" spans="1:6" hidden="1" outlineLevel="2">
      <c r="A54" t="s">
        <v>6</v>
      </c>
      <c r="B54" s="1">
        <v>45859.607905092591</v>
      </c>
      <c r="C54">
        <v>30002</v>
      </c>
      <c r="D54" t="s">
        <v>7</v>
      </c>
      <c r="E54" t="s">
        <v>16</v>
      </c>
      <c r="F54" t="s">
        <v>23</v>
      </c>
    </row>
    <row r="55" spans="1:6" hidden="1" outlineLevel="2">
      <c r="A55" t="s">
        <v>6</v>
      </c>
      <c r="B55" s="1">
        <v>45859.400983796295</v>
      </c>
      <c r="C55">
        <v>30002</v>
      </c>
      <c r="D55" t="s">
        <v>7</v>
      </c>
      <c r="E55" t="s">
        <v>16</v>
      </c>
      <c r="F55" t="s">
        <v>23</v>
      </c>
    </row>
    <row r="56" spans="1:6" hidden="1" outlineLevel="2">
      <c r="A56" t="s">
        <v>6</v>
      </c>
      <c r="B56" s="1">
        <v>45856.436527777776</v>
      </c>
      <c r="C56">
        <v>30002</v>
      </c>
      <c r="D56" t="s">
        <v>7</v>
      </c>
      <c r="E56" t="s">
        <v>16</v>
      </c>
      <c r="F56" t="s">
        <v>23</v>
      </c>
    </row>
    <row r="57" spans="1:6" hidden="1" outlineLevel="2">
      <c r="A57" t="s">
        <v>6</v>
      </c>
      <c r="B57" s="1">
        <v>45845.349560185183</v>
      </c>
      <c r="C57">
        <v>30002</v>
      </c>
      <c r="D57" t="s">
        <v>7</v>
      </c>
      <c r="E57" t="s">
        <v>16</v>
      </c>
      <c r="F57" t="s">
        <v>23</v>
      </c>
    </row>
    <row r="58" spans="1:6" hidden="1" outlineLevel="2">
      <c r="A58" t="s">
        <v>6</v>
      </c>
      <c r="B58" s="1">
        <v>45845.341770833336</v>
      </c>
      <c r="C58">
        <v>30002</v>
      </c>
      <c r="D58" t="s">
        <v>7</v>
      </c>
      <c r="E58" t="s">
        <v>16</v>
      </c>
      <c r="F58" t="s">
        <v>23</v>
      </c>
    </row>
    <row r="59" spans="1:6" hidden="1" outlineLevel="2">
      <c r="A59" t="s">
        <v>6</v>
      </c>
      <c r="B59" s="1">
        <v>45855.385949074072</v>
      </c>
      <c r="C59">
        <v>30002</v>
      </c>
      <c r="D59" t="s">
        <v>7</v>
      </c>
      <c r="E59" t="s">
        <v>16</v>
      </c>
      <c r="F59" t="s">
        <v>24</v>
      </c>
    </row>
    <row r="60" spans="1:6" hidden="1" outlineLevel="2">
      <c r="A60" t="s">
        <v>6</v>
      </c>
      <c r="B60" s="1">
        <v>45854.606516203705</v>
      </c>
      <c r="C60">
        <v>30002</v>
      </c>
      <c r="D60" t="s">
        <v>7</v>
      </c>
      <c r="E60" t="s">
        <v>16</v>
      </c>
      <c r="F60" t="s">
        <v>24</v>
      </c>
    </row>
    <row r="61" spans="1:6" hidden="1" outlineLevel="2">
      <c r="A61" t="s">
        <v>6</v>
      </c>
      <c r="B61" s="1">
        <v>45854.606307870374</v>
      </c>
      <c r="C61">
        <v>30002</v>
      </c>
      <c r="D61" t="s">
        <v>7</v>
      </c>
      <c r="E61" t="s">
        <v>16</v>
      </c>
      <c r="F61" t="s">
        <v>24</v>
      </c>
    </row>
    <row r="62" spans="1:6" hidden="1" outlineLevel="2">
      <c r="A62" t="s">
        <v>6</v>
      </c>
      <c r="B62" s="1">
        <v>45848.569675925923</v>
      </c>
      <c r="C62">
        <v>30002</v>
      </c>
      <c r="D62" t="s">
        <v>7</v>
      </c>
      <c r="E62" t="s">
        <v>16</v>
      </c>
      <c r="F62" t="s">
        <v>25</v>
      </c>
    </row>
    <row r="63" spans="1:6" hidden="1" outlineLevel="2">
      <c r="A63" t="s">
        <v>6</v>
      </c>
      <c r="B63" s="1">
        <v>45848.56449074074</v>
      </c>
      <c r="C63">
        <v>30002</v>
      </c>
      <c r="D63" t="s">
        <v>7</v>
      </c>
      <c r="E63" t="s">
        <v>16</v>
      </c>
      <c r="F63" t="s">
        <v>25</v>
      </c>
    </row>
    <row r="64" spans="1:6" hidden="1" outlineLevel="2">
      <c r="A64" t="s">
        <v>6</v>
      </c>
      <c r="B64" s="1">
        <v>45840.352372685185</v>
      </c>
      <c r="C64">
        <v>30002</v>
      </c>
      <c r="D64" t="s">
        <v>7</v>
      </c>
      <c r="E64" t="s">
        <v>16</v>
      </c>
      <c r="F64" t="s">
        <v>25</v>
      </c>
    </row>
    <row r="65" spans="1:6" hidden="1" outlineLevel="2">
      <c r="A65" t="s">
        <v>6</v>
      </c>
      <c r="B65" s="1">
        <v>45840.344849537039</v>
      </c>
      <c r="C65">
        <v>30002</v>
      </c>
      <c r="D65" t="s">
        <v>7</v>
      </c>
      <c r="E65" t="s">
        <v>16</v>
      </c>
      <c r="F65" t="s">
        <v>25</v>
      </c>
    </row>
    <row r="66" spans="1:6" outlineLevel="1" collapsed="1">
      <c r="B66" s="1"/>
      <c r="E66" s="2" t="s">
        <v>234</v>
      </c>
      <c r="F66">
        <f>SUBTOTAL(3,F25:F65)</f>
        <v>41</v>
      </c>
    </row>
    <row r="67" spans="1:6" hidden="1" outlineLevel="2">
      <c r="A67" t="s">
        <v>6</v>
      </c>
      <c r="B67" s="1">
        <v>45839.608912037038</v>
      </c>
      <c r="C67">
        <v>30002</v>
      </c>
      <c r="D67" t="s">
        <v>7</v>
      </c>
      <c r="E67" t="s">
        <v>26</v>
      </c>
      <c r="F67" t="s">
        <v>27</v>
      </c>
    </row>
    <row r="68" spans="1:6" hidden="1" outlineLevel="2">
      <c r="A68" t="s">
        <v>6</v>
      </c>
      <c r="B68" s="1">
        <v>45839.337500000001</v>
      </c>
      <c r="C68">
        <v>30002</v>
      </c>
      <c r="D68" t="s">
        <v>7</v>
      </c>
      <c r="E68" t="s">
        <v>26</v>
      </c>
      <c r="F68" t="s">
        <v>27</v>
      </c>
    </row>
    <row r="69" spans="1:6" outlineLevel="1" collapsed="1">
      <c r="B69" s="1"/>
      <c r="E69" s="2" t="s">
        <v>235</v>
      </c>
      <c r="F69">
        <f>SUBTOTAL(3,F67:F68)</f>
        <v>2</v>
      </c>
    </row>
    <row r="70" spans="1:6" hidden="1" outlineLevel="2">
      <c r="A70" t="s">
        <v>6</v>
      </c>
      <c r="B70" s="1">
        <v>45849.343622685185</v>
      </c>
      <c r="C70">
        <v>30002</v>
      </c>
      <c r="D70" t="s">
        <v>7</v>
      </c>
      <c r="E70" t="s">
        <v>28</v>
      </c>
      <c r="F70" t="s">
        <v>27</v>
      </c>
    </row>
    <row r="71" spans="1:6" outlineLevel="1" collapsed="1">
      <c r="B71" s="1"/>
      <c r="E71" s="2" t="s">
        <v>236</v>
      </c>
      <c r="F71">
        <f>SUBTOTAL(3,F70:F70)</f>
        <v>1</v>
      </c>
    </row>
    <row r="72" spans="1:6" hidden="1" outlineLevel="2">
      <c r="A72" t="s">
        <v>6</v>
      </c>
      <c r="B72" s="1">
        <v>45869.671574074076</v>
      </c>
      <c r="C72">
        <v>30002</v>
      </c>
      <c r="D72" t="s">
        <v>7</v>
      </c>
      <c r="E72" t="s">
        <v>29</v>
      </c>
      <c r="F72" t="s">
        <v>27</v>
      </c>
    </row>
    <row r="73" spans="1:6" outlineLevel="1" collapsed="1">
      <c r="B73" s="1"/>
      <c r="E73" s="2" t="s">
        <v>237</v>
      </c>
      <c r="F73">
        <f>SUBTOTAL(3,F72:F72)</f>
        <v>1</v>
      </c>
    </row>
    <row r="74" spans="1:6" hidden="1" outlineLevel="2">
      <c r="A74" t="s">
        <v>6</v>
      </c>
      <c r="B74" s="1">
        <v>45839.345393518517</v>
      </c>
      <c r="C74">
        <v>30002</v>
      </c>
      <c r="D74" t="s">
        <v>7</v>
      </c>
      <c r="E74" t="s">
        <v>30</v>
      </c>
      <c r="F74" t="s">
        <v>31</v>
      </c>
    </row>
    <row r="75" spans="1:6" outlineLevel="1" collapsed="1">
      <c r="B75" s="1"/>
      <c r="E75" s="2" t="s">
        <v>238</v>
      </c>
      <c r="F75">
        <f>SUBTOTAL(3,F74:F74)</f>
        <v>1</v>
      </c>
    </row>
    <row r="76" spans="1:6" hidden="1" outlineLevel="2">
      <c r="A76" t="s">
        <v>6</v>
      </c>
      <c r="B76" s="1">
        <v>45854.369745370372</v>
      </c>
      <c r="C76">
        <v>30002</v>
      </c>
      <c r="D76" t="s">
        <v>7</v>
      </c>
      <c r="E76" t="s">
        <v>32</v>
      </c>
      <c r="F76" t="s">
        <v>33</v>
      </c>
    </row>
    <row r="77" spans="1:6" hidden="1" outlineLevel="2">
      <c r="A77" t="s">
        <v>6</v>
      </c>
      <c r="B77" s="1">
        <v>45847.695069444446</v>
      </c>
      <c r="C77">
        <v>30002</v>
      </c>
      <c r="D77" t="s">
        <v>7</v>
      </c>
      <c r="E77" t="s">
        <v>32</v>
      </c>
      <c r="F77" t="s">
        <v>34</v>
      </c>
    </row>
    <row r="78" spans="1:6" hidden="1" outlineLevel="2">
      <c r="A78" t="s">
        <v>6</v>
      </c>
      <c r="B78" s="1">
        <v>45847.683865740742</v>
      </c>
      <c r="C78">
        <v>30002</v>
      </c>
      <c r="D78" t="s">
        <v>7</v>
      </c>
      <c r="E78" t="s">
        <v>32</v>
      </c>
      <c r="F78" t="s">
        <v>34</v>
      </c>
    </row>
    <row r="79" spans="1:6" hidden="1" outlineLevel="2">
      <c r="A79" t="s">
        <v>6</v>
      </c>
      <c r="B79" s="1">
        <v>45847.68377314815</v>
      </c>
      <c r="C79">
        <v>30002</v>
      </c>
      <c r="D79" t="s">
        <v>7</v>
      </c>
      <c r="E79" t="s">
        <v>32</v>
      </c>
      <c r="F79" t="s">
        <v>34</v>
      </c>
    </row>
    <row r="80" spans="1:6" hidden="1" outlineLevel="2">
      <c r="A80" t="s">
        <v>6</v>
      </c>
      <c r="B80" s="1">
        <v>45847.683668981481</v>
      </c>
      <c r="C80">
        <v>30002</v>
      </c>
      <c r="D80" t="s">
        <v>7</v>
      </c>
      <c r="E80" t="s">
        <v>32</v>
      </c>
      <c r="F80" t="s">
        <v>34</v>
      </c>
    </row>
    <row r="81" spans="1:6" hidden="1" outlineLevel="2">
      <c r="A81" t="s">
        <v>6</v>
      </c>
      <c r="B81" s="1">
        <v>45847.678888888891</v>
      </c>
      <c r="C81">
        <v>30002</v>
      </c>
      <c r="D81" t="s">
        <v>7</v>
      </c>
      <c r="E81" t="s">
        <v>32</v>
      </c>
      <c r="F81" t="s">
        <v>34</v>
      </c>
    </row>
    <row r="82" spans="1:6" outlineLevel="1" collapsed="1">
      <c r="B82" s="1"/>
      <c r="E82" s="2" t="s">
        <v>239</v>
      </c>
      <c r="F82">
        <f>SUBTOTAL(3,F76:F81)</f>
        <v>6</v>
      </c>
    </row>
    <row r="83" spans="1:6" hidden="1" outlineLevel="2">
      <c r="A83" t="s">
        <v>6</v>
      </c>
      <c r="B83" s="1">
        <v>45853.537453703706</v>
      </c>
      <c r="C83">
        <v>30002</v>
      </c>
      <c r="D83" t="s">
        <v>7</v>
      </c>
      <c r="E83" t="s">
        <v>35</v>
      </c>
      <c r="F83" t="s">
        <v>36</v>
      </c>
    </row>
    <row r="84" spans="1:6" outlineLevel="1" collapsed="1">
      <c r="B84" s="1"/>
      <c r="E84" s="2" t="s">
        <v>240</v>
      </c>
      <c r="F84">
        <f>SUBTOTAL(3,F83:F83)</f>
        <v>1</v>
      </c>
    </row>
    <row r="85" spans="1:6" hidden="1" outlineLevel="2">
      <c r="A85" t="s">
        <v>6</v>
      </c>
      <c r="B85" s="1">
        <v>45846.83011574074</v>
      </c>
      <c r="C85">
        <v>30002</v>
      </c>
      <c r="D85" t="s">
        <v>7</v>
      </c>
      <c r="E85" t="s">
        <v>37</v>
      </c>
      <c r="F85" t="s">
        <v>38</v>
      </c>
    </row>
    <row r="86" spans="1:6" outlineLevel="1" collapsed="1">
      <c r="B86" s="1"/>
      <c r="E86" s="2" t="s">
        <v>241</v>
      </c>
      <c r="F86">
        <f>SUBTOTAL(3,F85:F85)</f>
        <v>1</v>
      </c>
    </row>
    <row r="87" spans="1:6" hidden="1" outlineLevel="2">
      <c r="A87" t="s">
        <v>6</v>
      </c>
      <c r="B87" s="1">
        <v>45846.833981481483</v>
      </c>
      <c r="C87">
        <v>30002</v>
      </c>
      <c r="D87" t="s">
        <v>7</v>
      </c>
      <c r="E87" t="s">
        <v>39</v>
      </c>
      <c r="F87" t="s">
        <v>38</v>
      </c>
    </row>
    <row r="88" spans="1:6" outlineLevel="1" collapsed="1">
      <c r="B88" s="1"/>
      <c r="E88" s="2" t="s">
        <v>242</v>
      </c>
      <c r="F88">
        <f>SUBTOTAL(3,F87:F87)</f>
        <v>1</v>
      </c>
    </row>
    <row r="89" spans="1:6" hidden="1" outlineLevel="2">
      <c r="A89" t="s">
        <v>6</v>
      </c>
      <c r="B89" s="1">
        <v>45846.837777777779</v>
      </c>
      <c r="C89">
        <v>30002</v>
      </c>
      <c r="D89" t="s">
        <v>7</v>
      </c>
      <c r="E89" t="s">
        <v>40</v>
      </c>
      <c r="F89" t="s">
        <v>38</v>
      </c>
    </row>
    <row r="90" spans="1:6" outlineLevel="1" collapsed="1">
      <c r="B90" s="1"/>
      <c r="E90" s="2" t="s">
        <v>243</v>
      </c>
      <c r="F90">
        <f>SUBTOTAL(3,F89:F89)</f>
        <v>1</v>
      </c>
    </row>
    <row r="91" spans="1:6" hidden="1" outlineLevel="2">
      <c r="A91" t="s">
        <v>6</v>
      </c>
      <c r="B91" s="1">
        <v>45854.402372685188</v>
      </c>
      <c r="C91">
        <v>30002</v>
      </c>
      <c r="D91" t="s">
        <v>7</v>
      </c>
      <c r="E91" t="s">
        <v>41</v>
      </c>
      <c r="F91" t="s">
        <v>42</v>
      </c>
    </row>
    <row r="92" spans="1:6" hidden="1" outlineLevel="2">
      <c r="A92" t="s">
        <v>6</v>
      </c>
      <c r="B92" s="1">
        <v>45854.399652777778</v>
      </c>
      <c r="C92">
        <v>30002</v>
      </c>
      <c r="D92" t="s">
        <v>7</v>
      </c>
      <c r="E92" t="s">
        <v>41</v>
      </c>
      <c r="F92" t="s">
        <v>42</v>
      </c>
    </row>
    <row r="93" spans="1:6" hidden="1" outlineLevel="2">
      <c r="A93" t="s">
        <v>6</v>
      </c>
      <c r="B93" s="1">
        <v>45854.391631944447</v>
      </c>
      <c r="C93">
        <v>30002</v>
      </c>
      <c r="D93" t="s">
        <v>7</v>
      </c>
      <c r="E93" t="s">
        <v>41</v>
      </c>
      <c r="F93" t="s">
        <v>42</v>
      </c>
    </row>
    <row r="94" spans="1:6" hidden="1" outlineLevel="2">
      <c r="A94" t="s">
        <v>6</v>
      </c>
      <c r="B94" s="1">
        <v>45839.713402777779</v>
      </c>
      <c r="C94">
        <v>30002</v>
      </c>
      <c r="D94" t="s">
        <v>7</v>
      </c>
      <c r="E94" t="s">
        <v>41</v>
      </c>
      <c r="F94" t="s">
        <v>42</v>
      </c>
    </row>
    <row r="95" spans="1:6" outlineLevel="1" collapsed="1">
      <c r="B95" s="1"/>
      <c r="E95" s="2" t="s">
        <v>244</v>
      </c>
      <c r="F95">
        <f>SUBTOTAL(3,F91:F94)</f>
        <v>4</v>
      </c>
    </row>
    <row r="96" spans="1:6" hidden="1" outlineLevel="2">
      <c r="A96" t="s">
        <v>6</v>
      </c>
      <c r="B96" s="1">
        <v>45849.360069444447</v>
      </c>
      <c r="C96">
        <v>30002</v>
      </c>
      <c r="D96" t="s">
        <v>7</v>
      </c>
      <c r="E96" t="s">
        <v>43</v>
      </c>
      <c r="F96" t="s">
        <v>27</v>
      </c>
    </row>
    <row r="97" spans="1:6" outlineLevel="1" collapsed="1">
      <c r="B97" s="1"/>
      <c r="E97" s="2" t="s">
        <v>245</v>
      </c>
      <c r="F97">
        <f>SUBTOTAL(3,F96:F96)</f>
        <v>1</v>
      </c>
    </row>
    <row r="98" spans="1:6" hidden="1" outlineLevel="2">
      <c r="A98" t="s">
        <v>6</v>
      </c>
      <c r="B98" s="1">
        <v>45866.565613425926</v>
      </c>
      <c r="C98">
        <v>30002</v>
      </c>
      <c r="D98" t="s">
        <v>7</v>
      </c>
      <c r="E98" t="s">
        <v>44</v>
      </c>
      <c r="F98" t="s">
        <v>42</v>
      </c>
    </row>
    <row r="99" spans="1:6" outlineLevel="1" collapsed="1">
      <c r="B99" s="1"/>
      <c r="E99" s="2" t="s">
        <v>246</v>
      </c>
      <c r="F99">
        <f>SUBTOTAL(3,F98:F98)</f>
        <v>1</v>
      </c>
    </row>
    <row r="100" spans="1:6" hidden="1" outlineLevel="2">
      <c r="A100" t="s">
        <v>6</v>
      </c>
      <c r="B100" s="1">
        <v>45846.374884259261</v>
      </c>
      <c r="C100">
        <v>30002</v>
      </c>
      <c r="D100" t="s">
        <v>7</v>
      </c>
      <c r="E100" t="s">
        <v>45</v>
      </c>
      <c r="F100" t="s">
        <v>46</v>
      </c>
    </row>
    <row r="101" spans="1:6" hidden="1" outlineLevel="2">
      <c r="A101" t="s">
        <v>6</v>
      </c>
      <c r="B101" s="1">
        <v>45854.515011574076</v>
      </c>
      <c r="C101">
        <v>30002</v>
      </c>
      <c r="D101" t="s">
        <v>7</v>
      </c>
      <c r="E101" t="s">
        <v>45</v>
      </c>
      <c r="F101" t="s">
        <v>47</v>
      </c>
    </row>
    <row r="102" spans="1:6" hidden="1" outlineLevel="2">
      <c r="A102" t="s">
        <v>6</v>
      </c>
      <c r="B102" s="1">
        <v>45841.359085648146</v>
      </c>
      <c r="C102">
        <v>30002</v>
      </c>
      <c r="D102" t="s">
        <v>7</v>
      </c>
      <c r="E102" t="s">
        <v>45</v>
      </c>
      <c r="F102" t="s">
        <v>47</v>
      </c>
    </row>
    <row r="103" spans="1:6" outlineLevel="1" collapsed="1">
      <c r="B103" s="1"/>
      <c r="E103" s="2" t="s">
        <v>247</v>
      </c>
      <c r="F103">
        <f>SUBTOTAL(3,F100:F102)</f>
        <v>3</v>
      </c>
    </row>
    <row r="104" spans="1:6" hidden="1" outlineLevel="2">
      <c r="A104" t="s">
        <v>6</v>
      </c>
      <c r="B104" s="1">
        <v>45869.526504629626</v>
      </c>
      <c r="C104">
        <v>30002</v>
      </c>
      <c r="D104" t="s">
        <v>7</v>
      </c>
      <c r="E104" t="s">
        <v>48</v>
      </c>
      <c r="F104" t="s">
        <v>49</v>
      </c>
    </row>
    <row r="105" spans="1:6" hidden="1" outlineLevel="2">
      <c r="A105" t="s">
        <v>6</v>
      </c>
      <c r="B105" s="1">
        <v>45860.524571759262</v>
      </c>
      <c r="C105">
        <v>30002</v>
      </c>
      <c r="D105" t="s">
        <v>7</v>
      </c>
      <c r="E105" t="s">
        <v>48</v>
      </c>
      <c r="F105" t="s">
        <v>50</v>
      </c>
    </row>
    <row r="106" spans="1:6" hidden="1" outlineLevel="2">
      <c r="A106" t="s">
        <v>6</v>
      </c>
      <c r="B106" s="1">
        <v>45855.479189814818</v>
      </c>
      <c r="C106">
        <v>30002</v>
      </c>
      <c r="D106" t="s">
        <v>7</v>
      </c>
      <c r="E106" t="s">
        <v>48</v>
      </c>
      <c r="F106" t="s">
        <v>50</v>
      </c>
    </row>
    <row r="107" spans="1:6" hidden="1" outlineLevel="2">
      <c r="A107" t="s">
        <v>6</v>
      </c>
      <c r="B107" s="1">
        <v>45855.476793981485</v>
      </c>
      <c r="C107">
        <v>30002</v>
      </c>
      <c r="D107" t="s">
        <v>7</v>
      </c>
      <c r="E107" t="s">
        <v>48</v>
      </c>
      <c r="F107" t="s">
        <v>50</v>
      </c>
    </row>
    <row r="108" spans="1:6" hidden="1" outlineLevel="2">
      <c r="A108" t="s">
        <v>6</v>
      </c>
      <c r="B108" s="1">
        <v>45853.487303240741</v>
      </c>
      <c r="C108">
        <v>30002</v>
      </c>
      <c r="D108" t="s">
        <v>7</v>
      </c>
      <c r="E108" t="s">
        <v>48</v>
      </c>
      <c r="F108" t="s">
        <v>50</v>
      </c>
    </row>
    <row r="109" spans="1:6" outlineLevel="1" collapsed="1">
      <c r="B109" s="1"/>
      <c r="E109" s="2" t="s">
        <v>248</v>
      </c>
      <c r="F109">
        <f>SUBTOTAL(3,F104:F108)</f>
        <v>5</v>
      </c>
    </row>
    <row r="110" spans="1:6" hidden="1" outlineLevel="2">
      <c r="A110" t="s">
        <v>6</v>
      </c>
      <c r="B110" s="1">
        <v>45869.518530092595</v>
      </c>
      <c r="C110">
        <v>30002</v>
      </c>
      <c r="D110" t="s">
        <v>7</v>
      </c>
      <c r="E110" t="s">
        <v>51</v>
      </c>
      <c r="F110" t="s">
        <v>49</v>
      </c>
    </row>
    <row r="111" spans="1:6" hidden="1" outlineLevel="2">
      <c r="A111" t="s">
        <v>6</v>
      </c>
      <c r="B111" s="1">
        <v>45867.557476851849</v>
      </c>
      <c r="C111">
        <v>30002</v>
      </c>
      <c r="D111" t="s">
        <v>7</v>
      </c>
      <c r="E111" t="s">
        <v>51</v>
      </c>
      <c r="F111" t="s">
        <v>50</v>
      </c>
    </row>
    <row r="112" spans="1:6" hidden="1" outlineLevel="2">
      <c r="A112" t="s">
        <v>6</v>
      </c>
      <c r="B112" s="1">
        <v>45862.50849537037</v>
      </c>
      <c r="C112">
        <v>30002</v>
      </c>
      <c r="D112" t="s">
        <v>7</v>
      </c>
      <c r="E112" t="s">
        <v>51</v>
      </c>
      <c r="F112" t="s">
        <v>50</v>
      </c>
    </row>
    <row r="113" spans="1:6" hidden="1" outlineLevel="2">
      <c r="A113" t="s">
        <v>6</v>
      </c>
      <c r="B113" s="1">
        <v>45859.495798611111</v>
      </c>
      <c r="C113">
        <v>30002</v>
      </c>
      <c r="D113" t="s">
        <v>7</v>
      </c>
      <c r="E113" t="s">
        <v>51</v>
      </c>
      <c r="F113" t="s">
        <v>50</v>
      </c>
    </row>
    <row r="114" spans="1:6" hidden="1" outlineLevel="2">
      <c r="A114" t="s">
        <v>6</v>
      </c>
      <c r="B114" s="1">
        <v>45848.518912037034</v>
      </c>
      <c r="C114">
        <v>30002</v>
      </c>
      <c r="D114" t="s">
        <v>7</v>
      </c>
      <c r="E114" t="s">
        <v>51</v>
      </c>
      <c r="F114" t="s">
        <v>50</v>
      </c>
    </row>
    <row r="115" spans="1:6" hidden="1" outlineLevel="2">
      <c r="A115" t="s">
        <v>6</v>
      </c>
      <c r="B115" s="1">
        <v>45847.421967592592</v>
      </c>
      <c r="C115">
        <v>30002</v>
      </c>
      <c r="D115" t="s">
        <v>7</v>
      </c>
      <c r="E115" t="s">
        <v>51</v>
      </c>
      <c r="F115" t="s">
        <v>50</v>
      </c>
    </row>
    <row r="116" spans="1:6" hidden="1" outlineLevel="2">
      <c r="A116" t="s">
        <v>6</v>
      </c>
      <c r="B116" s="1">
        <v>45846.48170138889</v>
      </c>
      <c r="C116">
        <v>30002</v>
      </c>
      <c r="D116" t="s">
        <v>7</v>
      </c>
      <c r="E116" t="s">
        <v>51</v>
      </c>
      <c r="F116" t="s">
        <v>50</v>
      </c>
    </row>
    <row r="117" spans="1:6" hidden="1" outlineLevel="2">
      <c r="A117" t="s">
        <v>6</v>
      </c>
      <c r="B117" s="1">
        <v>45841.503634259258</v>
      </c>
      <c r="C117">
        <v>30002</v>
      </c>
      <c r="D117" t="s">
        <v>7</v>
      </c>
      <c r="E117" t="s">
        <v>51</v>
      </c>
      <c r="F117" t="s">
        <v>50</v>
      </c>
    </row>
    <row r="118" spans="1:6" hidden="1" outlineLevel="2">
      <c r="A118" t="s">
        <v>6</v>
      </c>
      <c r="B118" s="1">
        <v>45839.505509259259</v>
      </c>
      <c r="C118">
        <v>30002</v>
      </c>
      <c r="D118" t="s">
        <v>7</v>
      </c>
      <c r="E118" t="s">
        <v>51</v>
      </c>
      <c r="F118" t="s">
        <v>50</v>
      </c>
    </row>
    <row r="119" spans="1:6" outlineLevel="1" collapsed="1">
      <c r="B119" s="1"/>
      <c r="E119" s="2" t="s">
        <v>249</v>
      </c>
      <c r="F119">
        <f>SUBTOTAL(3,F110:F118)</f>
        <v>9</v>
      </c>
    </row>
    <row r="120" spans="1:6" hidden="1" outlineLevel="2">
      <c r="A120" t="s">
        <v>6</v>
      </c>
      <c r="B120" s="1">
        <v>45839.594317129631</v>
      </c>
      <c r="C120">
        <v>30002</v>
      </c>
      <c r="D120" t="s">
        <v>7</v>
      </c>
      <c r="E120" t="s">
        <v>52</v>
      </c>
      <c r="F120" t="s">
        <v>27</v>
      </c>
    </row>
    <row r="121" spans="1:6" outlineLevel="1" collapsed="1">
      <c r="B121" s="1"/>
      <c r="E121" s="2" t="s">
        <v>250</v>
      </c>
      <c r="F121">
        <f>SUBTOTAL(3,F120:F120)</f>
        <v>1</v>
      </c>
    </row>
    <row r="122" spans="1:6" hidden="1" outlineLevel="2">
      <c r="A122" t="s">
        <v>6</v>
      </c>
      <c r="B122" s="1">
        <v>45855.426261574074</v>
      </c>
      <c r="C122">
        <v>30002</v>
      </c>
      <c r="D122" t="s">
        <v>7</v>
      </c>
      <c r="E122" t="s">
        <v>53</v>
      </c>
      <c r="F122" t="s">
        <v>46</v>
      </c>
    </row>
    <row r="123" spans="1:6" hidden="1" outlineLevel="2">
      <c r="A123" t="s">
        <v>6</v>
      </c>
      <c r="B123" s="1">
        <v>45855.358726851853</v>
      </c>
      <c r="C123">
        <v>30002</v>
      </c>
      <c r="D123" t="s">
        <v>7</v>
      </c>
      <c r="E123" t="s">
        <v>53</v>
      </c>
      <c r="F123" t="s">
        <v>46</v>
      </c>
    </row>
    <row r="124" spans="1:6" hidden="1" outlineLevel="2">
      <c r="A124" t="s">
        <v>6</v>
      </c>
      <c r="B124" s="1">
        <v>45853.357708333337</v>
      </c>
      <c r="C124">
        <v>30002</v>
      </c>
      <c r="D124" t="s">
        <v>7</v>
      </c>
      <c r="E124" t="s">
        <v>53</v>
      </c>
      <c r="F124" t="s">
        <v>46</v>
      </c>
    </row>
    <row r="125" spans="1:6" hidden="1" outlineLevel="2">
      <c r="A125" t="s">
        <v>6</v>
      </c>
      <c r="B125" s="1">
        <v>45847.371782407405</v>
      </c>
      <c r="C125">
        <v>30002</v>
      </c>
      <c r="D125" t="s">
        <v>7</v>
      </c>
      <c r="E125" t="s">
        <v>53</v>
      </c>
      <c r="F125" t="s">
        <v>46</v>
      </c>
    </row>
    <row r="126" spans="1:6" hidden="1" outlineLevel="2">
      <c r="A126" t="s">
        <v>6</v>
      </c>
      <c r="B126" s="1">
        <v>45846.360115740739</v>
      </c>
      <c r="C126">
        <v>30002</v>
      </c>
      <c r="D126" t="s">
        <v>7</v>
      </c>
      <c r="E126" t="s">
        <v>53</v>
      </c>
      <c r="F126" t="s">
        <v>46</v>
      </c>
    </row>
    <row r="127" spans="1:6" hidden="1" outlineLevel="2">
      <c r="A127" t="s">
        <v>6</v>
      </c>
      <c r="B127" s="1">
        <v>45839.38753472222</v>
      </c>
      <c r="C127">
        <v>30002</v>
      </c>
      <c r="D127" t="s">
        <v>7</v>
      </c>
      <c r="E127" t="s">
        <v>53</v>
      </c>
      <c r="F127" t="s">
        <v>15</v>
      </c>
    </row>
    <row r="128" spans="1:6" hidden="1" outlineLevel="2">
      <c r="A128" t="s">
        <v>6</v>
      </c>
      <c r="B128" s="1">
        <v>45841.56212962963</v>
      </c>
      <c r="C128">
        <v>30002</v>
      </c>
      <c r="D128" t="s">
        <v>7</v>
      </c>
      <c r="E128" t="s">
        <v>53</v>
      </c>
      <c r="F128" t="s">
        <v>54</v>
      </c>
    </row>
    <row r="129" spans="1:6" hidden="1" outlineLevel="2">
      <c r="A129" t="s">
        <v>6</v>
      </c>
      <c r="B129" s="1">
        <v>45841.561435185184</v>
      </c>
      <c r="C129">
        <v>30002</v>
      </c>
      <c r="D129" t="s">
        <v>7</v>
      </c>
      <c r="E129" t="s">
        <v>53</v>
      </c>
      <c r="F129" t="s">
        <v>54</v>
      </c>
    </row>
    <row r="130" spans="1:6" hidden="1" outlineLevel="2">
      <c r="A130" t="s">
        <v>6</v>
      </c>
      <c r="B130" s="1">
        <v>45869.540648148148</v>
      </c>
      <c r="C130">
        <v>30002</v>
      </c>
      <c r="D130" t="s">
        <v>7</v>
      </c>
      <c r="E130" t="s">
        <v>53</v>
      </c>
      <c r="F130" t="s">
        <v>55</v>
      </c>
    </row>
    <row r="131" spans="1:6" hidden="1" outlineLevel="2">
      <c r="A131" t="s">
        <v>6</v>
      </c>
      <c r="B131" s="1">
        <v>45869.540300925924</v>
      </c>
      <c r="C131">
        <v>30002</v>
      </c>
      <c r="D131" t="s">
        <v>7</v>
      </c>
      <c r="E131" t="s">
        <v>53</v>
      </c>
      <c r="F131" t="s">
        <v>55</v>
      </c>
    </row>
    <row r="132" spans="1:6" hidden="1" outlineLevel="2">
      <c r="A132" t="s">
        <v>6</v>
      </c>
      <c r="B132" s="1">
        <v>45869.540069444447</v>
      </c>
      <c r="C132">
        <v>30002</v>
      </c>
      <c r="D132" t="s">
        <v>7</v>
      </c>
      <c r="E132" t="s">
        <v>53</v>
      </c>
      <c r="F132" t="s">
        <v>55</v>
      </c>
    </row>
    <row r="133" spans="1:6" hidden="1" outlineLevel="2">
      <c r="A133" t="s">
        <v>6</v>
      </c>
      <c r="B133" s="1">
        <v>45869.539629629631</v>
      </c>
      <c r="C133">
        <v>30002</v>
      </c>
      <c r="D133" t="s">
        <v>7</v>
      </c>
      <c r="E133" t="s">
        <v>53</v>
      </c>
      <c r="F133" t="s">
        <v>55</v>
      </c>
    </row>
    <row r="134" spans="1:6" hidden="1" outlineLevel="2">
      <c r="A134" t="s">
        <v>6</v>
      </c>
      <c r="B134" s="1">
        <v>45869.539548611108</v>
      </c>
      <c r="C134">
        <v>30002</v>
      </c>
      <c r="D134" t="s">
        <v>7</v>
      </c>
      <c r="E134" t="s">
        <v>53</v>
      </c>
      <c r="F134" t="s">
        <v>55</v>
      </c>
    </row>
    <row r="135" spans="1:6" hidden="1" outlineLevel="2">
      <c r="A135" t="s">
        <v>6</v>
      </c>
      <c r="B135" s="1">
        <v>45869.539467592593</v>
      </c>
      <c r="C135">
        <v>30002</v>
      </c>
      <c r="D135" t="s">
        <v>7</v>
      </c>
      <c r="E135" t="s">
        <v>53</v>
      </c>
      <c r="F135" t="s">
        <v>55</v>
      </c>
    </row>
    <row r="136" spans="1:6" hidden="1" outlineLevel="2">
      <c r="A136" t="s">
        <v>6</v>
      </c>
      <c r="B136" s="1">
        <v>45869.539375</v>
      </c>
      <c r="C136">
        <v>30002</v>
      </c>
      <c r="D136" t="s">
        <v>7</v>
      </c>
      <c r="E136" t="s">
        <v>53</v>
      </c>
      <c r="F136" t="s">
        <v>55</v>
      </c>
    </row>
    <row r="137" spans="1:6" hidden="1" outlineLevel="2">
      <c r="A137" t="s">
        <v>6</v>
      </c>
      <c r="B137" s="1">
        <v>45869.539293981485</v>
      </c>
      <c r="C137">
        <v>30002</v>
      </c>
      <c r="D137" t="s">
        <v>7</v>
      </c>
      <c r="E137" t="s">
        <v>53</v>
      </c>
      <c r="F137" t="s">
        <v>55</v>
      </c>
    </row>
    <row r="138" spans="1:6" hidden="1" outlineLevel="2">
      <c r="A138" t="s">
        <v>6</v>
      </c>
      <c r="B138" s="1">
        <v>45869.538958333331</v>
      </c>
      <c r="C138">
        <v>30002</v>
      </c>
      <c r="D138" t="s">
        <v>7</v>
      </c>
      <c r="E138" t="s">
        <v>53</v>
      </c>
      <c r="F138" t="s">
        <v>55</v>
      </c>
    </row>
    <row r="139" spans="1:6" hidden="1" outlineLevel="2">
      <c r="A139" t="s">
        <v>6</v>
      </c>
      <c r="B139" s="1">
        <v>45869.538784722223</v>
      </c>
      <c r="C139">
        <v>30002</v>
      </c>
      <c r="D139" t="s">
        <v>7</v>
      </c>
      <c r="E139" t="s">
        <v>53</v>
      </c>
      <c r="F139" t="s">
        <v>55</v>
      </c>
    </row>
    <row r="140" spans="1:6" hidden="1" outlineLevel="2">
      <c r="A140" t="s">
        <v>6</v>
      </c>
      <c r="B140" s="1">
        <v>45869.538599537038</v>
      </c>
      <c r="C140">
        <v>30002</v>
      </c>
      <c r="D140" t="s">
        <v>7</v>
      </c>
      <c r="E140" t="s">
        <v>53</v>
      </c>
      <c r="F140" t="s">
        <v>55</v>
      </c>
    </row>
    <row r="141" spans="1:6" hidden="1" outlineLevel="2">
      <c r="A141" t="s">
        <v>6</v>
      </c>
      <c r="B141" s="1">
        <v>45869.53802083333</v>
      </c>
      <c r="C141">
        <v>30002</v>
      </c>
      <c r="D141" t="s">
        <v>7</v>
      </c>
      <c r="E141" t="s">
        <v>53</v>
      </c>
      <c r="F141" t="s">
        <v>55</v>
      </c>
    </row>
    <row r="142" spans="1:6" hidden="1" outlineLevel="2">
      <c r="A142" t="s">
        <v>6</v>
      </c>
      <c r="B142" s="1">
        <v>45869.537546296298</v>
      </c>
      <c r="C142">
        <v>30002</v>
      </c>
      <c r="D142" t="s">
        <v>7</v>
      </c>
      <c r="E142" t="s">
        <v>53</v>
      </c>
      <c r="F142" t="s">
        <v>55</v>
      </c>
    </row>
    <row r="143" spans="1:6" hidden="1" outlineLevel="2">
      <c r="A143" t="s">
        <v>6</v>
      </c>
      <c r="B143" s="1">
        <v>45869.537407407406</v>
      </c>
      <c r="C143">
        <v>30002</v>
      </c>
      <c r="D143" t="s">
        <v>7</v>
      </c>
      <c r="E143" t="s">
        <v>53</v>
      </c>
      <c r="F143" t="s">
        <v>55</v>
      </c>
    </row>
    <row r="144" spans="1:6" hidden="1" outlineLevel="2">
      <c r="A144" t="s">
        <v>6</v>
      </c>
      <c r="B144" s="1">
        <v>45869.535601851851</v>
      </c>
      <c r="C144">
        <v>30002</v>
      </c>
      <c r="D144" t="s">
        <v>7</v>
      </c>
      <c r="E144" t="s">
        <v>53</v>
      </c>
      <c r="F144" t="s">
        <v>55</v>
      </c>
    </row>
    <row r="145" spans="1:6" hidden="1" outlineLevel="2">
      <c r="A145" t="s">
        <v>6</v>
      </c>
      <c r="B145" s="1">
        <v>45869.518437500003</v>
      </c>
      <c r="C145">
        <v>30002</v>
      </c>
      <c r="D145" t="s">
        <v>7</v>
      </c>
      <c r="E145" t="s">
        <v>53</v>
      </c>
      <c r="F145" t="s">
        <v>55</v>
      </c>
    </row>
    <row r="146" spans="1:6" hidden="1" outlineLevel="2">
      <c r="A146" t="s">
        <v>6</v>
      </c>
      <c r="B146" s="1">
        <v>45869.518113425926</v>
      </c>
      <c r="C146">
        <v>30002</v>
      </c>
      <c r="D146" t="s">
        <v>7</v>
      </c>
      <c r="E146" t="s">
        <v>53</v>
      </c>
      <c r="F146" t="s">
        <v>55</v>
      </c>
    </row>
    <row r="147" spans="1:6" hidden="1" outlineLevel="2">
      <c r="A147" t="s">
        <v>6</v>
      </c>
      <c r="B147" s="1">
        <v>45845.593842592592</v>
      </c>
      <c r="C147">
        <v>30002</v>
      </c>
      <c r="D147" t="s">
        <v>7</v>
      </c>
      <c r="E147" t="s">
        <v>53</v>
      </c>
      <c r="F147" t="s">
        <v>55</v>
      </c>
    </row>
    <row r="148" spans="1:6" hidden="1" outlineLevel="2">
      <c r="A148" t="s">
        <v>6</v>
      </c>
      <c r="B148" s="1">
        <v>45840.528831018521</v>
      </c>
      <c r="C148">
        <v>30002</v>
      </c>
      <c r="D148" t="s">
        <v>7</v>
      </c>
      <c r="E148" t="s">
        <v>53</v>
      </c>
      <c r="F148" t="s">
        <v>55</v>
      </c>
    </row>
    <row r="149" spans="1:6" outlineLevel="1" collapsed="1">
      <c r="B149" s="1"/>
      <c r="E149" s="2" t="s">
        <v>251</v>
      </c>
      <c r="F149">
        <f>SUBTOTAL(3,F122:F148)</f>
        <v>27</v>
      </c>
    </row>
    <row r="150" spans="1:6" hidden="1" outlineLevel="2">
      <c r="A150" t="s">
        <v>6</v>
      </c>
      <c r="B150" s="1">
        <v>45845.613229166665</v>
      </c>
      <c r="C150">
        <v>30002</v>
      </c>
      <c r="D150" t="s">
        <v>7</v>
      </c>
      <c r="E150" t="s">
        <v>56</v>
      </c>
      <c r="F150" t="s">
        <v>57</v>
      </c>
    </row>
    <row r="151" spans="1:6" outlineLevel="1" collapsed="1">
      <c r="B151" s="1"/>
      <c r="E151" s="2" t="s">
        <v>252</v>
      </c>
      <c r="F151">
        <f>SUBTOTAL(3,F150:F150)</f>
        <v>1</v>
      </c>
    </row>
    <row r="152" spans="1:6" hidden="1" outlineLevel="2">
      <c r="A152" t="s">
        <v>6</v>
      </c>
      <c r="B152" s="1">
        <v>45861.436319444445</v>
      </c>
      <c r="C152">
        <v>30002</v>
      </c>
      <c r="D152" t="s">
        <v>7</v>
      </c>
      <c r="E152" t="s">
        <v>58</v>
      </c>
      <c r="F152" t="s">
        <v>59</v>
      </c>
    </row>
    <row r="153" spans="1:6" outlineLevel="1" collapsed="1">
      <c r="B153" s="1"/>
      <c r="E153" s="2" t="s">
        <v>253</v>
      </c>
      <c r="F153">
        <f>SUBTOTAL(3,F152:F152)</f>
        <v>1</v>
      </c>
    </row>
    <row r="154" spans="1:6" hidden="1" outlineLevel="2">
      <c r="A154" t="s">
        <v>6</v>
      </c>
      <c r="B154" s="1">
        <v>45852.590474537035</v>
      </c>
      <c r="C154">
        <v>30002</v>
      </c>
      <c r="D154" t="s">
        <v>7</v>
      </c>
      <c r="E154" t="s">
        <v>60</v>
      </c>
      <c r="F154" t="s">
        <v>13</v>
      </c>
    </row>
    <row r="155" spans="1:6" outlineLevel="1" collapsed="1">
      <c r="B155" s="1"/>
      <c r="E155" s="2" t="s">
        <v>254</v>
      </c>
      <c r="F155">
        <f>SUBTOTAL(3,F154:F154)</f>
        <v>1</v>
      </c>
    </row>
    <row r="156" spans="1:6" hidden="1" outlineLevel="2">
      <c r="A156" t="s">
        <v>6</v>
      </c>
      <c r="B156" s="1">
        <v>45869.542002314818</v>
      </c>
      <c r="C156">
        <v>30002</v>
      </c>
      <c r="D156" t="s">
        <v>7</v>
      </c>
      <c r="E156" t="s">
        <v>61</v>
      </c>
      <c r="F156" t="s">
        <v>55</v>
      </c>
    </row>
    <row r="157" spans="1:6" outlineLevel="1" collapsed="1">
      <c r="B157" s="1"/>
      <c r="E157" s="2" t="s">
        <v>255</v>
      </c>
      <c r="F157">
        <f>SUBTOTAL(3,F156:F156)</f>
        <v>1</v>
      </c>
    </row>
    <row r="158" spans="1:6" hidden="1" outlineLevel="2">
      <c r="A158" t="s">
        <v>6</v>
      </c>
      <c r="B158" s="1">
        <v>45839.430277777778</v>
      </c>
      <c r="C158">
        <v>30002</v>
      </c>
      <c r="D158" t="s">
        <v>7</v>
      </c>
      <c r="E158" t="s">
        <v>62</v>
      </c>
      <c r="F158" t="s">
        <v>63</v>
      </c>
    </row>
    <row r="159" spans="1:6" hidden="1" outlineLevel="2">
      <c r="A159" t="s">
        <v>6</v>
      </c>
      <c r="B159" s="1">
        <v>45855.478958333333</v>
      </c>
      <c r="C159">
        <v>30002</v>
      </c>
      <c r="D159" t="s">
        <v>7</v>
      </c>
      <c r="E159" t="s">
        <v>62</v>
      </c>
      <c r="F159" t="s">
        <v>64</v>
      </c>
    </row>
    <row r="160" spans="1:6" outlineLevel="1" collapsed="1">
      <c r="B160" s="1"/>
      <c r="E160" s="2" t="s">
        <v>256</v>
      </c>
      <c r="F160">
        <f>SUBTOTAL(3,F158:F159)</f>
        <v>2</v>
      </c>
    </row>
    <row r="161" spans="1:6" hidden="1" outlineLevel="2">
      <c r="A161" t="s">
        <v>6</v>
      </c>
      <c r="B161" s="1">
        <v>45859.528715277775</v>
      </c>
      <c r="C161">
        <v>30002</v>
      </c>
      <c r="D161" t="s">
        <v>7</v>
      </c>
      <c r="E161" t="s">
        <v>4</v>
      </c>
      <c r="F161" t="s">
        <v>65</v>
      </c>
    </row>
    <row r="162" spans="1:6" hidden="1" outlineLevel="2">
      <c r="A162" t="s">
        <v>6</v>
      </c>
      <c r="B162" s="1">
        <v>45868.394652777781</v>
      </c>
      <c r="C162">
        <v>30002</v>
      </c>
      <c r="D162" t="s">
        <v>7</v>
      </c>
      <c r="E162" t="s">
        <v>4</v>
      </c>
      <c r="F162" t="s">
        <v>66</v>
      </c>
    </row>
    <row r="163" spans="1:6" outlineLevel="1" collapsed="1">
      <c r="B163" s="1"/>
      <c r="E163" s="2" t="s">
        <v>257</v>
      </c>
      <c r="F163">
        <f>SUBTOTAL(3,F161:F162)</f>
        <v>2</v>
      </c>
    </row>
    <row r="164" spans="1:6" hidden="1" outlineLevel="2">
      <c r="A164" t="s">
        <v>6</v>
      </c>
      <c r="B164" s="1">
        <v>45860.237337962964</v>
      </c>
      <c r="C164">
        <v>30002</v>
      </c>
      <c r="D164" t="s">
        <v>7</v>
      </c>
      <c r="E164" t="s">
        <v>67</v>
      </c>
      <c r="F164" t="s">
        <v>38</v>
      </c>
    </row>
    <row r="165" spans="1:6" hidden="1" outlineLevel="2">
      <c r="A165" t="s">
        <v>6</v>
      </c>
      <c r="B165" s="1">
        <v>45860.232662037037</v>
      </c>
      <c r="C165">
        <v>30002</v>
      </c>
      <c r="D165" t="s">
        <v>7</v>
      </c>
      <c r="E165" t="s">
        <v>67</v>
      </c>
      <c r="F165" t="s">
        <v>38</v>
      </c>
    </row>
    <row r="166" spans="1:6" outlineLevel="1" collapsed="1">
      <c r="B166" s="1"/>
      <c r="E166" s="2" t="s">
        <v>258</v>
      </c>
      <c r="F166">
        <f>SUBTOTAL(3,F164:F165)</f>
        <v>2</v>
      </c>
    </row>
    <row r="167" spans="1:6" hidden="1" outlineLevel="2">
      <c r="A167" t="s">
        <v>6</v>
      </c>
      <c r="B167" s="1">
        <v>45860.235972222225</v>
      </c>
      <c r="C167">
        <v>30002</v>
      </c>
      <c r="D167" t="s">
        <v>7</v>
      </c>
      <c r="E167" t="s">
        <v>68</v>
      </c>
      <c r="F167" t="s">
        <v>38</v>
      </c>
    </row>
    <row r="168" spans="1:6" hidden="1" outlineLevel="2">
      <c r="A168" t="s">
        <v>6</v>
      </c>
      <c r="B168" s="1">
        <v>45860.234629629631</v>
      </c>
      <c r="C168">
        <v>30002</v>
      </c>
      <c r="D168" t="s">
        <v>7</v>
      </c>
      <c r="E168" t="s">
        <v>68</v>
      </c>
      <c r="F168" t="s">
        <v>38</v>
      </c>
    </row>
    <row r="169" spans="1:6" hidden="1" outlineLevel="2">
      <c r="A169" t="s">
        <v>6</v>
      </c>
      <c r="B169" s="1">
        <v>45860.233599537038</v>
      </c>
      <c r="C169">
        <v>30002</v>
      </c>
      <c r="D169" t="s">
        <v>7</v>
      </c>
      <c r="E169" t="s">
        <v>68</v>
      </c>
      <c r="F169" t="s">
        <v>38</v>
      </c>
    </row>
    <row r="170" spans="1:6" hidden="1" outlineLevel="2">
      <c r="A170" t="s">
        <v>6</v>
      </c>
      <c r="B170" s="1">
        <v>45855.383738425924</v>
      </c>
      <c r="C170">
        <v>30002</v>
      </c>
      <c r="D170" t="s">
        <v>7</v>
      </c>
      <c r="E170" t="s">
        <v>68</v>
      </c>
      <c r="F170" t="s">
        <v>38</v>
      </c>
    </row>
    <row r="171" spans="1:6" hidden="1" outlineLevel="2">
      <c r="A171" t="s">
        <v>6</v>
      </c>
      <c r="B171" s="1">
        <v>45840.508356481485</v>
      </c>
      <c r="C171">
        <v>30002</v>
      </c>
      <c r="D171" t="s">
        <v>7</v>
      </c>
      <c r="E171" t="s">
        <v>68</v>
      </c>
      <c r="F171" t="s">
        <v>38</v>
      </c>
    </row>
    <row r="172" spans="1:6" outlineLevel="1" collapsed="1">
      <c r="B172" s="1"/>
      <c r="E172" s="2" t="s">
        <v>259</v>
      </c>
      <c r="F172">
        <f>SUBTOTAL(3,F167:F171)</f>
        <v>5</v>
      </c>
    </row>
    <row r="173" spans="1:6" hidden="1" outlineLevel="2">
      <c r="A173" t="s">
        <v>6</v>
      </c>
      <c r="B173" s="1">
        <v>45869.482442129629</v>
      </c>
      <c r="C173">
        <v>30002</v>
      </c>
      <c r="D173" t="s">
        <v>7</v>
      </c>
      <c r="E173" t="s">
        <v>69</v>
      </c>
      <c r="F173" t="s">
        <v>54</v>
      </c>
    </row>
    <row r="174" spans="1:6" hidden="1" outlineLevel="2">
      <c r="A174" t="s">
        <v>6</v>
      </c>
      <c r="B174" s="1">
        <v>45862.50371527778</v>
      </c>
      <c r="C174">
        <v>30002</v>
      </c>
      <c r="D174" t="s">
        <v>7</v>
      </c>
      <c r="E174" t="s">
        <v>69</v>
      </c>
      <c r="F174" t="s">
        <v>54</v>
      </c>
    </row>
    <row r="175" spans="1:6" hidden="1" outlineLevel="2">
      <c r="A175" t="s">
        <v>6</v>
      </c>
      <c r="B175" s="1">
        <v>45848.398125</v>
      </c>
      <c r="C175">
        <v>30002</v>
      </c>
      <c r="D175" t="s">
        <v>7</v>
      </c>
      <c r="E175" t="s">
        <v>69</v>
      </c>
      <c r="F175" t="s">
        <v>54</v>
      </c>
    </row>
    <row r="176" spans="1:6" hidden="1" outlineLevel="2">
      <c r="A176" t="s">
        <v>6</v>
      </c>
      <c r="B176" s="1">
        <v>45841.519328703704</v>
      </c>
      <c r="C176">
        <v>30002</v>
      </c>
      <c r="D176" t="s">
        <v>7</v>
      </c>
      <c r="E176" t="s">
        <v>69</v>
      </c>
      <c r="F176" t="s">
        <v>54</v>
      </c>
    </row>
    <row r="177" spans="1:6" outlineLevel="1" collapsed="1">
      <c r="B177" s="1"/>
      <c r="E177" s="2" t="s">
        <v>260</v>
      </c>
      <c r="F177">
        <f>SUBTOTAL(3,F173:F176)</f>
        <v>4</v>
      </c>
    </row>
    <row r="178" spans="1:6" hidden="1" outlineLevel="2">
      <c r="A178" t="s">
        <v>6</v>
      </c>
      <c r="B178" s="1">
        <v>45854.510335648149</v>
      </c>
      <c r="C178">
        <v>30002</v>
      </c>
      <c r="D178" t="s">
        <v>7</v>
      </c>
      <c r="E178" t="s">
        <v>70</v>
      </c>
      <c r="F178" t="s">
        <v>36</v>
      </c>
    </row>
    <row r="179" spans="1:6" outlineLevel="1" collapsed="1">
      <c r="B179" s="1"/>
      <c r="E179" s="2" t="s">
        <v>261</v>
      </c>
      <c r="F179">
        <f>SUBTOTAL(3,F178:F178)</f>
        <v>1</v>
      </c>
    </row>
    <row r="180" spans="1:6" hidden="1" outlineLevel="2">
      <c r="A180" t="s">
        <v>6</v>
      </c>
      <c r="B180" s="1">
        <v>45854.487361111111</v>
      </c>
      <c r="C180">
        <v>30002</v>
      </c>
      <c r="D180" t="s">
        <v>7</v>
      </c>
      <c r="E180" t="s">
        <v>71</v>
      </c>
      <c r="F180" t="s">
        <v>36</v>
      </c>
    </row>
    <row r="181" spans="1:6" hidden="1" outlineLevel="2">
      <c r="A181" t="s">
        <v>6</v>
      </c>
      <c r="B181" s="1">
        <v>45854.482893518521</v>
      </c>
      <c r="C181">
        <v>30002</v>
      </c>
      <c r="D181" t="s">
        <v>7</v>
      </c>
      <c r="E181" t="s">
        <v>71</v>
      </c>
      <c r="F181" t="s">
        <v>36</v>
      </c>
    </row>
    <row r="182" spans="1:6" hidden="1" outlineLevel="2">
      <c r="A182" t="s">
        <v>6</v>
      </c>
      <c r="B182" s="1">
        <v>45854.482395833336</v>
      </c>
      <c r="C182">
        <v>30002</v>
      </c>
      <c r="D182" t="s">
        <v>7</v>
      </c>
      <c r="E182" t="s">
        <v>71</v>
      </c>
      <c r="F182" t="s">
        <v>36</v>
      </c>
    </row>
    <row r="183" spans="1:6" hidden="1" outlineLevel="2">
      <c r="A183" t="s">
        <v>6</v>
      </c>
      <c r="B183" s="1">
        <v>45854.482314814813</v>
      </c>
      <c r="C183">
        <v>30002</v>
      </c>
      <c r="D183" t="s">
        <v>7</v>
      </c>
      <c r="E183" t="s">
        <v>71</v>
      </c>
      <c r="F183" t="s">
        <v>36</v>
      </c>
    </row>
    <row r="184" spans="1:6" hidden="1" outlineLevel="2">
      <c r="A184" t="s">
        <v>6</v>
      </c>
      <c r="B184" s="1">
        <v>45854.481898148151</v>
      </c>
      <c r="C184">
        <v>30002</v>
      </c>
      <c r="D184" t="s">
        <v>7</v>
      </c>
      <c r="E184" t="s">
        <v>71</v>
      </c>
      <c r="F184" t="s">
        <v>36</v>
      </c>
    </row>
    <row r="185" spans="1:6" hidden="1" outlineLevel="2">
      <c r="A185" t="s">
        <v>6</v>
      </c>
      <c r="B185" s="1">
        <v>45854.480219907404</v>
      </c>
      <c r="C185">
        <v>30002</v>
      </c>
      <c r="D185" t="s">
        <v>7</v>
      </c>
      <c r="E185" t="s">
        <v>71</v>
      </c>
      <c r="F185" t="s">
        <v>36</v>
      </c>
    </row>
    <row r="186" spans="1:6" outlineLevel="1" collapsed="1">
      <c r="B186" s="1"/>
      <c r="E186" s="2" t="s">
        <v>262</v>
      </c>
      <c r="F186">
        <f>SUBTOTAL(3,F180:F185)</f>
        <v>6</v>
      </c>
    </row>
    <row r="187" spans="1:6" hidden="1" outlineLevel="2">
      <c r="A187" t="s">
        <v>6</v>
      </c>
      <c r="B187" s="1">
        <v>45854.506886574076</v>
      </c>
      <c r="C187">
        <v>30002</v>
      </c>
      <c r="D187" t="s">
        <v>7</v>
      </c>
      <c r="E187" t="s">
        <v>72</v>
      </c>
      <c r="F187" t="s">
        <v>36</v>
      </c>
    </row>
    <row r="188" spans="1:6" hidden="1" outlineLevel="2">
      <c r="A188" t="s">
        <v>6</v>
      </c>
      <c r="B188" s="1">
        <v>45854.497418981482</v>
      </c>
      <c r="C188">
        <v>30002</v>
      </c>
      <c r="D188" t="s">
        <v>7</v>
      </c>
      <c r="E188" t="s">
        <v>72</v>
      </c>
      <c r="F188" t="s">
        <v>36</v>
      </c>
    </row>
    <row r="189" spans="1:6" hidden="1" outlineLevel="2">
      <c r="A189" t="s">
        <v>6</v>
      </c>
      <c r="B189" s="1">
        <v>45854.488668981481</v>
      </c>
      <c r="C189">
        <v>30002</v>
      </c>
      <c r="D189" t="s">
        <v>7</v>
      </c>
      <c r="E189" t="s">
        <v>72</v>
      </c>
      <c r="F189" t="s">
        <v>36</v>
      </c>
    </row>
    <row r="190" spans="1:6" outlineLevel="1" collapsed="1">
      <c r="B190" s="1"/>
      <c r="E190" s="2" t="s">
        <v>263</v>
      </c>
      <c r="F190">
        <f>SUBTOTAL(3,F187:F189)</f>
        <v>3</v>
      </c>
    </row>
    <row r="191" spans="1:6" hidden="1" outlineLevel="2">
      <c r="A191" t="s">
        <v>6</v>
      </c>
      <c r="B191" s="1">
        <v>45840.611377314817</v>
      </c>
      <c r="C191">
        <v>30002</v>
      </c>
      <c r="D191" t="s">
        <v>7</v>
      </c>
      <c r="E191" t="s">
        <v>73</v>
      </c>
      <c r="F191" t="s">
        <v>27</v>
      </c>
    </row>
    <row r="192" spans="1:6" hidden="1" outlineLevel="2">
      <c r="A192" t="s">
        <v>6</v>
      </c>
      <c r="B192" s="1">
        <v>45840.600069444445</v>
      </c>
      <c r="C192">
        <v>30002</v>
      </c>
      <c r="D192" t="s">
        <v>7</v>
      </c>
      <c r="E192" t="s">
        <v>73</v>
      </c>
      <c r="F192" t="s">
        <v>27</v>
      </c>
    </row>
    <row r="193" spans="1:6" hidden="1" outlineLevel="2">
      <c r="A193" t="s">
        <v>6</v>
      </c>
      <c r="B193" s="1">
        <v>45840.592222222222</v>
      </c>
      <c r="C193">
        <v>30002</v>
      </c>
      <c r="D193" t="s">
        <v>7</v>
      </c>
      <c r="E193" t="s">
        <v>73</v>
      </c>
      <c r="F193" t="s">
        <v>27</v>
      </c>
    </row>
    <row r="194" spans="1:6" hidden="1" outlineLevel="2">
      <c r="A194" t="s">
        <v>6</v>
      </c>
      <c r="B194" s="1">
        <v>45840.591365740744</v>
      </c>
      <c r="C194">
        <v>30002</v>
      </c>
      <c r="D194" t="s">
        <v>7</v>
      </c>
      <c r="E194" t="s">
        <v>73</v>
      </c>
      <c r="F194" t="s">
        <v>27</v>
      </c>
    </row>
    <row r="195" spans="1:6" hidden="1" outlineLevel="2">
      <c r="A195" t="s">
        <v>6</v>
      </c>
      <c r="B195" s="1">
        <v>45840.59134259259</v>
      </c>
      <c r="C195">
        <v>30002</v>
      </c>
      <c r="D195" t="s">
        <v>7</v>
      </c>
      <c r="E195" t="s">
        <v>73</v>
      </c>
      <c r="F195" t="s">
        <v>27</v>
      </c>
    </row>
    <row r="196" spans="1:6" hidden="1" outlineLevel="2">
      <c r="A196" t="s">
        <v>6</v>
      </c>
      <c r="B196" s="1">
        <v>45840.587152777778</v>
      </c>
      <c r="C196">
        <v>30002</v>
      </c>
      <c r="D196" t="s">
        <v>7</v>
      </c>
      <c r="E196" t="s">
        <v>73</v>
      </c>
      <c r="F196" t="s">
        <v>27</v>
      </c>
    </row>
    <row r="197" spans="1:6" hidden="1" outlineLevel="2">
      <c r="A197" t="s">
        <v>6</v>
      </c>
      <c r="B197" s="1">
        <v>45839.614074074074</v>
      </c>
      <c r="C197">
        <v>30002</v>
      </c>
      <c r="D197" t="s">
        <v>7</v>
      </c>
      <c r="E197" t="s">
        <v>73</v>
      </c>
      <c r="F197" t="s">
        <v>27</v>
      </c>
    </row>
    <row r="198" spans="1:6" hidden="1" outlineLevel="2">
      <c r="A198" t="s">
        <v>6</v>
      </c>
      <c r="B198" s="1">
        <v>45839.339745370373</v>
      </c>
      <c r="C198">
        <v>30002</v>
      </c>
      <c r="D198" t="s">
        <v>7</v>
      </c>
      <c r="E198" t="s">
        <v>73</v>
      </c>
      <c r="F198" t="s">
        <v>27</v>
      </c>
    </row>
    <row r="199" spans="1:6" hidden="1" outlineLevel="2">
      <c r="A199" t="s">
        <v>6</v>
      </c>
      <c r="B199" s="1">
        <v>45839.337835648148</v>
      </c>
      <c r="C199">
        <v>30002</v>
      </c>
      <c r="D199" t="s">
        <v>7</v>
      </c>
      <c r="E199" t="s">
        <v>73</v>
      </c>
      <c r="F199" t="s">
        <v>27</v>
      </c>
    </row>
    <row r="200" spans="1:6" outlineLevel="1" collapsed="1">
      <c r="B200" s="1"/>
      <c r="E200" s="2" t="s">
        <v>264</v>
      </c>
      <c r="F200">
        <f>SUBTOTAL(3,F191:F199)</f>
        <v>9</v>
      </c>
    </row>
    <row r="201" spans="1:6" hidden="1" outlineLevel="2">
      <c r="A201" t="s">
        <v>6</v>
      </c>
      <c r="B201" s="1">
        <v>45845.408587962964</v>
      </c>
      <c r="C201">
        <v>30002</v>
      </c>
      <c r="D201" t="s">
        <v>7</v>
      </c>
      <c r="E201" t="s">
        <v>74</v>
      </c>
      <c r="F201" t="s">
        <v>75</v>
      </c>
    </row>
    <row r="202" spans="1:6" outlineLevel="1" collapsed="1">
      <c r="B202" s="1"/>
      <c r="E202" s="2" t="s">
        <v>265</v>
      </c>
      <c r="F202">
        <f>SUBTOTAL(3,F201:F201)</f>
        <v>1</v>
      </c>
    </row>
    <row r="203" spans="1:6" hidden="1" outlineLevel="2">
      <c r="A203" t="s">
        <v>6</v>
      </c>
      <c r="B203" s="1">
        <v>45846.369537037041</v>
      </c>
      <c r="C203">
        <v>30002</v>
      </c>
      <c r="D203" t="s">
        <v>7</v>
      </c>
      <c r="E203" t="s">
        <v>76</v>
      </c>
      <c r="F203" t="s">
        <v>18</v>
      </c>
    </row>
    <row r="204" spans="1:6" hidden="1" outlineLevel="2">
      <c r="A204" t="s">
        <v>6</v>
      </c>
      <c r="B204" s="1">
        <v>45846.367037037038</v>
      </c>
      <c r="C204">
        <v>30002</v>
      </c>
      <c r="D204" t="s">
        <v>7</v>
      </c>
      <c r="E204" t="s">
        <v>76</v>
      </c>
      <c r="F204" t="s">
        <v>18</v>
      </c>
    </row>
    <row r="205" spans="1:6" hidden="1" outlineLevel="2">
      <c r="A205" t="s">
        <v>6</v>
      </c>
      <c r="B205" s="1">
        <v>45846.358576388891</v>
      </c>
      <c r="C205">
        <v>30002</v>
      </c>
      <c r="D205" t="s">
        <v>7</v>
      </c>
      <c r="E205" t="s">
        <v>76</v>
      </c>
      <c r="F205" t="s">
        <v>18</v>
      </c>
    </row>
    <row r="206" spans="1:6" hidden="1" outlineLevel="2">
      <c r="A206" t="s">
        <v>6</v>
      </c>
      <c r="B206" s="1">
        <v>45846.353576388887</v>
      </c>
      <c r="C206">
        <v>30002</v>
      </c>
      <c r="D206" t="s">
        <v>7</v>
      </c>
      <c r="E206" t="s">
        <v>76</v>
      </c>
      <c r="F206" t="s">
        <v>18</v>
      </c>
    </row>
    <row r="207" spans="1:6" outlineLevel="1" collapsed="1">
      <c r="B207" s="1"/>
      <c r="E207" s="2" t="s">
        <v>266</v>
      </c>
      <c r="F207">
        <f>SUBTOTAL(3,F203:F206)</f>
        <v>4</v>
      </c>
    </row>
    <row r="208" spans="1:6" hidden="1" outlineLevel="2">
      <c r="A208" t="s">
        <v>6</v>
      </c>
      <c r="B208" s="1">
        <v>45863.55097222222</v>
      </c>
      <c r="C208">
        <v>30002</v>
      </c>
      <c r="D208" t="s">
        <v>7</v>
      </c>
      <c r="E208" t="s">
        <v>77</v>
      </c>
      <c r="F208" t="s">
        <v>27</v>
      </c>
    </row>
    <row r="209" spans="1:6" hidden="1" outlineLevel="2">
      <c r="A209" t="s">
        <v>6</v>
      </c>
      <c r="B209" s="1">
        <v>45849.455960648149</v>
      </c>
      <c r="C209">
        <v>30002</v>
      </c>
      <c r="D209" t="s">
        <v>7</v>
      </c>
      <c r="E209" t="s">
        <v>77</v>
      </c>
      <c r="F209" t="s">
        <v>27</v>
      </c>
    </row>
    <row r="210" spans="1:6" outlineLevel="1" collapsed="1">
      <c r="B210" s="1"/>
      <c r="E210" s="2" t="s">
        <v>267</v>
      </c>
      <c r="F210">
        <f>SUBTOTAL(3,F208:F209)</f>
        <v>2</v>
      </c>
    </row>
    <row r="211" spans="1:6" hidden="1" outlineLevel="2">
      <c r="A211" t="s">
        <v>6</v>
      </c>
      <c r="B211" s="1">
        <v>45852.380740740744</v>
      </c>
      <c r="C211">
        <v>30002</v>
      </c>
      <c r="D211" t="s">
        <v>7</v>
      </c>
      <c r="E211" t="s">
        <v>78</v>
      </c>
      <c r="F211" t="s">
        <v>27</v>
      </c>
    </row>
    <row r="212" spans="1:6" hidden="1" outlineLevel="2">
      <c r="A212" t="s">
        <v>6</v>
      </c>
      <c r="B212" s="1">
        <v>45852.373414351852</v>
      </c>
      <c r="C212">
        <v>30002</v>
      </c>
      <c r="D212" t="s">
        <v>7</v>
      </c>
      <c r="E212" t="s">
        <v>78</v>
      </c>
      <c r="F212" t="s">
        <v>27</v>
      </c>
    </row>
    <row r="213" spans="1:6" hidden="1" outlineLevel="2">
      <c r="A213" t="s">
        <v>6</v>
      </c>
      <c r="B213" s="1">
        <v>45852.372476851851</v>
      </c>
      <c r="C213">
        <v>30002</v>
      </c>
      <c r="D213" t="s">
        <v>7</v>
      </c>
      <c r="E213" t="s">
        <v>78</v>
      </c>
      <c r="F213" t="s">
        <v>27</v>
      </c>
    </row>
    <row r="214" spans="1:6" hidden="1" outlineLevel="2">
      <c r="A214" t="s">
        <v>6</v>
      </c>
      <c r="B214" s="1">
        <v>45849.603854166664</v>
      </c>
      <c r="C214">
        <v>30002</v>
      </c>
      <c r="D214" t="s">
        <v>7</v>
      </c>
      <c r="E214" t="s">
        <v>78</v>
      </c>
      <c r="F214" t="s">
        <v>27</v>
      </c>
    </row>
    <row r="215" spans="1:6" outlineLevel="1" collapsed="1">
      <c r="B215" s="1"/>
      <c r="E215" s="2" t="s">
        <v>268</v>
      </c>
      <c r="F215">
        <f>SUBTOTAL(3,F211:F214)</f>
        <v>4</v>
      </c>
    </row>
    <row r="216" spans="1:6" hidden="1" outlineLevel="2">
      <c r="A216" t="s">
        <v>6</v>
      </c>
      <c r="B216" s="1">
        <v>45846.664097222223</v>
      </c>
      <c r="C216">
        <v>30002</v>
      </c>
      <c r="D216" t="s">
        <v>7</v>
      </c>
      <c r="E216" t="s">
        <v>79</v>
      </c>
      <c r="F216" t="s">
        <v>27</v>
      </c>
    </row>
    <row r="217" spans="1:6" outlineLevel="1" collapsed="1">
      <c r="B217" s="1"/>
      <c r="E217" s="2" t="s">
        <v>269</v>
      </c>
      <c r="F217">
        <f>SUBTOTAL(3,F216:F216)</f>
        <v>1</v>
      </c>
    </row>
    <row r="218" spans="1:6" hidden="1" outlineLevel="2">
      <c r="A218" t="s">
        <v>6</v>
      </c>
      <c r="B218" s="1">
        <v>45839.433981481481</v>
      </c>
      <c r="C218">
        <v>30002</v>
      </c>
      <c r="D218" t="s">
        <v>7</v>
      </c>
      <c r="E218" t="s">
        <v>80</v>
      </c>
      <c r="F218" t="s">
        <v>27</v>
      </c>
    </row>
    <row r="219" spans="1:6" hidden="1" outlineLevel="2">
      <c r="A219" t="s">
        <v>6</v>
      </c>
      <c r="B219" s="1">
        <v>45839.411851851852</v>
      </c>
      <c r="C219">
        <v>30002</v>
      </c>
      <c r="D219" t="s">
        <v>7</v>
      </c>
      <c r="E219" t="s">
        <v>80</v>
      </c>
      <c r="F219" t="s">
        <v>27</v>
      </c>
    </row>
    <row r="220" spans="1:6" hidden="1" outlineLevel="2">
      <c r="A220" t="s">
        <v>6</v>
      </c>
      <c r="B220" s="1">
        <v>45839.411458333336</v>
      </c>
      <c r="C220">
        <v>30002</v>
      </c>
      <c r="D220" t="s">
        <v>7</v>
      </c>
      <c r="E220" t="s">
        <v>80</v>
      </c>
      <c r="F220" t="s">
        <v>27</v>
      </c>
    </row>
    <row r="221" spans="1:6" hidden="1" outlineLevel="2">
      <c r="A221" t="s">
        <v>6</v>
      </c>
      <c r="B221" s="1">
        <v>45839.41101851852</v>
      </c>
      <c r="C221">
        <v>30002</v>
      </c>
      <c r="D221" t="s">
        <v>7</v>
      </c>
      <c r="E221" t="s">
        <v>80</v>
      </c>
      <c r="F221" t="s">
        <v>27</v>
      </c>
    </row>
    <row r="222" spans="1:6" hidden="1" outlineLevel="2">
      <c r="A222" t="s">
        <v>6</v>
      </c>
      <c r="B222" s="1">
        <v>45839.410949074074</v>
      </c>
      <c r="C222">
        <v>30002</v>
      </c>
      <c r="D222" t="s">
        <v>7</v>
      </c>
      <c r="E222" t="s">
        <v>80</v>
      </c>
      <c r="F222" t="s">
        <v>27</v>
      </c>
    </row>
    <row r="223" spans="1:6" outlineLevel="1" collapsed="1">
      <c r="B223" s="1"/>
      <c r="E223" s="2" t="s">
        <v>270</v>
      </c>
      <c r="F223">
        <f>SUBTOTAL(3,F218:F222)</f>
        <v>5</v>
      </c>
    </row>
    <row r="224" spans="1:6" hidden="1" outlineLevel="2">
      <c r="A224" t="s">
        <v>6</v>
      </c>
      <c r="B224" s="1">
        <v>45839.608703703707</v>
      </c>
      <c r="C224">
        <v>30002</v>
      </c>
      <c r="D224" t="s">
        <v>7</v>
      </c>
      <c r="E224" t="s">
        <v>81</v>
      </c>
      <c r="F224" t="s">
        <v>27</v>
      </c>
    </row>
    <row r="225" spans="1:6" outlineLevel="1" collapsed="1">
      <c r="B225" s="1"/>
      <c r="E225" s="2" t="s">
        <v>271</v>
      </c>
      <c r="F225">
        <f>SUBTOTAL(3,F224:F224)</f>
        <v>1</v>
      </c>
    </row>
    <row r="226" spans="1:6" hidden="1" outlineLevel="2">
      <c r="A226" t="s">
        <v>6</v>
      </c>
      <c r="B226" s="1">
        <v>45848.460717592592</v>
      </c>
      <c r="C226">
        <v>30002</v>
      </c>
      <c r="D226" t="s">
        <v>7</v>
      </c>
      <c r="E226" t="s">
        <v>82</v>
      </c>
      <c r="F226" t="s">
        <v>27</v>
      </c>
    </row>
    <row r="227" spans="1:6" hidden="1" outlineLevel="2">
      <c r="A227" t="s">
        <v>6</v>
      </c>
      <c r="B227" s="1">
        <v>45848.46025462963</v>
      </c>
      <c r="C227">
        <v>30002</v>
      </c>
      <c r="D227" t="s">
        <v>7</v>
      </c>
      <c r="E227" t="s">
        <v>82</v>
      </c>
      <c r="F227" t="s">
        <v>27</v>
      </c>
    </row>
    <row r="228" spans="1:6" hidden="1" outlineLevel="2">
      <c r="A228" t="s">
        <v>6</v>
      </c>
      <c r="B228" s="1">
        <v>45848.420763888891</v>
      </c>
      <c r="C228">
        <v>30002</v>
      </c>
      <c r="D228" t="s">
        <v>7</v>
      </c>
      <c r="E228" t="s">
        <v>82</v>
      </c>
      <c r="F228" t="s">
        <v>27</v>
      </c>
    </row>
    <row r="229" spans="1:6" hidden="1" outlineLevel="2">
      <c r="A229" t="s">
        <v>6</v>
      </c>
      <c r="B229" s="1">
        <v>45847.414664351854</v>
      </c>
      <c r="C229">
        <v>30002</v>
      </c>
      <c r="D229" t="s">
        <v>7</v>
      </c>
      <c r="E229" t="s">
        <v>82</v>
      </c>
      <c r="F229" t="s">
        <v>27</v>
      </c>
    </row>
    <row r="230" spans="1:6" hidden="1" outlineLevel="2">
      <c r="A230" t="s">
        <v>6</v>
      </c>
      <c r="B230" s="1">
        <v>45846.638865740744</v>
      </c>
      <c r="C230">
        <v>30002</v>
      </c>
      <c r="D230" t="s">
        <v>7</v>
      </c>
      <c r="E230" t="s">
        <v>82</v>
      </c>
      <c r="F230" t="s">
        <v>27</v>
      </c>
    </row>
    <row r="231" spans="1:6" outlineLevel="1" collapsed="1">
      <c r="B231" s="1"/>
      <c r="E231" s="2" t="s">
        <v>272</v>
      </c>
      <c r="F231">
        <f>SUBTOTAL(3,F226:F230)</f>
        <v>5</v>
      </c>
    </row>
    <row r="232" spans="1:6" hidden="1" outlineLevel="2">
      <c r="A232" t="s">
        <v>6</v>
      </c>
      <c r="B232" s="1">
        <v>45848.489421296297</v>
      </c>
      <c r="C232">
        <v>30002</v>
      </c>
      <c r="D232" t="s">
        <v>7</v>
      </c>
      <c r="E232" t="s">
        <v>83</v>
      </c>
      <c r="F232" t="s">
        <v>27</v>
      </c>
    </row>
    <row r="233" spans="1:6" hidden="1" outlineLevel="2">
      <c r="A233" t="s">
        <v>6</v>
      </c>
      <c r="B233" s="1">
        <v>45848.48233796296</v>
      </c>
      <c r="C233">
        <v>30002</v>
      </c>
      <c r="D233" t="s">
        <v>7</v>
      </c>
      <c r="E233" t="s">
        <v>83</v>
      </c>
      <c r="F233" t="s">
        <v>27</v>
      </c>
    </row>
    <row r="234" spans="1:6" hidden="1" outlineLevel="2">
      <c r="A234" t="s">
        <v>6</v>
      </c>
      <c r="B234" s="1">
        <v>45848.462384259263</v>
      </c>
      <c r="C234">
        <v>30002</v>
      </c>
      <c r="D234" t="s">
        <v>7</v>
      </c>
      <c r="E234" t="s">
        <v>83</v>
      </c>
      <c r="F234" t="s">
        <v>27</v>
      </c>
    </row>
    <row r="235" spans="1:6" hidden="1" outlineLevel="2">
      <c r="A235" t="s">
        <v>6</v>
      </c>
      <c r="B235" s="1">
        <v>45847.415162037039</v>
      </c>
      <c r="C235">
        <v>30002</v>
      </c>
      <c r="D235" t="s">
        <v>7</v>
      </c>
      <c r="E235" t="s">
        <v>83</v>
      </c>
      <c r="F235" t="s">
        <v>27</v>
      </c>
    </row>
    <row r="236" spans="1:6" outlineLevel="1" collapsed="1">
      <c r="B236" s="1"/>
      <c r="E236" s="2" t="s">
        <v>273</v>
      </c>
      <c r="F236">
        <f>SUBTOTAL(3,F232:F235)</f>
        <v>4</v>
      </c>
    </row>
    <row r="237" spans="1:6" hidden="1" outlineLevel="2">
      <c r="A237" t="s">
        <v>6</v>
      </c>
      <c r="B237" s="1">
        <v>45848.463194444441</v>
      </c>
      <c r="C237">
        <v>30002</v>
      </c>
      <c r="D237" t="s">
        <v>7</v>
      </c>
      <c r="E237" t="s">
        <v>84</v>
      </c>
      <c r="F237" t="s">
        <v>27</v>
      </c>
    </row>
    <row r="238" spans="1:6" hidden="1" outlineLevel="2">
      <c r="A238" t="s">
        <v>6</v>
      </c>
      <c r="B238" s="1">
        <v>45847.416365740741</v>
      </c>
      <c r="C238">
        <v>30002</v>
      </c>
      <c r="D238" t="s">
        <v>7</v>
      </c>
      <c r="E238" t="s">
        <v>84</v>
      </c>
      <c r="F238" t="s">
        <v>27</v>
      </c>
    </row>
    <row r="239" spans="1:6" outlineLevel="1" collapsed="1">
      <c r="B239" s="1"/>
      <c r="E239" s="2" t="s">
        <v>274</v>
      </c>
      <c r="F239">
        <f>SUBTOTAL(3,F237:F238)</f>
        <v>2</v>
      </c>
    </row>
    <row r="240" spans="1:6" hidden="1" outlineLevel="2">
      <c r="A240" t="s">
        <v>6</v>
      </c>
      <c r="B240" s="1">
        <v>45848.490532407406</v>
      </c>
      <c r="C240">
        <v>30002</v>
      </c>
      <c r="D240" t="s">
        <v>7</v>
      </c>
      <c r="E240" t="s">
        <v>85</v>
      </c>
      <c r="F240" t="s">
        <v>27</v>
      </c>
    </row>
    <row r="241" spans="1:6" hidden="1" outlineLevel="2">
      <c r="A241" t="s">
        <v>6</v>
      </c>
      <c r="B241" s="1">
        <v>45848.4684837963</v>
      </c>
      <c r="C241">
        <v>30002</v>
      </c>
      <c r="D241" t="s">
        <v>7</v>
      </c>
      <c r="E241" t="s">
        <v>85</v>
      </c>
      <c r="F241" t="s">
        <v>27</v>
      </c>
    </row>
    <row r="242" spans="1:6" hidden="1" outlineLevel="2">
      <c r="A242" t="s">
        <v>6</v>
      </c>
      <c r="B242" s="1">
        <v>45847.415590277778</v>
      </c>
      <c r="C242">
        <v>30002</v>
      </c>
      <c r="D242" t="s">
        <v>7</v>
      </c>
      <c r="E242" t="s">
        <v>85</v>
      </c>
      <c r="F242" t="s">
        <v>27</v>
      </c>
    </row>
    <row r="243" spans="1:6" outlineLevel="1" collapsed="1">
      <c r="B243" s="1"/>
      <c r="E243" s="2" t="s">
        <v>275</v>
      </c>
      <c r="F243">
        <f>SUBTOTAL(3,F240:F242)</f>
        <v>3</v>
      </c>
    </row>
    <row r="244" spans="1:6" hidden="1" outlineLevel="2">
      <c r="A244" t="s">
        <v>6</v>
      </c>
      <c r="B244" s="1">
        <v>45847.417384259257</v>
      </c>
      <c r="C244">
        <v>30002</v>
      </c>
      <c r="D244" t="s">
        <v>7</v>
      </c>
      <c r="E244" t="s">
        <v>86</v>
      </c>
      <c r="F244" t="s">
        <v>27</v>
      </c>
    </row>
    <row r="245" spans="1:6" outlineLevel="1" collapsed="1">
      <c r="B245" s="1"/>
      <c r="E245" s="2" t="s">
        <v>276</v>
      </c>
      <c r="F245">
        <f>SUBTOTAL(3,F244:F244)</f>
        <v>1</v>
      </c>
    </row>
    <row r="246" spans="1:6" hidden="1" outlineLevel="2">
      <c r="A246" t="s">
        <v>6</v>
      </c>
      <c r="B246" s="1">
        <v>45848.469039351854</v>
      </c>
      <c r="C246">
        <v>30002</v>
      </c>
      <c r="D246" t="s">
        <v>7</v>
      </c>
      <c r="E246" t="s">
        <v>87</v>
      </c>
      <c r="F246" t="s">
        <v>27</v>
      </c>
    </row>
    <row r="247" spans="1:6" hidden="1" outlineLevel="2">
      <c r="A247" t="s">
        <v>6</v>
      </c>
      <c r="B247" s="1">
        <v>45847.666458333333</v>
      </c>
      <c r="C247">
        <v>30002</v>
      </c>
      <c r="D247" t="s">
        <v>7</v>
      </c>
      <c r="E247" t="s">
        <v>87</v>
      </c>
      <c r="F247" t="s">
        <v>27</v>
      </c>
    </row>
    <row r="248" spans="1:6" outlineLevel="1" collapsed="1">
      <c r="B248" s="1"/>
      <c r="E248" s="2" t="s">
        <v>277</v>
      </c>
      <c r="F248">
        <f>SUBTOTAL(3,F246:F247)</f>
        <v>2</v>
      </c>
    </row>
    <row r="249" spans="1:6" hidden="1" outlineLevel="2">
      <c r="A249" t="s">
        <v>6</v>
      </c>
      <c r="B249" s="1">
        <v>45848.469375000001</v>
      </c>
      <c r="C249">
        <v>30002</v>
      </c>
      <c r="D249" t="s">
        <v>7</v>
      </c>
      <c r="E249" t="s">
        <v>88</v>
      </c>
      <c r="F249" t="s">
        <v>27</v>
      </c>
    </row>
    <row r="250" spans="1:6" outlineLevel="1" collapsed="1">
      <c r="B250" s="1"/>
      <c r="E250" s="2" t="s">
        <v>278</v>
      </c>
      <c r="F250">
        <f>SUBTOTAL(3,F249:F249)</f>
        <v>1</v>
      </c>
    </row>
    <row r="251" spans="1:6" hidden="1" outlineLevel="2">
      <c r="A251" t="s">
        <v>6</v>
      </c>
      <c r="B251" s="1">
        <v>45848.489629629628</v>
      </c>
      <c r="C251">
        <v>30002</v>
      </c>
      <c r="D251" t="s">
        <v>7</v>
      </c>
      <c r="E251" t="s">
        <v>89</v>
      </c>
      <c r="F251" t="s">
        <v>27</v>
      </c>
    </row>
    <row r="252" spans="1:6" hidden="1" outlineLevel="2">
      <c r="A252" t="s">
        <v>6</v>
      </c>
      <c r="B252" s="1">
        <v>45848.478159722225</v>
      </c>
      <c r="C252">
        <v>30002</v>
      </c>
      <c r="D252" t="s">
        <v>7</v>
      </c>
      <c r="E252" t="s">
        <v>89</v>
      </c>
      <c r="F252" t="s">
        <v>27</v>
      </c>
    </row>
    <row r="253" spans="1:6" outlineLevel="1" collapsed="1">
      <c r="B253" s="1"/>
      <c r="E253" s="2" t="s">
        <v>279</v>
      </c>
      <c r="F253">
        <f>SUBTOTAL(3,F251:F252)</f>
        <v>2</v>
      </c>
    </row>
    <row r="254" spans="1:6" hidden="1" outlineLevel="2">
      <c r="A254" t="s">
        <v>6</v>
      </c>
      <c r="B254" s="1">
        <v>45848.459965277776</v>
      </c>
      <c r="C254">
        <v>30002</v>
      </c>
      <c r="D254" t="s">
        <v>7</v>
      </c>
      <c r="E254" t="s">
        <v>90</v>
      </c>
      <c r="F254" t="s">
        <v>27</v>
      </c>
    </row>
    <row r="255" spans="1:6" hidden="1" outlineLevel="2">
      <c r="A255" t="s">
        <v>6</v>
      </c>
      <c r="B255" s="1">
        <v>45848.449120370373</v>
      </c>
      <c r="C255">
        <v>30002</v>
      </c>
      <c r="D255" t="s">
        <v>7</v>
      </c>
      <c r="E255" t="s">
        <v>90</v>
      </c>
      <c r="F255" t="s">
        <v>27</v>
      </c>
    </row>
    <row r="256" spans="1:6" hidden="1" outlineLevel="2">
      <c r="A256" t="s">
        <v>6</v>
      </c>
      <c r="B256" s="1">
        <v>45848.427685185183</v>
      </c>
      <c r="C256">
        <v>30002</v>
      </c>
      <c r="D256" t="s">
        <v>7</v>
      </c>
      <c r="E256" t="s">
        <v>90</v>
      </c>
      <c r="F256" t="s">
        <v>27</v>
      </c>
    </row>
    <row r="257" spans="1:6" outlineLevel="1" collapsed="1">
      <c r="B257" s="1"/>
      <c r="E257" s="2" t="s">
        <v>280</v>
      </c>
      <c r="F257">
        <f>SUBTOTAL(3,F254:F256)</f>
        <v>3</v>
      </c>
    </row>
    <row r="258" spans="1:6" hidden="1" outlineLevel="2">
      <c r="A258" t="s">
        <v>6</v>
      </c>
      <c r="B258" s="1">
        <v>45848.425763888888</v>
      </c>
      <c r="C258">
        <v>30002</v>
      </c>
      <c r="D258" t="s">
        <v>7</v>
      </c>
      <c r="E258" t="s">
        <v>91</v>
      </c>
      <c r="F258" t="s">
        <v>27</v>
      </c>
    </row>
    <row r="259" spans="1:6" outlineLevel="1" collapsed="1">
      <c r="B259" s="1"/>
      <c r="E259" s="2" t="s">
        <v>281</v>
      </c>
      <c r="F259">
        <f>SUBTOTAL(3,F258:F258)</f>
        <v>1</v>
      </c>
    </row>
    <row r="260" spans="1:6" hidden="1" outlineLevel="2">
      <c r="A260" t="s">
        <v>6</v>
      </c>
      <c r="B260" s="1">
        <v>45845.662997685184</v>
      </c>
      <c r="C260">
        <v>30002</v>
      </c>
      <c r="D260" t="s">
        <v>7</v>
      </c>
      <c r="E260" t="s">
        <v>92</v>
      </c>
      <c r="F260" t="s">
        <v>27</v>
      </c>
    </row>
    <row r="261" spans="1:6" hidden="1" outlineLevel="2">
      <c r="A261" t="s">
        <v>6</v>
      </c>
      <c r="B261" s="1">
        <v>45845.662141203706</v>
      </c>
      <c r="C261">
        <v>30002</v>
      </c>
      <c r="D261" t="s">
        <v>7</v>
      </c>
      <c r="E261" t="s">
        <v>92</v>
      </c>
      <c r="F261" t="s">
        <v>27</v>
      </c>
    </row>
    <row r="262" spans="1:6" hidden="1" outlineLevel="2">
      <c r="A262" t="s">
        <v>6</v>
      </c>
      <c r="B262" s="1">
        <v>45845.661689814813</v>
      </c>
      <c r="C262">
        <v>30002</v>
      </c>
      <c r="D262" t="s">
        <v>7</v>
      </c>
      <c r="E262" t="s">
        <v>92</v>
      </c>
      <c r="F262" t="s">
        <v>27</v>
      </c>
    </row>
    <row r="263" spans="1:6" hidden="1" outlineLevel="2">
      <c r="A263" t="s">
        <v>6</v>
      </c>
      <c r="B263" s="1">
        <v>45845.661122685182</v>
      </c>
      <c r="C263">
        <v>30002</v>
      </c>
      <c r="D263" t="s">
        <v>7</v>
      </c>
      <c r="E263" t="s">
        <v>92</v>
      </c>
      <c r="F263" t="s">
        <v>27</v>
      </c>
    </row>
    <row r="264" spans="1:6" outlineLevel="1" collapsed="1">
      <c r="B264" s="1"/>
      <c r="E264" s="2" t="s">
        <v>282</v>
      </c>
      <c r="F264">
        <f>SUBTOTAL(3,F260:F263)</f>
        <v>4</v>
      </c>
    </row>
    <row r="265" spans="1:6" hidden="1" outlineLevel="2">
      <c r="A265" t="s">
        <v>6</v>
      </c>
      <c r="B265" s="1">
        <v>45866.313310185185</v>
      </c>
      <c r="C265">
        <v>30002</v>
      </c>
      <c r="D265" t="s">
        <v>7</v>
      </c>
      <c r="E265" t="s">
        <v>93</v>
      </c>
      <c r="F265" t="s">
        <v>94</v>
      </c>
    </row>
    <row r="266" spans="1:6" hidden="1" outlineLevel="2">
      <c r="A266" t="s">
        <v>6</v>
      </c>
      <c r="B266" s="1">
        <v>45861.430937500001</v>
      </c>
      <c r="C266">
        <v>30002</v>
      </c>
      <c r="D266" t="s">
        <v>7</v>
      </c>
      <c r="E266" t="s">
        <v>93</v>
      </c>
      <c r="F266" t="s">
        <v>94</v>
      </c>
    </row>
    <row r="267" spans="1:6" hidden="1" outlineLevel="2">
      <c r="A267" t="s">
        <v>6</v>
      </c>
      <c r="B267" s="1">
        <v>45840.48233796296</v>
      </c>
      <c r="C267">
        <v>30002</v>
      </c>
      <c r="D267" t="s">
        <v>7</v>
      </c>
      <c r="E267" t="s">
        <v>93</v>
      </c>
      <c r="F267" t="s">
        <v>94</v>
      </c>
    </row>
    <row r="268" spans="1:6" hidden="1" outlineLevel="2">
      <c r="A268" t="s">
        <v>6</v>
      </c>
      <c r="B268" s="1">
        <v>45861.380127314813</v>
      </c>
      <c r="C268">
        <v>30002</v>
      </c>
      <c r="D268" t="s">
        <v>7</v>
      </c>
      <c r="E268" t="s">
        <v>93</v>
      </c>
      <c r="F268" t="s">
        <v>95</v>
      </c>
    </row>
    <row r="269" spans="1:6" hidden="1" outlineLevel="2">
      <c r="A269" t="s">
        <v>6</v>
      </c>
      <c r="B269" s="1">
        <v>45861.378495370373</v>
      </c>
      <c r="C269">
        <v>30002</v>
      </c>
      <c r="D269" t="s">
        <v>7</v>
      </c>
      <c r="E269" t="s">
        <v>93</v>
      </c>
      <c r="F269" t="s">
        <v>95</v>
      </c>
    </row>
    <row r="270" spans="1:6" hidden="1" outlineLevel="2">
      <c r="A270" t="s">
        <v>6</v>
      </c>
      <c r="B270" s="1">
        <v>45861.37462962963</v>
      </c>
      <c r="C270">
        <v>30002</v>
      </c>
      <c r="D270" t="s">
        <v>7</v>
      </c>
      <c r="E270" t="s">
        <v>93</v>
      </c>
      <c r="F270" t="s">
        <v>95</v>
      </c>
    </row>
    <row r="271" spans="1:6" hidden="1" outlineLevel="2">
      <c r="A271" t="s">
        <v>6</v>
      </c>
      <c r="B271" s="1">
        <v>45862.38690972222</v>
      </c>
      <c r="C271">
        <v>30002</v>
      </c>
      <c r="D271" t="s">
        <v>7</v>
      </c>
      <c r="E271" t="s">
        <v>93</v>
      </c>
      <c r="F271" t="s">
        <v>96</v>
      </c>
    </row>
    <row r="272" spans="1:6" hidden="1" outlineLevel="2">
      <c r="A272" t="s">
        <v>6</v>
      </c>
      <c r="B272" s="1">
        <v>45862.386782407404</v>
      </c>
      <c r="C272">
        <v>30002</v>
      </c>
      <c r="D272" t="s">
        <v>7</v>
      </c>
      <c r="E272" t="s">
        <v>93</v>
      </c>
      <c r="F272" t="s">
        <v>96</v>
      </c>
    </row>
    <row r="273" spans="1:6" hidden="1" outlineLevel="2">
      <c r="A273" t="s">
        <v>6</v>
      </c>
      <c r="B273" s="1">
        <v>45842.631527777776</v>
      </c>
      <c r="C273">
        <v>30002</v>
      </c>
      <c r="D273" t="s">
        <v>7</v>
      </c>
      <c r="E273" t="s">
        <v>93</v>
      </c>
      <c r="F273" t="s">
        <v>19</v>
      </c>
    </row>
    <row r="274" spans="1:6" hidden="1" outlineLevel="2">
      <c r="A274" t="s">
        <v>6</v>
      </c>
      <c r="B274" s="1">
        <v>45842.630509259259</v>
      </c>
      <c r="C274">
        <v>30002</v>
      </c>
      <c r="D274" t="s">
        <v>7</v>
      </c>
      <c r="E274" t="s">
        <v>93</v>
      </c>
      <c r="F274" t="s">
        <v>19</v>
      </c>
    </row>
    <row r="275" spans="1:6" hidden="1" outlineLevel="2">
      <c r="A275" t="s">
        <v>6</v>
      </c>
      <c r="B275" s="1">
        <v>45842.630335648151</v>
      </c>
      <c r="C275">
        <v>30002</v>
      </c>
      <c r="D275" t="s">
        <v>7</v>
      </c>
      <c r="E275" t="s">
        <v>93</v>
      </c>
      <c r="F275" t="s">
        <v>19</v>
      </c>
    </row>
    <row r="276" spans="1:6" hidden="1" outlineLevel="2">
      <c r="A276" t="s">
        <v>6</v>
      </c>
      <c r="B276" s="1">
        <v>45842.630254629628</v>
      </c>
      <c r="C276">
        <v>30002</v>
      </c>
      <c r="D276" t="s">
        <v>7</v>
      </c>
      <c r="E276" t="s">
        <v>93</v>
      </c>
      <c r="F276" t="s">
        <v>19</v>
      </c>
    </row>
    <row r="277" spans="1:6" hidden="1" outlineLevel="2">
      <c r="A277" t="s">
        <v>6</v>
      </c>
      <c r="B277" s="1">
        <v>45860.266562500001</v>
      </c>
      <c r="C277">
        <v>30002</v>
      </c>
      <c r="D277" t="s">
        <v>7</v>
      </c>
      <c r="E277" t="s">
        <v>93</v>
      </c>
      <c r="F277" t="s">
        <v>21</v>
      </c>
    </row>
    <row r="278" spans="1:6" hidden="1" outlineLevel="2">
      <c r="A278" t="s">
        <v>6</v>
      </c>
      <c r="B278" s="1">
        <v>45849.340636574074</v>
      </c>
      <c r="C278">
        <v>30002</v>
      </c>
      <c r="D278" t="s">
        <v>7</v>
      </c>
      <c r="E278" t="s">
        <v>93</v>
      </c>
      <c r="F278" t="s">
        <v>97</v>
      </c>
    </row>
    <row r="279" spans="1:6" outlineLevel="1" collapsed="1">
      <c r="B279" s="1"/>
      <c r="E279" s="2" t="s">
        <v>283</v>
      </c>
      <c r="F279">
        <f>SUBTOTAL(3,F265:F278)</f>
        <v>14</v>
      </c>
    </row>
    <row r="280" spans="1:6" hidden="1" outlineLevel="2">
      <c r="A280" t="s">
        <v>6</v>
      </c>
      <c r="B280" s="1">
        <v>45840.484166666669</v>
      </c>
      <c r="C280">
        <v>30002</v>
      </c>
      <c r="D280" t="s">
        <v>7</v>
      </c>
      <c r="E280" t="s">
        <v>98</v>
      </c>
      <c r="F280" t="s">
        <v>94</v>
      </c>
    </row>
    <row r="281" spans="1:6" hidden="1" outlineLevel="2">
      <c r="A281" t="s">
        <v>6</v>
      </c>
      <c r="B281" s="1">
        <v>45840.482835648145</v>
      </c>
      <c r="C281">
        <v>30002</v>
      </c>
      <c r="D281" t="s">
        <v>7</v>
      </c>
      <c r="E281" t="s">
        <v>98</v>
      </c>
      <c r="F281" t="s">
        <v>94</v>
      </c>
    </row>
    <row r="282" spans="1:6" hidden="1" outlineLevel="2">
      <c r="A282" t="s">
        <v>6</v>
      </c>
      <c r="B282" s="1">
        <v>45861.377546296295</v>
      </c>
      <c r="C282">
        <v>30002</v>
      </c>
      <c r="D282" t="s">
        <v>7</v>
      </c>
      <c r="E282" t="s">
        <v>98</v>
      </c>
      <c r="F282" t="s">
        <v>95</v>
      </c>
    </row>
    <row r="283" spans="1:6" hidden="1" outlineLevel="2">
      <c r="A283" t="s">
        <v>6</v>
      </c>
      <c r="B283" s="1">
        <v>45861.659305555557</v>
      </c>
      <c r="C283">
        <v>30002</v>
      </c>
      <c r="D283" t="s">
        <v>7</v>
      </c>
      <c r="E283" t="s">
        <v>98</v>
      </c>
      <c r="F283" t="s">
        <v>24</v>
      </c>
    </row>
    <row r="284" spans="1:6" outlineLevel="1" collapsed="1">
      <c r="B284" s="1"/>
      <c r="E284" s="2" t="s">
        <v>284</v>
      </c>
      <c r="F284">
        <f>SUBTOTAL(3,F280:F283)</f>
        <v>4</v>
      </c>
    </row>
    <row r="285" spans="1:6" hidden="1" outlineLevel="2">
      <c r="A285" t="s">
        <v>6</v>
      </c>
      <c r="B285" s="1">
        <v>45842.635034722225</v>
      </c>
      <c r="C285">
        <v>30002</v>
      </c>
      <c r="D285" t="s">
        <v>7</v>
      </c>
      <c r="E285" t="s">
        <v>99</v>
      </c>
      <c r="F285" t="s">
        <v>19</v>
      </c>
    </row>
    <row r="286" spans="1:6" hidden="1" outlineLevel="2">
      <c r="A286" t="s">
        <v>6</v>
      </c>
      <c r="B286" s="1">
        <v>45839.348240740743</v>
      </c>
      <c r="C286">
        <v>30002</v>
      </c>
      <c r="D286" t="s">
        <v>7</v>
      </c>
      <c r="E286" t="s">
        <v>99</v>
      </c>
      <c r="F286" t="s">
        <v>31</v>
      </c>
    </row>
    <row r="287" spans="1:6" outlineLevel="1" collapsed="1">
      <c r="B287" s="1"/>
      <c r="E287" s="2" t="s">
        <v>285</v>
      </c>
      <c r="F287">
        <f>SUBTOTAL(3,F285:F286)</f>
        <v>2</v>
      </c>
    </row>
    <row r="288" spans="1:6" hidden="1" outlineLevel="2">
      <c r="A288" t="s">
        <v>6</v>
      </c>
      <c r="B288" s="1">
        <v>45840.525949074072</v>
      </c>
      <c r="C288">
        <v>30002</v>
      </c>
      <c r="D288" t="s">
        <v>7</v>
      </c>
      <c r="E288" t="s">
        <v>100</v>
      </c>
      <c r="F288" t="s">
        <v>101</v>
      </c>
    </row>
    <row r="289" spans="1:6" hidden="1" outlineLevel="2">
      <c r="A289" t="s">
        <v>6</v>
      </c>
      <c r="B289" s="1">
        <v>45840.523275462961</v>
      </c>
      <c r="C289">
        <v>30002</v>
      </c>
      <c r="D289" t="s">
        <v>7</v>
      </c>
      <c r="E289" t="s">
        <v>100</v>
      </c>
      <c r="F289" t="s">
        <v>101</v>
      </c>
    </row>
    <row r="290" spans="1:6" hidden="1" outlineLevel="2">
      <c r="A290" t="s">
        <v>6</v>
      </c>
      <c r="B290" s="1">
        <v>45840.522511574076</v>
      </c>
      <c r="C290">
        <v>30002</v>
      </c>
      <c r="D290" t="s">
        <v>7</v>
      </c>
      <c r="E290" t="s">
        <v>100</v>
      </c>
      <c r="F290" t="s">
        <v>101</v>
      </c>
    </row>
    <row r="291" spans="1:6" hidden="1" outlineLevel="2">
      <c r="A291" t="s">
        <v>6</v>
      </c>
      <c r="B291" s="1">
        <v>45845.918356481481</v>
      </c>
      <c r="C291">
        <v>30002</v>
      </c>
      <c r="D291" t="s">
        <v>7</v>
      </c>
      <c r="E291" t="s">
        <v>100</v>
      </c>
      <c r="F291" t="s">
        <v>102</v>
      </c>
    </row>
    <row r="292" spans="1:6" hidden="1" outlineLevel="2">
      <c r="A292" t="s">
        <v>6</v>
      </c>
      <c r="B292" s="1">
        <v>45868.351180555554</v>
      </c>
      <c r="C292">
        <v>30002</v>
      </c>
      <c r="D292" t="s">
        <v>7</v>
      </c>
      <c r="E292" t="s">
        <v>100</v>
      </c>
      <c r="F292" t="s">
        <v>13</v>
      </c>
    </row>
    <row r="293" spans="1:6" hidden="1" outlineLevel="2">
      <c r="A293" t="s">
        <v>6</v>
      </c>
      <c r="B293" s="1">
        <v>45867.504710648151</v>
      </c>
      <c r="C293">
        <v>30002</v>
      </c>
      <c r="D293" t="s">
        <v>7</v>
      </c>
      <c r="E293" t="s">
        <v>100</v>
      </c>
      <c r="F293" t="s">
        <v>13</v>
      </c>
    </row>
    <row r="294" spans="1:6" hidden="1" outlineLevel="2">
      <c r="A294" t="s">
        <v>6</v>
      </c>
      <c r="B294" s="1">
        <v>45867.458622685182</v>
      </c>
      <c r="C294">
        <v>30002</v>
      </c>
      <c r="D294" t="s">
        <v>7</v>
      </c>
      <c r="E294" t="s">
        <v>100</v>
      </c>
      <c r="F294" t="s">
        <v>13</v>
      </c>
    </row>
    <row r="295" spans="1:6" hidden="1" outlineLevel="2">
      <c r="A295" t="s">
        <v>6</v>
      </c>
      <c r="B295" s="1">
        <v>45866.410856481481</v>
      </c>
      <c r="C295">
        <v>30002</v>
      </c>
      <c r="D295" t="s">
        <v>7</v>
      </c>
      <c r="E295" t="s">
        <v>100</v>
      </c>
      <c r="F295" t="s">
        <v>13</v>
      </c>
    </row>
    <row r="296" spans="1:6" hidden="1" outlineLevel="2">
      <c r="A296" t="s">
        <v>6</v>
      </c>
      <c r="B296" s="1">
        <v>45861.454270833332</v>
      </c>
      <c r="C296">
        <v>30002</v>
      </c>
      <c r="D296" t="s">
        <v>7</v>
      </c>
      <c r="E296" t="s">
        <v>100</v>
      </c>
      <c r="F296" t="s">
        <v>13</v>
      </c>
    </row>
    <row r="297" spans="1:6" hidden="1" outlineLevel="2">
      <c r="A297" t="s">
        <v>6</v>
      </c>
      <c r="B297" s="1">
        <v>45856.4528587963</v>
      </c>
      <c r="C297">
        <v>30002</v>
      </c>
      <c r="D297" t="s">
        <v>7</v>
      </c>
      <c r="E297" t="s">
        <v>100</v>
      </c>
      <c r="F297" t="s">
        <v>13</v>
      </c>
    </row>
    <row r="298" spans="1:6" hidden="1" outlineLevel="2">
      <c r="A298" t="s">
        <v>6</v>
      </c>
      <c r="B298" s="1">
        <v>45856.450624999998</v>
      </c>
      <c r="C298">
        <v>30002</v>
      </c>
      <c r="D298" t="s">
        <v>7</v>
      </c>
      <c r="E298" t="s">
        <v>100</v>
      </c>
      <c r="F298" t="s">
        <v>13</v>
      </c>
    </row>
    <row r="299" spans="1:6" hidden="1" outlineLevel="2">
      <c r="A299" t="s">
        <v>6</v>
      </c>
      <c r="B299" s="1">
        <v>45854.472581018519</v>
      </c>
      <c r="C299">
        <v>30002</v>
      </c>
      <c r="D299" t="s">
        <v>7</v>
      </c>
      <c r="E299" t="s">
        <v>100</v>
      </c>
      <c r="F299" t="s">
        <v>13</v>
      </c>
    </row>
    <row r="300" spans="1:6" hidden="1" outlineLevel="2">
      <c r="A300" t="s">
        <v>6</v>
      </c>
      <c r="B300" s="1">
        <v>45848.482199074075</v>
      </c>
      <c r="C300">
        <v>30002</v>
      </c>
      <c r="D300" t="s">
        <v>7</v>
      </c>
      <c r="E300" t="s">
        <v>100</v>
      </c>
      <c r="F300" t="s">
        <v>13</v>
      </c>
    </row>
    <row r="301" spans="1:6" hidden="1" outlineLevel="2">
      <c r="A301" t="s">
        <v>6</v>
      </c>
      <c r="B301" s="1">
        <v>45848.465543981481</v>
      </c>
      <c r="C301">
        <v>30002</v>
      </c>
      <c r="D301" t="s">
        <v>7</v>
      </c>
      <c r="E301" t="s">
        <v>100</v>
      </c>
      <c r="F301" t="s">
        <v>13</v>
      </c>
    </row>
    <row r="302" spans="1:6" hidden="1" outlineLevel="2">
      <c r="A302" t="s">
        <v>6</v>
      </c>
      <c r="B302" s="1">
        <v>45848.442893518521</v>
      </c>
      <c r="C302">
        <v>30002</v>
      </c>
      <c r="D302" t="s">
        <v>7</v>
      </c>
      <c r="E302" t="s">
        <v>100</v>
      </c>
      <c r="F302" t="s">
        <v>13</v>
      </c>
    </row>
    <row r="303" spans="1:6" hidden="1" outlineLevel="2">
      <c r="A303" t="s">
        <v>6</v>
      </c>
      <c r="B303" s="1">
        <v>45847.356342592589</v>
      </c>
      <c r="C303">
        <v>30002</v>
      </c>
      <c r="D303" t="s">
        <v>7</v>
      </c>
      <c r="E303" t="s">
        <v>100</v>
      </c>
      <c r="F303" t="s">
        <v>13</v>
      </c>
    </row>
    <row r="304" spans="1:6" hidden="1" outlineLevel="2">
      <c r="A304" t="s">
        <v>6</v>
      </c>
      <c r="B304" s="1">
        <v>45847.355868055558</v>
      </c>
      <c r="C304">
        <v>30002</v>
      </c>
      <c r="D304" t="s">
        <v>7</v>
      </c>
      <c r="E304" t="s">
        <v>100</v>
      </c>
      <c r="F304" t="s">
        <v>13</v>
      </c>
    </row>
    <row r="305" spans="1:6" hidden="1" outlineLevel="2">
      <c r="A305" t="s">
        <v>6</v>
      </c>
      <c r="B305" s="1">
        <v>45847.349351851852</v>
      </c>
      <c r="C305">
        <v>30002</v>
      </c>
      <c r="D305" t="s">
        <v>7</v>
      </c>
      <c r="E305" t="s">
        <v>100</v>
      </c>
      <c r="F305" t="s">
        <v>13</v>
      </c>
    </row>
    <row r="306" spans="1:6" hidden="1" outlineLevel="2">
      <c r="A306" t="s">
        <v>6</v>
      </c>
      <c r="B306" s="1">
        <v>45862.3596412037</v>
      </c>
      <c r="C306">
        <v>30002</v>
      </c>
      <c r="D306" t="s">
        <v>7</v>
      </c>
      <c r="E306" t="s">
        <v>100</v>
      </c>
      <c r="F306" t="s">
        <v>18</v>
      </c>
    </row>
    <row r="307" spans="1:6" hidden="1" outlineLevel="2">
      <c r="A307" t="s">
        <v>6</v>
      </c>
      <c r="B307" s="1">
        <v>45846.337337962963</v>
      </c>
      <c r="C307">
        <v>30002</v>
      </c>
      <c r="D307" t="s">
        <v>7</v>
      </c>
      <c r="E307" t="s">
        <v>100</v>
      </c>
      <c r="F307" t="s">
        <v>18</v>
      </c>
    </row>
    <row r="308" spans="1:6" hidden="1" outlineLevel="2">
      <c r="A308" t="s">
        <v>6</v>
      </c>
      <c r="B308" s="1">
        <v>45845.923344907409</v>
      </c>
      <c r="C308">
        <v>30002</v>
      </c>
      <c r="D308" t="s">
        <v>7</v>
      </c>
      <c r="E308" t="s">
        <v>100</v>
      </c>
      <c r="F308" t="s">
        <v>18</v>
      </c>
    </row>
    <row r="309" spans="1:6" hidden="1" outlineLevel="2">
      <c r="A309" t="s">
        <v>6</v>
      </c>
      <c r="B309" s="1">
        <v>45845.851122685184</v>
      </c>
      <c r="C309">
        <v>30002</v>
      </c>
      <c r="D309" t="s">
        <v>7</v>
      </c>
      <c r="E309" t="s">
        <v>100</v>
      </c>
      <c r="F309" t="s">
        <v>18</v>
      </c>
    </row>
    <row r="310" spans="1:6" hidden="1" outlineLevel="2">
      <c r="A310" t="s">
        <v>6</v>
      </c>
      <c r="B310" s="1">
        <v>45845.833240740743</v>
      </c>
      <c r="C310">
        <v>30002</v>
      </c>
      <c r="D310" t="s">
        <v>7</v>
      </c>
      <c r="E310" t="s">
        <v>100</v>
      </c>
      <c r="F310" t="s">
        <v>18</v>
      </c>
    </row>
    <row r="311" spans="1:6" hidden="1" outlineLevel="2">
      <c r="A311" t="s">
        <v>6</v>
      </c>
      <c r="B311" s="1">
        <v>45845.60056712963</v>
      </c>
      <c r="C311">
        <v>30002</v>
      </c>
      <c r="D311" t="s">
        <v>7</v>
      </c>
      <c r="E311" t="s">
        <v>100</v>
      </c>
      <c r="F311" t="s">
        <v>18</v>
      </c>
    </row>
    <row r="312" spans="1:6" hidden="1" outlineLevel="2">
      <c r="A312" t="s">
        <v>6</v>
      </c>
      <c r="B312" s="1">
        <v>45845.60015046296</v>
      </c>
      <c r="C312">
        <v>30002</v>
      </c>
      <c r="D312" t="s">
        <v>7</v>
      </c>
      <c r="E312" t="s">
        <v>100</v>
      </c>
      <c r="F312" t="s">
        <v>18</v>
      </c>
    </row>
    <row r="313" spans="1:6" hidden="1" outlineLevel="2">
      <c r="A313" t="s">
        <v>6</v>
      </c>
      <c r="B313" s="1">
        <v>45845.493298611109</v>
      </c>
      <c r="C313">
        <v>30002</v>
      </c>
      <c r="D313" t="s">
        <v>7</v>
      </c>
      <c r="E313" t="s">
        <v>100</v>
      </c>
      <c r="F313" t="s">
        <v>18</v>
      </c>
    </row>
    <row r="314" spans="1:6" hidden="1" outlineLevel="2">
      <c r="A314" t="s">
        <v>6</v>
      </c>
      <c r="B314" s="1">
        <v>45845.474317129629</v>
      </c>
      <c r="C314">
        <v>30002</v>
      </c>
      <c r="D314" t="s">
        <v>7</v>
      </c>
      <c r="E314" t="s">
        <v>100</v>
      </c>
      <c r="F314" t="s">
        <v>18</v>
      </c>
    </row>
    <row r="315" spans="1:6" hidden="1" outlineLevel="2">
      <c r="A315" t="s">
        <v>6</v>
      </c>
      <c r="B315" s="1">
        <v>45845.471655092595</v>
      </c>
      <c r="C315">
        <v>30002</v>
      </c>
      <c r="D315" t="s">
        <v>7</v>
      </c>
      <c r="E315" t="s">
        <v>100</v>
      </c>
      <c r="F315" t="s">
        <v>18</v>
      </c>
    </row>
    <row r="316" spans="1:6" hidden="1" outlineLevel="2">
      <c r="A316" t="s">
        <v>6</v>
      </c>
      <c r="B316" s="1">
        <v>45845.43172453704</v>
      </c>
      <c r="C316">
        <v>30002</v>
      </c>
      <c r="D316" t="s">
        <v>7</v>
      </c>
      <c r="E316" t="s">
        <v>100</v>
      </c>
      <c r="F316" t="s">
        <v>18</v>
      </c>
    </row>
    <row r="317" spans="1:6" hidden="1" outlineLevel="2">
      <c r="A317" t="s">
        <v>6</v>
      </c>
      <c r="B317" s="1">
        <v>45845.410995370374</v>
      </c>
      <c r="C317">
        <v>30002</v>
      </c>
      <c r="D317" t="s">
        <v>7</v>
      </c>
      <c r="E317" t="s">
        <v>100</v>
      </c>
      <c r="F317" t="s">
        <v>18</v>
      </c>
    </row>
    <row r="318" spans="1:6" hidden="1" outlineLevel="2">
      <c r="A318" t="s">
        <v>6</v>
      </c>
      <c r="B318" s="1">
        <v>45869.758912037039</v>
      </c>
      <c r="C318">
        <v>30002</v>
      </c>
      <c r="D318" t="s">
        <v>7</v>
      </c>
      <c r="E318" t="s">
        <v>100</v>
      </c>
      <c r="F318" t="s">
        <v>103</v>
      </c>
    </row>
    <row r="319" spans="1:6" hidden="1" outlineLevel="2">
      <c r="A319" t="s">
        <v>6</v>
      </c>
      <c r="B319" s="1">
        <v>45869.751261574071</v>
      </c>
      <c r="C319">
        <v>30002</v>
      </c>
      <c r="D319" t="s">
        <v>7</v>
      </c>
      <c r="E319" t="s">
        <v>100</v>
      </c>
      <c r="F319" t="s">
        <v>103</v>
      </c>
    </row>
    <row r="320" spans="1:6" hidden="1" outlineLevel="2">
      <c r="A320" t="s">
        <v>6</v>
      </c>
      <c r="B320" s="1">
        <v>45868.347743055558</v>
      </c>
      <c r="C320">
        <v>30002</v>
      </c>
      <c r="D320" t="s">
        <v>7</v>
      </c>
      <c r="E320" t="s">
        <v>100</v>
      </c>
      <c r="F320" t="s">
        <v>103</v>
      </c>
    </row>
    <row r="321" spans="1:6" hidden="1" outlineLevel="2">
      <c r="A321" t="s">
        <v>6</v>
      </c>
      <c r="B321" s="1">
        <v>45866.465115740742</v>
      </c>
      <c r="C321">
        <v>30002</v>
      </c>
      <c r="D321" t="s">
        <v>7</v>
      </c>
      <c r="E321" t="s">
        <v>100</v>
      </c>
      <c r="F321" t="s">
        <v>103</v>
      </c>
    </row>
    <row r="322" spans="1:6" hidden="1" outlineLevel="2">
      <c r="A322" t="s">
        <v>6</v>
      </c>
      <c r="B322" s="1">
        <v>45861.242106481484</v>
      </c>
      <c r="C322">
        <v>30002</v>
      </c>
      <c r="D322" t="s">
        <v>7</v>
      </c>
      <c r="E322" t="s">
        <v>100</v>
      </c>
      <c r="F322" t="s">
        <v>103</v>
      </c>
    </row>
    <row r="323" spans="1:6" hidden="1" outlineLevel="2">
      <c r="A323" t="s">
        <v>6</v>
      </c>
      <c r="B323" s="1">
        <v>45861.240555555552</v>
      </c>
      <c r="C323">
        <v>30002</v>
      </c>
      <c r="D323" t="s">
        <v>7</v>
      </c>
      <c r="E323" t="s">
        <v>100</v>
      </c>
      <c r="F323" t="s">
        <v>103</v>
      </c>
    </row>
    <row r="324" spans="1:6" hidden="1" outlineLevel="2">
      <c r="A324" t="s">
        <v>6</v>
      </c>
      <c r="B324" s="1">
        <v>45859.229317129626</v>
      </c>
      <c r="C324">
        <v>30002</v>
      </c>
      <c r="D324" t="s">
        <v>7</v>
      </c>
      <c r="E324" t="s">
        <v>100</v>
      </c>
      <c r="F324" t="s">
        <v>103</v>
      </c>
    </row>
    <row r="325" spans="1:6" hidden="1" outlineLevel="2">
      <c r="A325" t="s">
        <v>6</v>
      </c>
      <c r="B325" s="1">
        <v>45845.485439814816</v>
      </c>
      <c r="C325">
        <v>30002</v>
      </c>
      <c r="D325" t="s">
        <v>7</v>
      </c>
      <c r="E325" t="s">
        <v>100</v>
      </c>
      <c r="F325" t="s">
        <v>103</v>
      </c>
    </row>
    <row r="326" spans="1:6" hidden="1" outlineLevel="2">
      <c r="A326" t="s">
        <v>6</v>
      </c>
      <c r="B326" s="1">
        <v>45845.48269675926</v>
      </c>
      <c r="C326">
        <v>30002</v>
      </c>
      <c r="D326" t="s">
        <v>7</v>
      </c>
      <c r="E326" t="s">
        <v>100</v>
      </c>
      <c r="F326" t="s">
        <v>103</v>
      </c>
    </row>
    <row r="327" spans="1:6" hidden="1" outlineLevel="2">
      <c r="A327" t="s">
        <v>6</v>
      </c>
      <c r="B327" s="1">
        <v>45845.411863425928</v>
      </c>
      <c r="C327">
        <v>30002</v>
      </c>
      <c r="D327" t="s">
        <v>7</v>
      </c>
      <c r="E327" t="s">
        <v>100</v>
      </c>
      <c r="F327" t="s">
        <v>103</v>
      </c>
    </row>
    <row r="328" spans="1:6" hidden="1" outlineLevel="2">
      <c r="A328" t="s">
        <v>6</v>
      </c>
      <c r="B328" s="1">
        <v>45845.396828703706</v>
      </c>
      <c r="C328">
        <v>30002</v>
      </c>
      <c r="D328" t="s">
        <v>7</v>
      </c>
      <c r="E328" t="s">
        <v>100</v>
      </c>
      <c r="F328" t="s">
        <v>103</v>
      </c>
    </row>
    <row r="329" spans="1:6" hidden="1" outlineLevel="2">
      <c r="A329" t="s">
        <v>6</v>
      </c>
      <c r="B329" s="1">
        <v>45845.377962962964</v>
      </c>
      <c r="C329">
        <v>30002</v>
      </c>
      <c r="D329" t="s">
        <v>7</v>
      </c>
      <c r="E329" t="s">
        <v>100</v>
      </c>
      <c r="F329" t="s">
        <v>103</v>
      </c>
    </row>
    <row r="330" spans="1:6" hidden="1" outlineLevel="2">
      <c r="A330" t="s">
        <v>6</v>
      </c>
      <c r="B330" s="1">
        <v>45845.37667824074</v>
      </c>
      <c r="C330">
        <v>30002</v>
      </c>
      <c r="D330" t="s">
        <v>7</v>
      </c>
      <c r="E330" t="s">
        <v>100</v>
      </c>
      <c r="F330" t="s">
        <v>103</v>
      </c>
    </row>
    <row r="331" spans="1:6" hidden="1" outlineLevel="2">
      <c r="A331" t="s">
        <v>6</v>
      </c>
      <c r="B331" s="1">
        <v>45844.447430555556</v>
      </c>
      <c r="C331">
        <v>30002</v>
      </c>
      <c r="D331" t="s">
        <v>7</v>
      </c>
      <c r="E331" t="s">
        <v>100</v>
      </c>
      <c r="F331" t="s">
        <v>103</v>
      </c>
    </row>
    <row r="332" spans="1:6" hidden="1" outlineLevel="2">
      <c r="A332" t="s">
        <v>6</v>
      </c>
      <c r="B332" s="1">
        <v>45844.419166666667</v>
      </c>
      <c r="C332">
        <v>30002</v>
      </c>
      <c r="D332" t="s">
        <v>7</v>
      </c>
      <c r="E332" t="s">
        <v>100</v>
      </c>
      <c r="F332" t="s">
        <v>103</v>
      </c>
    </row>
    <row r="333" spans="1:6" hidden="1" outlineLevel="2">
      <c r="A333" t="s">
        <v>6</v>
      </c>
      <c r="B333" s="1">
        <v>45840.550798611112</v>
      </c>
      <c r="C333">
        <v>30002</v>
      </c>
      <c r="D333" t="s">
        <v>7</v>
      </c>
      <c r="E333" t="s">
        <v>100</v>
      </c>
      <c r="F333" t="s">
        <v>103</v>
      </c>
    </row>
    <row r="334" spans="1:6" hidden="1" outlineLevel="2">
      <c r="A334" t="s">
        <v>6</v>
      </c>
      <c r="B334" s="1">
        <v>45839.527870370373</v>
      </c>
      <c r="C334">
        <v>30002</v>
      </c>
      <c r="D334" t="s">
        <v>7</v>
      </c>
      <c r="E334" t="s">
        <v>100</v>
      </c>
      <c r="F334" t="s">
        <v>103</v>
      </c>
    </row>
    <row r="335" spans="1:6" hidden="1" outlineLevel="2">
      <c r="A335" t="s">
        <v>6</v>
      </c>
      <c r="B335" s="1">
        <v>45839.516643518517</v>
      </c>
      <c r="C335">
        <v>30002</v>
      </c>
      <c r="D335" t="s">
        <v>7</v>
      </c>
      <c r="E335" t="s">
        <v>100</v>
      </c>
      <c r="F335" t="s">
        <v>103</v>
      </c>
    </row>
    <row r="336" spans="1:6" hidden="1" outlineLevel="2">
      <c r="A336" t="s">
        <v>6</v>
      </c>
      <c r="B336" s="1">
        <v>45839.507372685184</v>
      </c>
      <c r="C336">
        <v>30002</v>
      </c>
      <c r="D336" t="s">
        <v>7</v>
      </c>
      <c r="E336" t="s">
        <v>100</v>
      </c>
      <c r="F336" t="s">
        <v>103</v>
      </c>
    </row>
    <row r="337" spans="1:6" hidden="1" outlineLevel="2">
      <c r="A337" t="s">
        <v>6</v>
      </c>
      <c r="B337" s="1">
        <v>45839.489583333336</v>
      </c>
      <c r="C337">
        <v>30002</v>
      </c>
      <c r="D337" t="s">
        <v>7</v>
      </c>
      <c r="E337" t="s">
        <v>100</v>
      </c>
      <c r="F337" t="s">
        <v>103</v>
      </c>
    </row>
    <row r="338" spans="1:6" hidden="1" outlineLevel="2">
      <c r="A338" t="s">
        <v>6</v>
      </c>
      <c r="B338" s="1">
        <v>45856.456712962965</v>
      </c>
      <c r="C338">
        <v>30002</v>
      </c>
      <c r="D338" t="s">
        <v>7</v>
      </c>
      <c r="E338" t="s">
        <v>100</v>
      </c>
      <c r="F338" t="s">
        <v>104</v>
      </c>
    </row>
    <row r="339" spans="1:6" hidden="1" outlineLevel="2">
      <c r="A339" t="s">
        <v>6</v>
      </c>
      <c r="B339" s="1">
        <v>45841.686018518521</v>
      </c>
      <c r="C339">
        <v>30002</v>
      </c>
      <c r="D339" t="s">
        <v>7</v>
      </c>
      <c r="E339" t="s">
        <v>100</v>
      </c>
      <c r="F339" t="s">
        <v>105</v>
      </c>
    </row>
    <row r="340" spans="1:6" hidden="1" outlineLevel="2">
      <c r="A340" t="s">
        <v>6</v>
      </c>
      <c r="B340" s="1">
        <v>45867.261921296296</v>
      </c>
      <c r="C340">
        <v>30002</v>
      </c>
      <c r="D340" t="s">
        <v>7</v>
      </c>
      <c r="E340" t="s">
        <v>100</v>
      </c>
      <c r="F340" t="s">
        <v>19</v>
      </c>
    </row>
    <row r="341" spans="1:6" hidden="1" outlineLevel="2">
      <c r="A341" t="s">
        <v>6</v>
      </c>
      <c r="B341" s="1">
        <v>45866.286793981482</v>
      </c>
      <c r="C341">
        <v>30002</v>
      </c>
      <c r="D341" t="s">
        <v>7</v>
      </c>
      <c r="E341" t="s">
        <v>100</v>
      </c>
      <c r="F341" t="s">
        <v>19</v>
      </c>
    </row>
    <row r="342" spans="1:6" hidden="1" outlineLevel="2">
      <c r="A342" t="s">
        <v>6</v>
      </c>
      <c r="B342" s="1">
        <v>45866.2809375</v>
      </c>
      <c r="C342">
        <v>30002</v>
      </c>
      <c r="D342" t="s">
        <v>7</v>
      </c>
      <c r="E342" t="s">
        <v>100</v>
      </c>
      <c r="F342" t="s">
        <v>19</v>
      </c>
    </row>
    <row r="343" spans="1:6" hidden="1" outlineLevel="2">
      <c r="A343" t="s">
        <v>6</v>
      </c>
      <c r="B343" s="1">
        <v>45848.318668981483</v>
      </c>
      <c r="C343">
        <v>30002</v>
      </c>
      <c r="D343" t="s">
        <v>7</v>
      </c>
      <c r="E343" t="s">
        <v>100</v>
      </c>
      <c r="F343" t="s">
        <v>19</v>
      </c>
    </row>
    <row r="344" spans="1:6" hidden="1" outlineLevel="2">
      <c r="A344" t="s">
        <v>6</v>
      </c>
      <c r="B344" s="1">
        <v>45846.261250000003</v>
      </c>
      <c r="C344">
        <v>30002</v>
      </c>
      <c r="D344" t="s">
        <v>7</v>
      </c>
      <c r="E344" t="s">
        <v>100</v>
      </c>
      <c r="F344" t="s">
        <v>19</v>
      </c>
    </row>
    <row r="345" spans="1:6" hidden="1" outlineLevel="2">
      <c r="A345" t="s">
        <v>6</v>
      </c>
      <c r="B345" s="1">
        <v>45842.626319444447</v>
      </c>
      <c r="C345">
        <v>30002</v>
      </c>
      <c r="D345" t="s">
        <v>7</v>
      </c>
      <c r="E345" t="s">
        <v>100</v>
      </c>
      <c r="F345" t="s">
        <v>19</v>
      </c>
    </row>
    <row r="346" spans="1:6" hidden="1" outlineLevel="2">
      <c r="A346" t="s">
        <v>6</v>
      </c>
      <c r="B346" s="1">
        <v>45841.267905092594</v>
      </c>
      <c r="C346">
        <v>30002</v>
      </c>
      <c r="D346" t="s">
        <v>7</v>
      </c>
      <c r="E346" t="s">
        <v>100</v>
      </c>
      <c r="F346" t="s">
        <v>19</v>
      </c>
    </row>
    <row r="347" spans="1:6" hidden="1" outlineLevel="2">
      <c r="A347" t="s">
        <v>6</v>
      </c>
      <c r="B347" s="1">
        <v>45868.575925925928</v>
      </c>
      <c r="C347">
        <v>30002</v>
      </c>
      <c r="D347" t="s">
        <v>7</v>
      </c>
      <c r="E347" t="s">
        <v>100</v>
      </c>
      <c r="F347" t="s">
        <v>20</v>
      </c>
    </row>
    <row r="348" spans="1:6" hidden="1" outlineLevel="2">
      <c r="A348" t="s">
        <v>6</v>
      </c>
      <c r="B348" s="1">
        <v>45868.575613425928</v>
      </c>
      <c r="C348">
        <v>30002</v>
      </c>
      <c r="D348" t="s">
        <v>7</v>
      </c>
      <c r="E348" t="s">
        <v>100</v>
      </c>
      <c r="F348" t="s">
        <v>20</v>
      </c>
    </row>
    <row r="349" spans="1:6" hidden="1" outlineLevel="2">
      <c r="A349" t="s">
        <v>6</v>
      </c>
      <c r="B349" s="1">
        <v>45868.575266203705</v>
      </c>
      <c r="C349">
        <v>30002</v>
      </c>
      <c r="D349" t="s">
        <v>7</v>
      </c>
      <c r="E349" t="s">
        <v>100</v>
      </c>
      <c r="F349" t="s">
        <v>20</v>
      </c>
    </row>
    <row r="350" spans="1:6" hidden="1" outlineLevel="2">
      <c r="A350" t="s">
        <v>6</v>
      </c>
      <c r="B350" s="1">
        <v>45842.473530092589</v>
      </c>
      <c r="C350">
        <v>30002</v>
      </c>
      <c r="D350" t="s">
        <v>7</v>
      </c>
      <c r="E350" t="s">
        <v>100</v>
      </c>
      <c r="F350" t="s">
        <v>20</v>
      </c>
    </row>
    <row r="351" spans="1:6" hidden="1" outlineLevel="2">
      <c r="A351" t="s">
        <v>6</v>
      </c>
      <c r="B351" s="1">
        <v>45839.737939814811</v>
      </c>
      <c r="C351">
        <v>30002</v>
      </c>
      <c r="D351" t="s">
        <v>7</v>
      </c>
      <c r="E351" t="s">
        <v>100</v>
      </c>
      <c r="F351" t="s">
        <v>20</v>
      </c>
    </row>
    <row r="352" spans="1:6" hidden="1" outlineLevel="2">
      <c r="A352" t="s">
        <v>6</v>
      </c>
      <c r="B352" s="1">
        <v>45839.565057870372</v>
      </c>
      <c r="C352">
        <v>30002</v>
      </c>
      <c r="D352" t="s">
        <v>7</v>
      </c>
      <c r="E352" t="s">
        <v>100</v>
      </c>
      <c r="F352" t="s">
        <v>20</v>
      </c>
    </row>
    <row r="353" spans="1:6" hidden="1" outlineLevel="2">
      <c r="A353" t="s">
        <v>6</v>
      </c>
      <c r="B353" s="1">
        <v>45839.55841435185</v>
      </c>
      <c r="C353">
        <v>30002</v>
      </c>
      <c r="D353" t="s">
        <v>7</v>
      </c>
      <c r="E353" t="s">
        <v>100</v>
      </c>
      <c r="F353" t="s">
        <v>20</v>
      </c>
    </row>
    <row r="354" spans="1:6" hidden="1" outlineLevel="2">
      <c r="A354" t="s">
        <v>6</v>
      </c>
      <c r="B354" s="1">
        <v>45839.357233796298</v>
      </c>
      <c r="C354">
        <v>30002</v>
      </c>
      <c r="D354" t="s">
        <v>7</v>
      </c>
      <c r="E354" t="s">
        <v>100</v>
      </c>
      <c r="F354" t="s">
        <v>31</v>
      </c>
    </row>
    <row r="355" spans="1:6" hidden="1" outlineLevel="2">
      <c r="A355" t="s">
        <v>6</v>
      </c>
      <c r="B355" s="1">
        <v>45841.285208333335</v>
      </c>
      <c r="C355">
        <v>30002</v>
      </c>
      <c r="D355" t="s">
        <v>7</v>
      </c>
      <c r="E355" t="s">
        <v>100</v>
      </c>
      <c r="F355" t="s">
        <v>22</v>
      </c>
    </row>
    <row r="356" spans="1:6" hidden="1" outlineLevel="2">
      <c r="A356" t="s">
        <v>6</v>
      </c>
      <c r="B356" s="1">
        <v>45840.737939814811</v>
      </c>
      <c r="C356">
        <v>30002</v>
      </c>
      <c r="D356" t="s">
        <v>7</v>
      </c>
      <c r="E356" t="s">
        <v>100</v>
      </c>
      <c r="F356" t="s">
        <v>22</v>
      </c>
    </row>
    <row r="357" spans="1:6" hidden="1" outlineLevel="2">
      <c r="A357" t="s">
        <v>6</v>
      </c>
      <c r="B357" s="1">
        <v>45839.310578703706</v>
      </c>
      <c r="C357">
        <v>30002</v>
      </c>
      <c r="D357" t="s">
        <v>7</v>
      </c>
      <c r="E357" t="s">
        <v>100</v>
      </c>
      <c r="F357" t="s">
        <v>22</v>
      </c>
    </row>
    <row r="358" spans="1:6" hidden="1" outlineLevel="2">
      <c r="A358" t="s">
        <v>6</v>
      </c>
      <c r="B358" s="1">
        <v>45869.423819444448</v>
      </c>
      <c r="C358">
        <v>30002</v>
      </c>
      <c r="D358" t="s">
        <v>7</v>
      </c>
      <c r="E358" t="s">
        <v>100</v>
      </c>
      <c r="F358" t="s">
        <v>23</v>
      </c>
    </row>
    <row r="359" spans="1:6" hidden="1" outlineLevel="2">
      <c r="A359" t="s">
        <v>6</v>
      </c>
      <c r="B359" s="1">
        <v>45867.368784722225</v>
      </c>
      <c r="C359">
        <v>30002</v>
      </c>
      <c r="D359" t="s">
        <v>7</v>
      </c>
      <c r="E359" t="s">
        <v>100</v>
      </c>
      <c r="F359" t="s">
        <v>23</v>
      </c>
    </row>
    <row r="360" spans="1:6" hidden="1" outlineLevel="2">
      <c r="A360" t="s">
        <v>6</v>
      </c>
      <c r="B360" s="1">
        <v>45866.368368055555</v>
      </c>
      <c r="C360">
        <v>30002</v>
      </c>
      <c r="D360" t="s">
        <v>7</v>
      </c>
      <c r="E360" t="s">
        <v>100</v>
      </c>
      <c r="F360" t="s">
        <v>23</v>
      </c>
    </row>
    <row r="361" spans="1:6" hidden="1" outlineLevel="2">
      <c r="A361" t="s">
        <v>6</v>
      </c>
      <c r="B361" s="1">
        <v>45860.32335648148</v>
      </c>
      <c r="C361">
        <v>30002</v>
      </c>
      <c r="D361" t="s">
        <v>7</v>
      </c>
      <c r="E361" t="s">
        <v>100</v>
      </c>
      <c r="F361" t="s">
        <v>23</v>
      </c>
    </row>
    <row r="362" spans="1:6" hidden="1" outlineLevel="2">
      <c r="A362" t="s">
        <v>6</v>
      </c>
      <c r="B362" s="1">
        <v>45859.400636574072</v>
      </c>
      <c r="C362">
        <v>30002</v>
      </c>
      <c r="D362" t="s">
        <v>7</v>
      </c>
      <c r="E362" t="s">
        <v>100</v>
      </c>
      <c r="F362" t="s">
        <v>23</v>
      </c>
    </row>
    <row r="363" spans="1:6" hidden="1" outlineLevel="2">
      <c r="A363" t="s">
        <v>6</v>
      </c>
      <c r="B363" s="1">
        <v>45859.39603009259</v>
      </c>
      <c r="C363">
        <v>30002</v>
      </c>
      <c r="D363" t="s">
        <v>7</v>
      </c>
      <c r="E363" t="s">
        <v>100</v>
      </c>
      <c r="F363" t="s">
        <v>23</v>
      </c>
    </row>
    <row r="364" spans="1:6" hidden="1" outlineLevel="2">
      <c r="A364" t="s">
        <v>6</v>
      </c>
      <c r="B364" s="1">
        <v>45849.628032407411</v>
      </c>
      <c r="C364">
        <v>30002</v>
      </c>
      <c r="D364" t="s">
        <v>7</v>
      </c>
      <c r="E364" t="s">
        <v>100</v>
      </c>
      <c r="F364" t="s">
        <v>23</v>
      </c>
    </row>
    <row r="365" spans="1:6" hidden="1" outlineLevel="2">
      <c r="A365" t="s">
        <v>6</v>
      </c>
      <c r="B365" s="1">
        <v>45848.520428240743</v>
      </c>
      <c r="C365">
        <v>30002</v>
      </c>
      <c r="D365" t="s">
        <v>7</v>
      </c>
      <c r="E365" t="s">
        <v>100</v>
      </c>
      <c r="F365" t="s">
        <v>23</v>
      </c>
    </row>
    <row r="366" spans="1:6" hidden="1" outlineLevel="2">
      <c r="A366" t="s">
        <v>6</v>
      </c>
      <c r="B366" s="1">
        <v>45847.522673611114</v>
      </c>
      <c r="C366">
        <v>30002</v>
      </c>
      <c r="D366" t="s">
        <v>7</v>
      </c>
      <c r="E366" t="s">
        <v>100</v>
      </c>
      <c r="F366" t="s">
        <v>23</v>
      </c>
    </row>
    <row r="367" spans="1:6" hidden="1" outlineLevel="2">
      <c r="A367" t="s">
        <v>6</v>
      </c>
      <c r="B367" s="1">
        <v>45845.627129629633</v>
      </c>
      <c r="C367">
        <v>30002</v>
      </c>
      <c r="D367" t="s">
        <v>7</v>
      </c>
      <c r="E367" t="s">
        <v>100</v>
      </c>
      <c r="F367" t="s">
        <v>23</v>
      </c>
    </row>
    <row r="368" spans="1:6" hidden="1" outlineLevel="2">
      <c r="A368" t="s">
        <v>6</v>
      </c>
      <c r="B368" s="1">
        <v>45845.613576388889</v>
      </c>
      <c r="C368">
        <v>30002</v>
      </c>
      <c r="D368" t="s">
        <v>7</v>
      </c>
      <c r="E368" t="s">
        <v>100</v>
      </c>
      <c r="F368" t="s">
        <v>23</v>
      </c>
    </row>
    <row r="369" spans="1:6" hidden="1" outlineLevel="2">
      <c r="A369" t="s">
        <v>6</v>
      </c>
      <c r="B369" s="1">
        <v>45845.580868055556</v>
      </c>
      <c r="C369">
        <v>30002</v>
      </c>
      <c r="D369" t="s">
        <v>7</v>
      </c>
      <c r="E369" t="s">
        <v>100</v>
      </c>
      <c r="F369" t="s">
        <v>23</v>
      </c>
    </row>
    <row r="370" spans="1:6" hidden="1" outlineLevel="2">
      <c r="A370" t="s">
        <v>6</v>
      </c>
      <c r="B370" s="1">
        <v>45845.575914351852</v>
      </c>
      <c r="C370">
        <v>30002</v>
      </c>
      <c r="D370" t="s">
        <v>7</v>
      </c>
      <c r="E370" t="s">
        <v>100</v>
      </c>
      <c r="F370" t="s">
        <v>23</v>
      </c>
    </row>
    <row r="371" spans="1:6" hidden="1" outlineLevel="2">
      <c r="A371" t="s">
        <v>6</v>
      </c>
      <c r="B371" s="1">
        <v>45845.574525462966</v>
      </c>
      <c r="C371">
        <v>30002</v>
      </c>
      <c r="D371" t="s">
        <v>7</v>
      </c>
      <c r="E371" t="s">
        <v>100</v>
      </c>
      <c r="F371" t="s">
        <v>23</v>
      </c>
    </row>
    <row r="372" spans="1:6" hidden="1" outlineLevel="2">
      <c r="A372" t="s">
        <v>6</v>
      </c>
      <c r="B372" s="1">
        <v>45845.332465277781</v>
      </c>
      <c r="C372">
        <v>30002</v>
      </c>
      <c r="D372" t="s">
        <v>7</v>
      </c>
      <c r="E372" t="s">
        <v>100</v>
      </c>
      <c r="F372" t="s">
        <v>23</v>
      </c>
    </row>
    <row r="373" spans="1:6" hidden="1" outlineLevel="2">
      <c r="A373" t="s">
        <v>6</v>
      </c>
      <c r="B373" s="1">
        <v>45845.311655092592</v>
      </c>
      <c r="C373">
        <v>30002</v>
      </c>
      <c r="D373" t="s">
        <v>7</v>
      </c>
      <c r="E373" t="s">
        <v>100</v>
      </c>
      <c r="F373" t="s">
        <v>23</v>
      </c>
    </row>
    <row r="374" spans="1:6" hidden="1" outlineLevel="2">
      <c r="A374" t="s">
        <v>6</v>
      </c>
      <c r="B374" s="1">
        <v>45844.686562499999</v>
      </c>
      <c r="C374">
        <v>30002</v>
      </c>
      <c r="D374" t="s">
        <v>7</v>
      </c>
      <c r="E374" t="s">
        <v>100</v>
      </c>
      <c r="F374" t="s">
        <v>23</v>
      </c>
    </row>
    <row r="375" spans="1:6" hidden="1" outlineLevel="2">
      <c r="A375" t="s">
        <v>6</v>
      </c>
      <c r="B375" s="1">
        <v>45862.34752314815</v>
      </c>
      <c r="C375">
        <v>30002</v>
      </c>
      <c r="D375" t="s">
        <v>7</v>
      </c>
      <c r="E375" t="s">
        <v>100</v>
      </c>
      <c r="F375" t="s">
        <v>24</v>
      </c>
    </row>
    <row r="376" spans="1:6" hidden="1" outlineLevel="2">
      <c r="A376" t="s">
        <v>6</v>
      </c>
      <c r="B376" s="1">
        <v>45862.307025462964</v>
      </c>
      <c r="C376">
        <v>30002</v>
      </c>
      <c r="D376" t="s">
        <v>7</v>
      </c>
      <c r="E376" t="s">
        <v>100</v>
      </c>
      <c r="F376" t="s">
        <v>24</v>
      </c>
    </row>
    <row r="377" spans="1:6" hidden="1" outlineLevel="2">
      <c r="A377" t="s">
        <v>6</v>
      </c>
      <c r="B377" s="1">
        <v>45861.663344907407</v>
      </c>
      <c r="C377">
        <v>30002</v>
      </c>
      <c r="D377" t="s">
        <v>7</v>
      </c>
      <c r="E377" t="s">
        <v>100</v>
      </c>
      <c r="F377" t="s">
        <v>24</v>
      </c>
    </row>
    <row r="378" spans="1:6" hidden="1" outlineLevel="2">
      <c r="A378" t="s">
        <v>6</v>
      </c>
      <c r="B378" s="1">
        <v>45861.662928240738</v>
      </c>
      <c r="C378">
        <v>30002</v>
      </c>
      <c r="D378" t="s">
        <v>7</v>
      </c>
      <c r="E378" t="s">
        <v>100</v>
      </c>
      <c r="F378" t="s">
        <v>24</v>
      </c>
    </row>
    <row r="379" spans="1:6" hidden="1" outlineLevel="2">
      <c r="A379" t="s">
        <v>6</v>
      </c>
      <c r="B379" s="1">
        <v>45861.645891203705</v>
      </c>
      <c r="C379">
        <v>30002</v>
      </c>
      <c r="D379" t="s">
        <v>7</v>
      </c>
      <c r="E379" t="s">
        <v>100</v>
      </c>
      <c r="F379" t="s">
        <v>24</v>
      </c>
    </row>
    <row r="380" spans="1:6" hidden="1" outlineLevel="2">
      <c r="A380" t="s">
        <v>6</v>
      </c>
      <c r="B380" s="1">
        <v>45861.645173611112</v>
      </c>
      <c r="C380">
        <v>30002</v>
      </c>
      <c r="D380" t="s">
        <v>7</v>
      </c>
      <c r="E380" t="s">
        <v>100</v>
      </c>
      <c r="F380" t="s">
        <v>24</v>
      </c>
    </row>
    <row r="381" spans="1:6" hidden="1" outlineLevel="2">
      <c r="A381" t="s">
        <v>6</v>
      </c>
      <c r="B381" s="1">
        <v>45861.635972222219</v>
      </c>
      <c r="C381">
        <v>30002</v>
      </c>
      <c r="D381" t="s">
        <v>7</v>
      </c>
      <c r="E381" t="s">
        <v>100</v>
      </c>
      <c r="F381" t="s">
        <v>24</v>
      </c>
    </row>
    <row r="382" spans="1:6" hidden="1" outlineLevel="2">
      <c r="A382" t="s">
        <v>6</v>
      </c>
      <c r="B382" s="1">
        <v>45861.599421296298</v>
      </c>
      <c r="C382">
        <v>30002</v>
      </c>
      <c r="D382" t="s">
        <v>7</v>
      </c>
      <c r="E382" t="s">
        <v>100</v>
      </c>
      <c r="F382" t="s">
        <v>24</v>
      </c>
    </row>
    <row r="383" spans="1:6" hidden="1" outlineLevel="2">
      <c r="A383" t="s">
        <v>6</v>
      </c>
      <c r="B383" s="1">
        <v>45861.513981481483</v>
      </c>
      <c r="C383">
        <v>30002</v>
      </c>
      <c r="D383" t="s">
        <v>7</v>
      </c>
      <c r="E383" t="s">
        <v>100</v>
      </c>
      <c r="F383" t="s">
        <v>24</v>
      </c>
    </row>
    <row r="384" spans="1:6" hidden="1" outlineLevel="2">
      <c r="A384" t="s">
        <v>6</v>
      </c>
      <c r="B384" s="1">
        <v>45861.47892361111</v>
      </c>
      <c r="C384">
        <v>30002</v>
      </c>
      <c r="D384" t="s">
        <v>7</v>
      </c>
      <c r="E384" t="s">
        <v>100</v>
      </c>
      <c r="F384" t="s">
        <v>24</v>
      </c>
    </row>
    <row r="385" spans="1:6" hidden="1" outlineLevel="2">
      <c r="A385" t="s">
        <v>6</v>
      </c>
      <c r="B385" s="1">
        <v>45860.54179398148</v>
      </c>
      <c r="C385">
        <v>30002</v>
      </c>
      <c r="D385" t="s">
        <v>7</v>
      </c>
      <c r="E385" t="s">
        <v>100</v>
      </c>
      <c r="F385" t="s">
        <v>24</v>
      </c>
    </row>
    <row r="386" spans="1:6" hidden="1" outlineLevel="2">
      <c r="A386" t="s">
        <v>6</v>
      </c>
      <c r="B386" s="1">
        <v>45853.558148148149</v>
      </c>
      <c r="C386">
        <v>30002</v>
      </c>
      <c r="D386" t="s">
        <v>7</v>
      </c>
      <c r="E386" t="s">
        <v>100</v>
      </c>
      <c r="F386" t="s">
        <v>24</v>
      </c>
    </row>
    <row r="387" spans="1:6" hidden="1" outlineLevel="2">
      <c r="A387" t="s">
        <v>6</v>
      </c>
      <c r="B387" s="1">
        <v>45869.51090277778</v>
      </c>
      <c r="C387">
        <v>30002</v>
      </c>
      <c r="D387" t="s">
        <v>7</v>
      </c>
      <c r="E387" t="s">
        <v>100</v>
      </c>
      <c r="F387" t="s">
        <v>97</v>
      </c>
    </row>
    <row r="388" spans="1:6" hidden="1" outlineLevel="2">
      <c r="A388" t="s">
        <v>6</v>
      </c>
      <c r="B388" s="1">
        <v>45869.400173611109</v>
      </c>
      <c r="C388">
        <v>30002</v>
      </c>
      <c r="D388" t="s">
        <v>7</v>
      </c>
      <c r="E388" t="s">
        <v>100</v>
      </c>
      <c r="F388" t="s">
        <v>97</v>
      </c>
    </row>
    <row r="389" spans="1:6" hidden="1" outlineLevel="2">
      <c r="A389" t="s">
        <v>6</v>
      </c>
      <c r="B389" s="1">
        <v>45869.376261574071</v>
      </c>
      <c r="C389">
        <v>30002</v>
      </c>
      <c r="D389" t="s">
        <v>7</v>
      </c>
      <c r="E389" t="s">
        <v>100</v>
      </c>
      <c r="F389" t="s">
        <v>97</v>
      </c>
    </row>
    <row r="390" spans="1:6" hidden="1" outlineLevel="2">
      <c r="A390" t="s">
        <v>6</v>
      </c>
      <c r="B390" s="1">
        <v>45869.307962962965</v>
      </c>
      <c r="C390">
        <v>30002</v>
      </c>
      <c r="D390" t="s">
        <v>7</v>
      </c>
      <c r="E390" t="s">
        <v>100</v>
      </c>
      <c r="F390" t="s">
        <v>97</v>
      </c>
    </row>
    <row r="391" spans="1:6" hidden="1" outlineLevel="2">
      <c r="A391" t="s">
        <v>6</v>
      </c>
      <c r="B391" s="1">
        <v>45869.305486111109</v>
      </c>
      <c r="C391">
        <v>30002</v>
      </c>
      <c r="D391" t="s">
        <v>7</v>
      </c>
      <c r="E391" t="s">
        <v>100</v>
      </c>
      <c r="F391" t="s">
        <v>97</v>
      </c>
    </row>
    <row r="392" spans="1:6" hidden="1" outlineLevel="2">
      <c r="A392" t="s">
        <v>6</v>
      </c>
      <c r="B392" s="1">
        <v>45867.472222222219</v>
      </c>
      <c r="C392">
        <v>30002</v>
      </c>
      <c r="D392" t="s">
        <v>7</v>
      </c>
      <c r="E392" t="s">
        <v>100</v>
      </c>
      <c r="F392" t="s">
        <v>97</v>
      </c>
    </row>
    <row r="393" spans="1:6" hidden="1" outlineLevel="2">
      <c r="A393" t="s">
        <v>6</v>
      </c>
      <c r="B393" s="1">
        <v>45866.350949074076</v>
      </c>
      <c r="C393">
        <v>30002</v>
      </c>
      <c r="D393" t="s">
        <v>7</v>
      </c>
      <c r="E393" t="s">
        <v>100</v>
      </c>
      <c r="F393" t="s">
        <v>97</v>
      </c>
    </row>
    <row r="394" spans="1:6" hidden="1" outlineLevel="2">
      <c r="A394" t="s">
        <v>6</v>
      </c>
      <c r="B394" s="1">
        <v>45866.312916666669</v>
      </c>
      <c r="C394">
        <v>30002</v>
      </c>
      <c r="D394" t="s">
        <v>7</v>
      </c>
      <c r="E394" t="s">
        <v>100</v>
      </c>
      <c r="F394" t="s">
        <v>97</v>
      </c>
    </row>
    <row r="395" spans="1:6" hidden="1" outlineLevel="2">
      <c r="A395" t="s">
        <v>6</v>
      </c>
      <c r="B395" s="1">
        <v>45862.327384259261</v>
      </c>
      <c r="C395">
        <v>30002</v>
      </c>
      <c r="D395" t="s">
        <v>7</v>
      </c>
      <c r="E395" t="s">
        <v>100</v>
      </c>
      <c r="F395" t="s">
        <v>97</v>
      </c>
    </row>
    <row r="396" spans="1:6" hidden="1" outlineLevel="2">
      <c r="A396" t="s">
        <v>6</v>
      </c>
      <c r="B396" s="1">
        <v>45861.659224537034</v>
      </c>
      <c r="C396">
        <v>30002</v>
      </c>
      <c r="D396" t="s">
        <v>7</v>
      </c>
      <c r="E396" t="s">
        <v>100</v>
      </c>
      <c r="F396" t="s">
        <v>97</v>
      </c>
    </row>
    <row r="397" spans="1:6" hidden="1" outlineLevel="2">
      <c r="A397" t="s">
        <v>6</v>
      </c>
      <c r="B397" s="1">
        <v>45861.381643518522</v>
      </c>
      <c r="C397">
        <v>30002</v>
      </c>
      <c r="D397" t="s">
        <v>7</v>
      </c>
      <c r="E397" t="s">
        <v>100</v>
      </c>
      <c r="F397" t="s">
        <v>97</v>
      </c>
    </row>
    <row r="398" spans="1:6" hidden="1" outlineLevel="2">
      <c r="A398" t="s">
        <v>6</v>
      </c>
      <c r="B398" s="1">
        <v>45861.355555555558</v>
      </c>
      <c r="C398">
        <v>30002</v>
      </c>
      <c r="D398" t="s">
        <v>7</v>
      </c>
      <c r="E398" t="s">
        <v>100</v>
      </c>
      <c r="F398" t="s">
        <v>97</v>
      </c>
    </row>
    <row r="399" spans="1:6" hidden="1" outlineLevel="2">
      <c r="A399" t="s">
        <v>6</v>
      </c>
      <c r="B399" s="1">
        <v>45861.331064814818</v>
      </c>
      <c r="C399">
        <v>30002</v>
      </c>
      <c r="D399" t="s">
        <v>7</v>
      </c>
      <c r="E399" t="s">
        <v>100</v>
      </c>
      <c r="F399" t="s">
        <v>97</v>
      </c>
    </row>
    <row r="400" spans="1:6" hidden="1" outlineLevel="2">
      <c r="A400" t="s">
        <v>6</v>
      </c>
      <c r="B400" s="1">
        <v>45860.579085648147</v>
      </c>
      <c r="C400">
        <v>30002</v>
      </c>
      <c r="D400" t="s">
        <v>7</v>
      </c>
      <c r="E400" t="s">
        <v>100</v>
      </c>
      <c r="F400" t="s">
        <v>97</v>
      </c>
    </row>
    <row r="401" spans="1:6" hidden="1" outlineLevel="2">
      <c r="A401" t="s">
        <v>6</v>
      </c>
      <c r="B401" s="1">
        <v>45859.56050925926</v>
      </c>
      <c r="C401">
        <v>30002</v>
      </c>
      <c r="D401" t="s">
        <v>7</v>
      </c>
      <c r="E401" t="s">
        <v>100</v>
      </c>
      <c r="F401" t="s">
        <v>97</v>
      </c>
    </row>
    <row r="402" spans="1:6" hidden="1" outlineLevel="2">
      <c r="A402" t="s">
        <v>6</v>
      </c>
      <c r="B402" s="1">
        <v>45856.305625000001</v>
      </c>
      <c r="C402">
        <v>30002</v>
      </c>
      <c r="D402" t="s">
        <v>7</v>
      </c>
      <c r="E402" t="s">
        <v>100</v>
      </c>
      <c r="F402" t="s">
        <v>97</v>
      </c>
    </row>
    <row r="403" spans="1:6" hidden="1" outlineLevel="2">
      <c r="A403" t="s">
        <v>6</v>
      </c>
      <c r="B403" s="1">
        <v>45855.390127314815</v>
      </c>
      <c r="C403">
        <v>30002</v>
      </c>
      <c r="D403" t="s">
        <v>7</v>
      </c>
      <c r="E403" t="s">
        <v>100</v>
      </c>
      <c r="F403" t="s">
        <v>97</v>
      </c>
    </row>
    <row r="404" spans="1:6" hidden="1" outlineLevel="2">
      <c r="A404" t="s">
        <v>6</v>
      </c>
      <c r="B404" s="1">
        <v>45855.370578703703</v>
      </c>
      <c r="C404">
        <v>30002</v>
      </c>
      <c r="D404" t="s">
        <v>7</v>
      </c>
      <c r="E404" t="s">
        <v>100</v>
      </c>
      <c r="F404" t="s">
        <v>97</v>
      </c>
    </row>
    <row r="405" spans="1:6" hidden="1" outlineLevel="2">
      <c r="A405" t="s">
        <v>6</v>
      </c>
      <c r="B405" s="1">
        <v>45847.393148148149</v>
      </c>
      <c r="C405">
        <v>30002</v>
      </c>
      <c r="D405" t="s">
        <v>7</v>
      </c>
      <c r="E405" t="s">
        <v>100</v>
      </c>
      <c r="F405" t="s">
        <v>97</v>
      </c>
    </row>
    <row r="406" spans="1:6" hidden="1" outlineLevel="2">
      <c r="A406" t="s">
        <v>6</v>
      </c>
      <c r="B406" s="1">
        <v>45846.308182870373</v>
      </c>
      <c r="C406">
        <v>30002</v>
      </c>
      <c r="D406" t="s">
        <v>7</v>
      </c>
      <c r="E406" t="s">
        <v>100</v>
      </c>
      <c r="F406" t="s">
        <v>97</v>
      </c>
    </row>
    <row r="407" spans="1:6" hidden="1" outlineLevel="2">
      <c r="A407" t="s">
        <v>6</v>
      </c>
      <c r="B407" s="1">
        <v>45846.304039351853</v>
      </c>
      <c r="C407">
        <v>30002</v>
      </c>
      <c r="D407" t="s">
        <v>7</v>
      </c>
      <c r="E407" t="s">
        <v>100</v>
      </c>
      <c r="F407" t="s">
        <v>97</v>
      </c>
    </row>
    <row r="408" spans="1:6" hidden="1" outlineLevel="2">
      <c r="A408" t="s">
        <v>6</v>
      </c>
      <c r="B408" s="1">
        <v>45846.301319444443</v>
      </c>
      <c r="C408">
        <v>30002</v>
      </c>
      <c r="D408" t="s">
        <v>7</v>
      </c>
      <c r="E408" t="s">
        <v>100</v>
      </c>
      <c r="F408" t="s">
        <v>97</v>
      </c>
    </row>
    <row r="409" spans="1:6" hidden="1" outlineLevel="2">
      <c r="A409" t="s">
        <v>6</v>
      </c>
      <c r="B409" s="1">
        <v>45845.52621527778</v>
      </c>
      <c r="C409">
        <v>30002</v>
      </c>
      <c r="D409" t="s">
        <v>7</v>
      </c>
      <c r="E409" t="s">
        <v>100</v>
      </c>
      <c r="F409" t="s">
        <v>97</v>
      </c>
    </row>
    <row r="410" spans="1:6" hidden="1" outlineLevel="2">
      <c r="A410" t="s">
        <v>6</v>
      </c>
      <c r="B410" s="1">
        <v>45841.594490740739</v>
      </c>
      <c r="C410">
        <v>30002</v>
      </c>
      <c r="D410" t="s">
        <v>7</v>
      </c>
      <c r="E410" t="s">
        <v>100</v>
      </c>
      <c r="F410" t="s">
        <v>97</v>
      </c>
    </row>
    <row r="411" spans="1:6" hidden="1" outlineLevel="2">
      <c r="A411" t="s">
        <v>6</v>
      </c>
      <c r="B411" s="1">
        <v>45841.593101851853</v>
      </c>
      <c r="C411">
        <v>30002</v>
      </c>
      <c r="D411" t="s">
        <v>7</v>
      </c>
      <c r="E411" t="s">
        <v>100</v>
      </c>
      <c r="F411" t="s">
        <v>97</v>
      </c>
    </row>
    <row r="412" spans="1:6" hidden="1" outlineLevel="2">
      <c r="A412" t="s">
        <v>6</v>
      </c>
      <c r="B412" s="1">
        <v>45841.591527777775</v>
      </c>
      <c r="C412">
        <v>30002</v>
      </c>
      <c r="D412" t="s">
        <v>7</v>
      </c>
      <c r="E412" t="s">
        <v>100</v>
      </c>
      <c r="F412" t="s">
        <v>97</v>
      </c>
    </row>
    <row r="413" spans="1:6" hidden="1" outlineLevel="2">
      <c r="A413" t="s">
        <v>6</v>
      </c>
      <c r="B413" s="1">
        <v>45841.589942129627</v>
      </c>
      <c r="C413">
        <v>30002</v>
      </c>
      <c r="D413" t="s">
        <v>7</v>
      </c>
      <c r="E413" t="s">
        <v>100</v>
      </c>
      <c r="F413" t="s">
        <v>97</v>
      </c>
    </row>
    <row r="414" spans="1:6" hidden="1" outlineLevel="2">
      <c r="A414" t="s">
        <v>6</v>
      </c>
      <c r="B414" s="1">
        <v>45841.58797453704</v>
      </c>
      <c r="C414">
        <v>30002</v>
      </c>
      <c r="D414" t="s">
        <v>7</v>
      </c>
      <c r="E414" t="s">
        <v>100</v>
      </c>
      <c r="F414" t="s">
        <v>97</v>
      </c>
    </row>
    <row r="415" spans="1:6" hidden="1" outlineLevel="2">
      <c r="A415" t="s">
        <v>6</v>
      </c>
      <c r="B415" s="1">
        <v>45841.288495370369</v>
      </c>
      <c r="C415">
        <v>30002</v>
      </c>
      <c r="D415" t="s">
        <v>7</v>
      </c>
      <c r="E415" t="s">
        <v>100</v>
      </c>
      <c r="F415" t="s">
        <v>97</v>
      </c>
    </row>
    <row r="416" spans="1:6" hidden="1" outlineLevel="2">
      <c r="A416" t="s">
        <v>6</v>
      </c>
      <c r="B416" s="1">
        <v>45840.581909722219</v>
      </c>
      <c r="C416">
        <v>30002</v>
      </c>
      <c r="D416" t="s">
        <v>7</v>
      </c>
      <c r="E416" t="s">
        <v>100</v>
      </c>
      <c r="F416" t="s">
        <v>97</v>
      </c>
    </row>
    <row r="417" spans="1:6" hidden="1" outlineLevel="2">
      <c r="A417" t="s">
        <v>6</v>
      </c>
      <c r="B417" s="1">
        <v>45839.298310185186</v>
      </c>
      <c r="C417">
        <v>30002</v>
      </c>
      <c r="D417" t="s">
        <v>7</v>
      </c>
      <c r="E417" t="s">
        <v>100</v>
      </c>
      <c r="F417" t="s">
        <v>97</v>
      </c>
    </row>
    <row r="418" spans="1:6" hidden="1" outlineLevel="2">
      <c r="A418" t="s">
        <v>6</v>
      </c>
      <c r="B418" s="1">
        <v>45844.354050925926</v>
      </c>
      <c r="C418">
        <v>30002</v>
      </c>
      <c r="D418" t="s">
        <v>7</v>
      </c>
      <c r="E418" t="s">
        <v>100</v>
      </c>
      <c r="F418" t="s">
        <v>106</v>
      </c>
    </row>
    <row r="419" spans="1:6" outlineLevel="1" collapsed="1">
      <c r="B419" s="1"/>
      <c r="E419" s="2" t="s">
        <v>286</v>
      </c>
      <c r="F419">
        <f>SUBTOTAL(3,F288:F418)</f>
        <v>131</v>
      </c>
    </row>
    <row r="420" spans="1:6" hidden="1" outlineLevel="2">
      <c r="A420" t="s">
        <v>6</v>
      </c>
      <c r="B420" s="1">
        <v>45840.518877314818</v>
      </c>
      <c r="C420">
        <v>30002</v>
      </c>
      <c r="D420" t="s">
        <v>7</v>
      </c>
      <c r="E420" t="s">
        <v>107</v>
      </c>
      <c r="F420" t="s">
        <v>101</v>
      </c>
    </row>
    <row r="421" spans="1:6" hidden="1" outlineLevel="2">
      <c r="A421" t="s">
        <v>6</v>
      </c>
      <c r="B421" s="1">
        <v>45845.397766203707</v>
      </c>
      <c r="C421">
        <v>30002</v>
      </c>
      <c r="D421" t="s">
        <v>7</v>
      </c>
      <c r="E421" t="s">
        <v>107</v>
      </c>
      <c r="F421" t="s">
        <v>18</v>
      </c>
    </row>
    <row r="422" spans="1:6" hidden="1" outlineLevel="2">
      <c r="A422" t="s">
        <v>6</v>
      </c>
      <c r="B422" s="1">
        <v>45847.666643518518</v>
      </c>
      <c r="C422">
        <v>30002</v>
      </c>
      <c r="D422" t="s">
        <v>7</v>
      </c>
      <c r="E422" t="s">
        <v>107</v>
      </c>
      <c r="F422" t="s">
        <v>19</v>
      </c>
    </row>
    <row r="423" spans="1:6" hidden="1" outlineLevel="2">
      <c r="A423" t="s">
        <v>6</v>
      </c>
      <c r="B423" s="1">
        <v>45847.662152777775</v>
      </c>
      <c r="C423">
        <v>30002</v>
      </c>
      <c r="D423" t="s">
        <v>7</v>
      </c>
      <c r="E423" t="s">
        <v>107</v>
      </c>
      <c r="F423" t="s">
        <v>19</v>
      </c>
    </row>
    <row r="424" spans="1:6" hidden="1" outlineLevel="2">
      <c r="A424" t="s">
        <v>6</v>
      </c>
      <c r="B424" s="1">
        <v>45847.656724537039</v>
      </c>
      <c r="C424">
        <v>30002</v>
      </c>
      <c r="D424" t="s">
        <v>7</v>
      </c>
      <c r="E424" t="s">
        <v>107</v>
      </c>
      <c r="F424" t="s">
        <v>19</v>
      </c>
    </row>
    <row r="425" spans="1:6" hidden="1" outlineLevel="2">
      <c r="A425" t="s">
        <v>6</v>
      </c>
      <c r="B425" s="1">
        <v>45846.309421296297</v>
      </c>
      <c r="C425">
        <v>30002</v>
      </c>
      <c r="D425" t="s">
        <v>7</v>
      </c>
      <c r="E425" t="s">
        <v>107</v>
      </c>
      <c r="F425" t="s">
        <v>19</v>
      </c>
    </row>
    <row r="426" spans="1:6" hidden="1" outlineLevel="2">
      <c r="A426" t="s">
        <v>6</v>
      </c>
      <c r="B426" s="1">
        <v>45845.190960648149</v>
      </c>
      <c r="C426">
        <v>30002</v>
      </c>
      <c r="D426" t="s">
        <v>7</v>
      </c>
      <c r="E426" t="s">
        <v>107</v>
      </c>
      <c r="F426" t="s">
        <v>19</v>
      </c>
    </row>
    <row r="427" spans="1:6" hidden="1" outlineLevel="2">
      <c r="A427" t="s">
        <v>6</v>
      </c>
      <c r="B427" s="1">
        <v>45866.65252314815</v>
      </c>
      <c r="C427">
        <v>30002</v>
      </c>
      <c r="D427" t="s">
        <v>7</v>
      </c>
      <c r="E427" t="s">
        <v>107</v>
      </c>
      <c r="F427" t="s">
        <v>22</v>
      </c>
    </row>
    <row r="428" spans="1:6" hidden="1" outlineLevel="2">
      <c r="A428" t="s">
        <v>6</v>
      </c>
      <c r="B428" s="1">
        <v>45866.364814814813</v>
      </c>
      <c r="C428">
        <v>30002</v>
      </c>
      <c r="D428" t="s">
        <v>7</v>
      </c>
      <c r="E428" t="s">
        <v>107</v>
      </c>
      <c r="F428" t="s">
        <v>22</v>
      </c>
    </row>
    <row r="429" spans="1:6" hidden="1" outlineLevel="2">
      <c r="A429" t="s">
        <v>6</v>
      </c>
      <c r="B429" s="1">
        <v>45862.735312500001</v>
      </c>
      <c r="C429">
        <v>30002</v>
      </c>
      <c r="D429" t="s">
        <v>7</v>
      </c>
      <c r="E429" t="s">
        <v>107</v>
      </c>
      <c r="F429" t="s">
        <v>22</v>
      </c>
    </row>
    <row r="430" spans="1:6" hidden="1" outlineLevel="2">
      <c r="A430" t="s">
        <v>6</v>
      </c>
      <c r="B430" s="1">
        <v>45856.642164351855</v>
      </c>
      <c r="C430">
        <v>30002</v>
      </c>
      <c r="D430" t="s">
        <v>7</v>
      </c>
      <c r="E430" t="s">
        <v>107</v>
      </c>
      <c r="F430" t="s">
        <v>22</v>
      </c>
    </row>
    <row r="431" spans="1:6" hidden="1" outlineLevel="2">
      <c r="A431" t="s">
        <v>6</v>
      </c>
      <c r="B431" s="1">
        <v>45856.547685185185</v>
      </c>
      <c r="C431">
        <v>30002</v>
      </c>
      <c r="D431" t="s">
        <v>7</v>
      </c>
      <c r="E431" t="s">
        <v>107</v>
      </c>
      <c r="F431" t="s">
        <v>22</v>
      </c>
    </row>
    <row r="432" spans="1:6" hidden="1" outlineLevel="2">
      <c r="A432" t="s">
        <v>6</v>
      </c>
      <c r="B432" s="1">
        <v>45854.365104166667</v>
      </c>
      <c r="C432">
        <v>30002</v>
      </c>
      <c r="D432" t="s">
        <v>7</v>
      </c>
      <c r="E432" t="s">
        <v>107</v>
      </c>
      <c r="F432" t="s">
        <v>22</v>
      </c>
    </row>
    <row r="433" spans="1:6" hidden="1" outlineLevel="2">
      <c r="A433" t="s">
        <v>6</v>
      </c>
      <c r="B433" s="1">
        <v>45854.360046296293</v>
      </c>
      <c r="C433">
        <v>30002</v>
      </c>
      <c r="D433" t="s">
        <v>7</v>
      </c>
      <c r="E433" t="s">
        <v>107</v>
      </c>
      <c r="F433" t="s">
        <v>22</v>
      </c>
    </row>
    <row r="434" spans="1:6" hidden="1" outlineLevel="2">
      <c r="A434" t="s">
        <v>6</v>
      </c>
      <c r="B434" s="1">
        <v>45841.410636574074</v>
      </c>
      <c r="C434">
        <v>30002</v>
      </c>
      <c r="D434" t="s">
        <v>7</v>
      </c>
      <c r="E434" t="s">
        <v>107</v>
      </c>
      <c r="F434" t="s">
        <v>22</v>
      </c>
    </row>
    <row r="435" spans="1:6" hidden="1" outlineLevel="2">
      <c r="A435" t="s">
        <v>6</v>
      </c>
      <c r="B435" s="1">
        <v>45841.397847222222</v>
      </c>
      <c r="C435">
        <v>30002</v>
      </c>
      <c r="D435" t="s">
        <v>7</v>
      </c>
      <c r="E435" t="s">
        <v>107</v>
      </c>
      <c r="F435" t="s">
        <v>22</v>
      </c>
    </row>
    <row r="436" spans="1:6" hidden="1" outlineLevel="2">
      <c r="A436" t="s">
        <v>6</v>
      </c>
      <c r="B436" s="1">
        <v>45840.732743055552</v>
      </c>
      <c r="C436">
        <v>30002</v>
      </c>
      <c r="D436" t="s">
        <v>7</v>
      </c>
      <c r="E436" t="s">
        <v>107</v>
      </c>
      <c r="F436" t="s">
        <v>22</v>
      </c>
    </row>
    <row r="437" spans="1:6" hidden="1" outlineLevel="2">
      <c r="A437" t="s">
        <v>6</v>
      </c>
      <c r="B437" s="1">
        <v>45840.700787037036</v>
      </c>
      <c r="C437">
        <v>30002</v>
      </c>
      <c r="D437" t="s">
        <v>7</v>
      </c>
      <c r="E437" t="s">
        <v>107</v>
      </c>
      <c r="F437" t="s">
        <v>22</v>
      </c>
    </row>
    <row r="438" spans="1:6" hidden="1" outlineLevel="2">
      <c r="A438" t="s">
        <v>6</v>
      </c>
      <c r="B438" s="1">
        <v>45840.692569444444</v>
      </c>
      <c r="C438">
        <v>30002</v>
      </c>
      <c r="D438" t="s">
        <v>7</v>
      </c>
      <c r="E438" t="s">
        <v>107</v>
      </c>
      <c r="F438" t="s">
        <v>22</v>
      </c>
    </row>
    <row r="439" spans="1:6" hidden="1" outlineLevel="2">
      <c r="A439" t="s">
        <v>6</v>
      </c>
      <c r="B439" s="1">
        <v>45840.626689814817</v>
      </c>
      <c r="C439">
        <v>30002</v>
      </c>
      <c r="D439" t="s">
        <v>7</v>
      </c>
      <c r="E439" t="s">
        <v>107</v>
      </c>
      <c r="F439" t="s">
        <v>22</v>
      </c>
    </row>
    <row r="440" spans="1:6" hidden="1" outlineLevel="2">
      <c r="A440" t="s">
        <v>6</v>
      </c>
      <c r="B440" s="1">
        <v>45840.623541666668</v>
      </c>
      <c r="C440">
        <v>30002</v>
      </c>
      <c r="D440" t="s">
        <v>7</v>
      </c>
      <c r="E440" t="s">
        <v>107</v>
      </c>
      <c r="F440" t="s">
        <v>22</v>
      </c>
    </row>
    <row r="441" spans="1:6" hidden="1" outlineLevel="2">
      <c r="A441" t="s">
        <v>6</v>
      </c>
      <c r="B441" s="1">
        <v>45840.35052083333</v>
      </c>
      <c r="C441">
        <v>30002</v>
      </c>
      <c r="D441" t="s">
        <v>7</v>
      </c>
      <c r="E441" t="s">
        <v>107</v>
      </c>
      <c r="F441" t="s">
        <v>22</v>
      </c>
    </row>
    <row r="442" spans="1:6" hidden="1" outlineLevel="2">
      <c r="A442" t="s">
        <v>6</v>
      </c>
      <c r="B442" s="1">
        <v>45839.804618055554</v>
      </c>
      <c r="C442">
        <v>30002</v>
      </c>
      <c r="D442" t="s">
        <v>7</v>
      </c>
      <c r="E442" t="s">
        <v>107</v>
      </c>
      <c r="F442" t="s">
        <v>22</v>
      </c>
    </row>
    <row r="443" spans="1:6" hidden="1" outlineLevel="2">
      <c r="A443" t="s">
        <v>6</v>
      </c>
      <c r="B443" s="1">
        <v>45839.675844907404</v>
      </c>
      <c r="C443">
        <v>30002</v>
      </c>
      <c r="D443" t="s">
        <v>7</v>
      </c>
      <c r="E443" t="s">
        <v>107</v>
      </c>
      <c r="F443" t="s">
        <v>22</v>
      </c>
    </row>
    <row r="444" spans="1:6" outlineLevel="1" collapsed="1">
      <c r="B444" s="1"/>
      <c r="E444" s="2" t="s">
        <v>287</v>
      </c>
      <c r="F444">
        <f>SUBTOTAL(3,F420:F443)</f>
        <v>24</v>
      </c>
    </row>
    <row r="445" spans="1:6" hidden="1" outlineLevel="2">
      <c r="A445" t="s">
        <v>6</v>
      </c>
      <c r="B445" s="1">
        <v>45848.319062499999</v>
      </c>
      <c r="C445">
        <v>30002</v>
      </c>
      <c r="D445" t="s">
        <v>7</v>
      </c>
      <c r="E445" t="s">
        <v>108</v>
      </c>
      <c r="F445" t="s">
        <v>19</v>
      </c>
    </row>
    <row r="446" spans="1:6" hidden="1" outlineLevel="2">
      <c r="A446" t="s">
        <v>6</v>
      </c>
      <c r="B446" s="1">
        <v>45856.559953703705</v>
      </c>
      <c r="C446">
        <v>30002</v>
      </c>
      <c r="D446" t="s">
        <v>7</v>
      </c>
      <c r="E446" t="s">
        <v>108</v>
      </c>
      <c r="F446" t="s">
        <v>22</v>
      </c>
    </row>
    <row r="447" spans="1:6" outlineLevel="1" collapsed="1">
      <c r="B447" s="1"/>
      <c r="E447" s="2" t="s">
        <v>288</v>
      </c>
      <c r="F447">
        <f>SUBTOTAL(3,F445:F446)</f>
        <v>2</v>
      </c>
    </row>
    <row r="448" spans="1:6" hidden="1" outlineLevel="2">
      <c r="A448" t="s">
        <v>6</v>
      </c>
      <c r="B448" s="1">
        <v>45867.550578703704</v>
      </c>
      <c r="C448">
        <v>30002</v>
      </c>
      <c r="D448" t="s">
        <v>7</v>
      </c>
      <c r="E448" t="s">
        <v>109</v>
      </c>
      <c r="F448" t="s">
        <v>13</v>
      </c>
    </row>
    <row r="449" spans="1:6" hidden="1" outlineLevel="2">
      <c r="A449" t="s">
        <v>6</v>
      </c>
      <c r="B449" s="1">
        <v>45867.534722222219</v>
      </c>
      <c r="C449">
        <v>30002</v>
      </c>
      <c r="D449" t="s">
        <v>7</v>
      </c>
      <c r="E449" t="s">
        <v>109</v>
      </c>
      <c r="F449" t="s">
        <v>13</v>
      </c>
    </row>
    <row r="450" spans="1:6" hidden="1" outlineLevel="2">
      <c r="A450" t="s">
        <v>6</v>
      </c>
      <c r="B450" s="1">
        <v>45867.531863425924</v>
      </c>
      <c r="C450">
        <v>30002</v>
      </c>
      <c r="D450" t="s">
        <v>7</v>
      </c>
      <c r="E450" t="s">
        <v>109</v>
      </c>
      <c r="F450" t="s">
        <v>13</v>
      </c>
    </row>
    <row r="451" spans="1:6" hidden="1" outlineLevel="2">
      <c r="A451" t="s">
        <v>6</v>
      </c>
      <c r="B451" s="1">
        <v>45867.525266203702</v>
      </c>
      <c r="C451">
        <v>30002</v>
      </c>
      <c r="D451" t="s">
        <v>7</v>
      </c>
      <c r="E451" t="s">
        <v>109</v>
      </c>
      <c r="F451" t="s">
        <v>13</v>
      </c>
    </row>
    <row r="452" spans="1:6" hidden="1" outlineLevel="2">
      <c r="A452" t="s">
        <v>6</v>
      </c>
      <c r="B452" s="1">
        <v>45867.524791666663</v>
      </c>
      <c r="C452">
        <v>30002</v>
      </c>
      <c r="D452" t="s">
        <v>7</v>
      </c>
      <c r="E452" t="s">
        <v>109</v>
      </c>
      <c r="F452" t="s">
        <v>13</v>
      </c>
    </row>
    <row r="453" spans="1:6" hidden="1" outlineLevel="2">
      <c r="A453" t="s">
        <v>6</v>
      </c>
      <c r="B453" s="1">
        <v>45867.524108796293</v>
      </c>
      <c r="C453">
        <v>30002</v>
      </c>
      <c r="D453" t="s">
        <v>7</v>
      </c>
      <c r="E453" t="s">
        <v>109</v>
      </c>
      <c r="F453" t="s">
        <v>13</v>
      </c>
    </row>
    <row r="454" spans="1:6" hidden="1" outlineLevel="2">
      <c r="A454" t="s">
        <v>6</v>
      </c>
      <c r="B454" s="1">
        <v>45867.520219907405</v>
      </c>
      <c r="C454">
        <v>30002</v>
      </c>
      <c r="D454" t="s">
        <v>7</v>
      </c>
      <c r="E454" t="s">
        <v>109</v>
      </c>
      <c r="F454" t="s">
        <v>13</v>
      </c>
    </row>
    <row r="455" spans="1:6" hidden="1" outlineLevel="2">
      <c r="A455" t="s">
        <v>6</v>
      </c>
      <c r="B455" s="1">
        <v>45867.515902777777</v>
      </c>
      <c r="C455">
        <v>30002</v>
      </c>
      <c r="D455" t="s">
        <v>7</v>
      </c>
      <c r="E455" t="s">
        <v>109</v>
      </c>
      <c r="F455" t="s">
        <v>13</v>
      </c>
    </row>
    <row r="456" spans="1:6" hidden="1" outlineLevel="2">
      <c r="A456" t="s">
        <v>6</v>
      </c>
      <c r="B456" s="1">
        <v>45867.506458333337</v>
      </c>
      <c r="C456">
        <v>30002</v>
      </c>
      <c r="D456" t="s">
        <v>7</v>
      </c>
      <c r="E456" t="s">
        <v>109</v>
      </c>
      <c r="F456" t="s">
        <v>13</v>
      </c>
    </row>
    <row r="457" spans="1:6" hidden="1" outlineLevel="2">
      <c r="A457" t="s">
        <v>6</v>
      </c>
      <c r="B457" s="1">
        <v>45867.505937499998</v>
      </c>
      <c r="C457">
        <v>30002</v>
      </c>
      <c r="D457" t="s">
        <v>7</v>
      </c>
      <c r="E457" t="s">
        <v>109</v>
      </c>
      <c r="F457" t="s">
        <v>13</v>
      </c>
    </row>
    <row r="458" spans="1:6" hidden="1" outlineLevel="2">
      <c r="A458" t="s">
        <v>6</v>
      </c>
      <c r="B458" s="1">
        <v>45867.505636574075</v>
      </c>
      <c r="C458">
        <v>30002</v>
      </c>
      <c r="D458" t="s">
        <v>7</v>
      </c>
      <c r="E458" t="s">
        <v>109</v>
      </c>
      <c r="F458" t="s">
        <v>13</v>
      </c>
    </row>
    <row r="459" spans="1:6" hidden="1" outlineLevel="2">
      <c r="A459" t="s">
        <v>6</v>
      </c>
      <c r="B459" s="1">
        <v>45867.477800925924</v>
      </c>
      <c r="C459">
        <v>30002</v>
      </c>
      <c r="D459" t="s">
        <v>7</v>
      </c>
      <c r="E459" t="s">
        <v>109</v>
      </c>
      <c r="F459" t="s">
        <v>13</v>
      </c>
    </row>
    <row r="460" spans="1:6" hidden="1" outlineLevel="2">
      <c r="A460" t="s">
        <v>6</v>
      </c>
      <c r="B460" s="1">
        <v>45867.472199074073</v>
      </c>
      <c r="C460">
        <v>30002</v>
      </c>
      <c r="D460" t="s">
        <v>7</v>
      </c>
      <c r="E460" t="s">
        <v>109</v>
      </c>
      <c r="F460" t="s">
        <v>13</v>
      </c>
    </row>
    <row r="461" spans="1:6" hidden="1" outlineLevel="2">
      <c r="A461" t="s">
        <v>6</v>
      </c>
      <c r="B461" s="1">
        <v>45867.465729166666</v>
      </c>
      <c r="C461">
        <v>30002</v>
      </c>
      <c r="D461" t="s">
        <v>7</v>
      </c>
      <c r="E461" t="s">
        <v>109</v>
      </c>
      <c r="F461" t="s">
        <v>13</v>
      </c>
    </row>
    <row r="462" spans="1:6" hidden="1" outlineLevel="2">
      <c r="A462" t="s">
        <v>6</v>
      </c>
      <c r="B462" s="1">
        <v>45867.463738425926</v>
      </c>
      <c r="C462">
        <v>30002</v>
      </c>
      <c r="D462" t="s">
        <v>7</v>
      </c>
      <c r="E462" t="s">
        <v>109</v>
      </c>
      <c r="F462" t="s">
        <v>13</v>
      </c>
    </row>
    <row r="463" spans="1:6" hidden="1" outlineLevel="2">
      <c r="A463" t="s">
        <v>6</v>
      </c>
      <c r="B463" s="1">
        <v>45867.460601851853</v>
      </c>
      <c r="C463">
        <v>30002</v>
      </c>
      <c r="D463" t="s">
        <v>7</v>
      </c>
      <c r="E463" t="s">
        <v>109</v>
      </c>
      <c r="F463" t="s">
        <v>13</v>
      </c>
    </row>
    <row r="464" spans="1:6" hidden="1" outlineLevel="2">
      <c r="A464" t="s">
        <v>6</v>
      </c>
      <c r="B464" s="1">
        <v>45856.452604166669</v>
      </c>
      <c r="C464">
        <v>30002</v>
      </c>
      <c r="D464" t="s">
        <v>7</v>
      </c>
      <c r="E464" t="s">
        <v>109</v>
      </c>
      <c r="F464" t="s">
        <v>13</v>
      </c>
    </row>
    <row r="465" spans="1:6" hidden="1" outlineLevel="2">
      <c r="A465" t="s">
        <v>6</v>
      </c>
      <c r="B465" s="1">
        <v>45856.45239583333</v>
      </c>
      <c r="C465">
        <v>30002</v>
      </c>
      <c r="D465" t="s">
        <v>7</v>
      </c>
      <c r="E465" t="s">
        <v>109</v>
      </c>
      <c r="F465" t="s">
        <v>13</v>
      </c>
    </row>
    <row r="466" spans="1:6" hidden="1" outlineLevel="2">
      <c r="A466" t="s">
        <v>6</v>
      </c>
      <c r="B466" s="1">
        <v>45847.355266203704</v>
      </c>
      <c r="C466">
        <v>30002</v>
      </c>
      <c r="D466" t="s">
        <v>7</v>
      </c>
      <c r="E466" t="s">
        <v>109</v>
      </c>
      <c r="F466" t="s">
        <v>13</v>
      </c>
    </row>
    <row r="467" spans="1:6" hidden="1" outlineLevel="2">
      <c r="A467" t="s">
        <v>6</v>
      </c>
      <c r="B467" s="1">
        <v>45846.352164351854</v>
      </c>
      <c r="C467">
        <v>30002</v>
      </c>
      <c r="D467" t="s">
        <v>7</v>
      </c>
      <c r="E467" t="s">
        <v>109</v>
      </c>
      <c r="F467" t="s">
        <v>18</v>
      </c>
    </row>
    <row r="468" spans="1:6" hidden="1" outlineLevel="2">
      <c r="A468" t="s">
        <v>6</v>
      </c>
      <c r="B468" s="1">
        <v>45845.606990740744</v>
      </c>
      <c r="C468">
        <v>30002</v>
      </c>
      <c r="D468" t="s">
        <v>7</v>
      </c>
      <c r="E468" t="s">
        <v>109</v>
      </c>
      <c r="F468" t="s">
        <v>18</v>
      </c>
    </row>
    <row r="469" spans="1:6" hidden="1" outlineLevel="2">
      <c r="A469" t="s">
        <v>6</v>
      </c>
      <c r="B469" s="1">
        <v>45845.604398148149</v>
      </c>
      <c r="C469">
        <v>30002</v>
      </c>
      <c r="D469" t="s">
        <v>7</v>
      </c>
      <c r="E469" t="s">
        <v>109</v>
      </c>
      <c r="F469" t="s">
        <v>18</v>
      </c>
    </row>
    <row r="470" spans="1:6" hidden="1" outlineLevel="2">
      <c r="A470" t="s">
        <v>6</v>
      </c>
      <c r="B470" s="1">
        <v>45845.474050925928</v>
      </c>
      <c r="C470">
        <v>30002</v>
      </c>
      <c r="D470" t="s">
        <v>7</v>
      </c>
      <c r="E470" t="s">
        <v>109</v>
      </c>
      <c r="F470" t="s">
        <v>18</v>
      </c>
    </row>
    <row r="471" spans="1:6" hidden="1" outlineLevel="2">
      <c r="A471" t="s">
        <v>6</v>
      </c>
      <c r="B471" s="1">
        <v>45845.472974537035</v>
      </c>
      <c r="C471">
        <v>30002</v>
      </c>
      <c r="D471" t="s">
        <v>7</v>
      </c>
      <c r="E471" t="s">
        <v>109</v>
      </c>
      <c r="F471" t="s">
        <v>18</v>
      </c>
    </row>
    <row r="472" spans="1:6" hidden="1" outlineLevel="2">
      <c r="A472" t="s">
        <v>6</v>
      </c>
      <c r="B472" s="1">
        <v>45845.472245370373</v>
      </c>
      <c r="C472">
        <v>30002</v>
      </c>
      <c r="D472" t="s">
        <v>7</v>
      </c>
      <c r="E472" t="s">
        <v>109</v>
      </c>
      <c r="F472" t="s">
        <v>18</v>
      </c>
    </row>
    <row r="473" spans="1:6" hidden="1" outlineLevel="2">
      <c r="A473" t="s">
        <v>6</v>
      </c>
      <c r="B473" s="1">
        <v>45845.456203703703</v>
      </c>
      <c r="C473">
        <v>30002</v>
      </c>
      <c r="D473" t="s">
        <v>7</v>
      </c>
      <c r="E473" t="s">
        <v>109</v>
      </c>
      <c r="F473" t="s">
        <v>18</v>
      </c>
    </row>
    <row r="474" spans="1:6" hidden="1" outlineLevel="2">
      <c r="A474" t="s">
        <v>6</v>
      </c>
      <c r="B474" s="1">
        <v>45845.447210648148</v>
      </c>
      <c r="C474">
        <v>30002</v>
      </c>
      <c r="D474" t="s">
        <v>7</v>
      </c>
      <c r="E474" t="s">
        <v>109</v>
      </c>
      <c r="F474" t="s">
        <v>18</v>
      </c>
    </row>
    <row r="475" spans="1:6" hidden="1" outlineLevel="2">
      <c r="A475" t="s">
        <v>6</v>
      </c>
      <c r="B475" s="1">
        <v>45845.431168981479</v>
      </c>
      <c r="C475">
        <v>30002</v>
      </c>
      <c r="D475" t="s">
        <v>7</v>
      </c>
      <c r="E475" t="s">
        <v>109</v>
      </c>
      <c r="F475" t="s">
        <v>18</v>
      </c>
    </row>
    <row r="476" spans="1:6" hidden="1" outlineLevel="2">
      <c r="A476" t="s">
        <v>6</v>
      </c>
      <c r="B476" s="1">
        <v>45845.430648148147</v>
      </c>
      <c r="C476">
        <v>30002</v>
      </c>
      <c r="D476" t="s">
        <v>7</v>
      </c>
      <c r="E476" t="s">
        <v>109</v>
      </c>
      <c r="F476" t="s">
        <v>18</v>
      </c>
    </row>
    <row r="477" spans="1:6" hidden="1" outlineLevel="2">
      <c r="A477" t="s">
        <v>6</v>
      </c>
      <c r="B477" s="1">
        <v>45845.418946759259</v>
      </c>
      <c r="C477">
        <v>30002</v>
      </c>
      <c r="D477" t="s">
        <v>7</v>
      </c>
      <c r="E477" t="s">
        <v>109</v>
      </c>
      <c r="F477" t="s">
        <v>18</v>
      </c>
    </row>
    <row r="478" spans="1:6" hidden="1" outlineLevel="2">
      <c r="A478" t="s">
        <v>6</v>
      </c>
      <c r="B478" s="1">
        <v>45845.423055555555</v>
      </c>
      <c r="C478">
        <v>30002</v>
      </c>
      <c r="D478" t="s">
        <v>7</v>
      </c>
      <c r="E478" t="s">
        <v>109</v>
      </c>
      <c r="F478" t="s">
        <v>103</v>
      </c>
    </row>
    <row r="479" spans="1:6" hidden="1" outlineLevel="2">
      <c r="A479" t="s">
        <v>6</v>
      </c>
      <c r="B479" s="1">
        <v>45845.417222222219</v>
      </c>
      <c r="C479">
        <v>30002</v>
      </c>
      <c r="D479" t="s">
        <v>7</v>
      </c>
      <c r="E479" t="s">
        <v>109</v>
      </c>
      <c r="F479" t="s">
        <v>103</v>
      </c>
    </row>
    <row r="480" spans="1:6" hidden="1" outlineLevel="2">
      <c r="A480" t="s">
        <v>6</v>
      </c>
      <c r="B480" s="1">
        <v>45845.415381944447</v>
      </c>
      <c r="C480">
        <v>30002</v>
      </c>
      <c r="D480" t="s">
        <v>7</v>
      </c>
      <c r="E480" t="s">
        <v>109</v>
      </c>
      <c r="F480" t="s">
        <v>103</v>
      </c>
    </row>
    <row r="481" spans="1:6" hidden="1" outlineLevel="2">
      <c r="A481" t="s">
        <v>6</v>
      </c>
      <c r="B481" s="1">
        <v>45840.570347222223</v>
      </c>
      <c r="C481">
        <v>30002</v>
      </c>
      <c r="D481" t="s">
        <v>7</v>
      </c>
      <c r="E481" t="s">
        <v>109</v>
      </c>
      <c r="F481" t="s">
        <v>103</v>
      </c>
    </row>
    <row r="482" spans="1:6" hidden="1" outlineLevel="2">
      <c r="A482" t="s">
        <v>6</v>
      </c>
      <c r="B482" s="1">
        <v>45848.31890046296</v>
      </c>
      <c r="C482">
        <v>30002</v>
      </c>
      <c r="D482" t="s">
        <v>7</v>
      </c>
      <c r="E482" t="s">
        <v>109</v>
      </c>
      <c r="F482" t="s">
        <v>19</v>
      </c>
    </row>
    <row r="483" spans="1:6" hidden="1" outlineLevel="2">
      <c r="A483" t="s">
        <v>6</v>
      </c>
      <c r="B483" s="1">
        <v>45846.264131944445</v>
      </c>
      <c r="C483">
        <v>30002</v>
      </c>
      <c r="D483" t="s">
        <v>7</v>
      </c>
      <c r="E483" t="s">
        <v>109</v>
      </c>
      <c r="F483" t="s">
        <v>19</v>
      </c>
    </row>
    <row r="484" spans="1:6" hidden="1" outlineLevel="2">
      <c r="A484" t="s">
        <v>6</v>
      </c>
      <c r="B484" s="1">
        <v>45846.261921296296</v>
      </c>
      <c r="C484">
        <v>30002</v>
      </c>
      <c r="D484" t="s">
        <v>7</v>
      </c>
      <c r="E484" t="s">
        <v>109</v>
      </c>
      <c r="F484" t="s">
        <v>19</v>
      </c>
    </row>
    <row r="485" spans="1:6" hidden="1" outlineLevel="2">
      <c r="A485" t="s">
        <v>6</v>
      </c>
      <c r="B485" s="1">
        <v>45842.639618055553</v>
      </c>
      <c r="C485">
        <v>30002</v>
      </c>
      <c r="D485" t="s">
        <v>7</v>
      </c>
      <c r="E485" t="s">
        <v>109</v>
      </c>
      <c r="F485" t="s">
        <v>19</v>
      </c>
    </row>
    <row r="486" spans="1:6" hidden="1" outlineLevel="2">
      <c r="A486" t="s">
        <v>6</v>
      </c>
      <c r="B486" s="1">
        <v>45842.63890046296</v>
      </c>
      <c r="C486">
        <v>30002</v>
      </c>
      <c r="D486" t="s">
        <v>7</v>
      </c>
      <c r="E486" t="s">
        <v>109</v>
      </c>
      <c r="F486" t="s">
        <v>19</v>
      </c>
    </row>
    <row r="487" spans="1:6" hidden="1" outlineLevel="2">
      <c r="A487" t="s">
        <v>6</v>
      </c>
      <c r="B487" s="1">
        <v>45842.637569444443</v>
      </c>
      <c r="C487">
        <v>30002</v>
      </c>
      <c r="D487" t="s">
        <v>7</v>
      </c>
      <c r="E487" t="s">
        <v>109</v>
      </c>
      <c r="F487" t="s">
        <v>19</v>
      </c>
    </row>
    <row r="488" spans="1:6" hidden="1" outlineLevel="2">
      <c r="A488" t="s">
        <v>6</v>
      </c>
      <c r="B488" s="1">
        <v>45842.637233796297</v>
      </c>
      <c r="C488">
        <v>30002</v>
      </c>
      <c r="D488" t="s">
        <v>7</v>
      </c>
      <c r="E488" t="s">
        <v>109</v>
      </c>
      <c r="F488" t="s">
        <v>19</v>
      </c>
    </row>
    <row r="489" spans="1:6" hidden="1" outlineLevel="2">
      <c r="A489" t="s">
        <v>6</v>
      </c>
      <c r="B489" s="1">
        <v>45841.273981481485</v>
      </c>
      <c r="C489">
        <v>30002</v>
      </c>
      <c r="D489" t="s">
        <v>7</v>
      </c>
      <c r="E489" t="s">
        <v>109</v>
      </c>
      <c r="F489" t="s">
        <v>19</v>
      </c>
    </row>
    <row r="490" spans="1:6" hidden="1" outlineLevel="2">
      <c r="A490" t="s">
        <v>6</v>
      </c>
      <c r="B490" s="1">
        <v>45866.679027777776</v>
      </c>
      <c r="C490">
        <v>30002</v>
      </c>
      <c r="D490" t="s">
        <v>7</v>
      </c>
      <c r="E490" t="s">
        <v>109</v>
      </c>
      <c r="F490" t="s">
        <v>22</v>
      </c>
    </row>
    <row r="491" spans="1:6" hidden="1" outlineLevel="2">
      <c r="A491" t="s">
        <v>6</v>
      </c>
      <c r="B491" s="1">
        <v>45866.653263888889</v>
      </c>
      <c r="C491">
        <v>30002</v>
      </c>
      <c r="D491" t="s">
        <v>7</v>
      </c>
      <c r="E491" t="s">
        <v>109</v>
      </c>
      <c r="F491" t="s">
        <v>22</v>
      </c>
    </row>
    <row r="492" spans="1:6" hidden="1" outlineLevel="2">
      <c r="A492" t="s">
        <v>6</v>
      </c>
      <c r="B492" s="1">
        <v>45866.366782407407</v>
      </c>
      <c r="C492">
        <v>30002</v>
      </c>
      <c r="D492" t="s">
        <v>7</v>
      </c>
      <c r="E492" t="s">
        <v>109</v>
      </c>
      <c r="F492" t="s">
        <v>22</v>
      </c>
    </row>
    <row r="493" spans="1:6" hidden="1" outlineLevel="2">
      <c r="A493" t="s">
        <v>6</v>
      </c>
      <c r="B493" s="1">
        <v>45866.365601851852</v>
      </c>
      <c r="C493">
        <v>30002</v>
      </c>
      <c r="D493" t="s">
        <v>7</v>
      </c>
      <c r="E493" t="s">
        <v>109</v>
      </c>
      <c r="F493" t="s">
        <v>22</v>
      </c>
    </row>
    <row r="494" spans="1:6" hidden="1" outlineLevel="2">
      <c r="A494" t="s">
        <v>6</v>
      </c>
      <c r="B494" s="1">
        <v>45856.562048611115</v>
      </c>
      <c r="C494">
        <v>30002</v>
      </c>
      <c r="D494" t="s">
        <v>7</v>
      </c>
      <c r="E494" t="s">
        <v>109</v>
      </c>
      <c r="F494" t="s">
        <v>22</v>
      </c>
    </row>
    <row r="495" spans="1:6" hidden="1" outlineLevel="2">
      <c r="A495" t="s">
        <v>6</v>
      </c>
      <c r="B495" s="1">
        <v>45856.561793981484</v>
      </c>
      <c r="C495">
        <v>30002</v>
      </c>
      <c r="D495" t="s">
        <v>7</v>
      </c>
      <c r="E495" t="s">
        <v>109</v>
      </c>
      <c r="F495" t="s">
        <v>22</v>
      </c>
    </row>
    <row r="496" spans="1:6" hidden="1" outlineLevel="2">
      <c r="A496" t="s">
        <v>6</v>
      </c>
      <c r="B496" s="1">
        <v>45856.558749999997</v>
      </c>
      <c r="C496">
        <v>30002</v>
      </c>
      <c r="D496" t="s">
        <v>7</v>
      </c>
      <c r="E496" t="s">
        <v>109</v>
      </c>
      <c r="F496" t="s">
        <v>22</v>
      </c>
    </row>
    <row r="497" spans="1:6" hidden="1" outlineLevel="2">
      <c r="A497" t="s">
        <v>6</v>
      </c>
      <c r="B497" s="1">
        <v>45856.558009259257</v>
      </c>
      <c r="C497">
        <v>30002</v>
      </c>
      <c r="D497" t="s">
        <v>7</v>
      </c>
      <c r="E497" t="s">
        <v>109</v>
      </c>
      <c r="F497" t="s">
        <v>22</v>
      </c>
    </row>
    <row r="498" spans="1:6" hidden="1" outlineLevel="2">
      <c r="A498" t="s">
        <v>6</v>
      </c>
      <c r="B498" s="1">
        <v>45841.409872685188</v>
      </c>
      <c r="C498">
        <v>30002</v>
      </c>
      <c r="D498" t="s">
        <v>7</v>
      </c>
      <c r="E498" t="s">
        <v>109</v>
      </c>
      <c r="F498" t="s">
        <v>22</v>
      </c>
    </row>
    <row r="499" spans="1:6" hidden="1" outlineLevel="2">
      <c r="A499" t="s">
        <v>6</v>
      </c>
      <c r="B499" s="1">
        <v>45841.29383101852</v>
      </c>
      <c r="C499">
        <v>30002</v>
      </c>
      <c r="D499" t="s">
        <v>7</v>
      </c>
      <c r="E499" t="s">
        <v>109</v>
      </c>
      <c r="F499" t="s">
        <v>22</v>
      </c>
    </row>
    <row r="500" spans="1:6" hidden="1" outlineLevel="2">
      <c r="A500" t="s">
        <v>6</v>
      </c>
      <c r="B500" s="1">
        <v>45841.292372685188</v>
      </c>
      <c r="C500">
        <v>30002</v>
      </c>
      <c r="D500" t="s">
        <v>7</v>
      </c>
      <c r="E500" t="s">
        <v>109</v>
      </c>
      <c r="F500" t="s">
        <v>22</v>
      </c>
    </row>
    <row r="501" spans="1:6" hidden="1" outlineLevel="2">
      <c r="A501" t="s">
        <v>6</v>
      </c>
      <c r="B501" s="1">
        <v>45841.291493055556</v>
      </c>
      <c r="C501">
        <v>30002</v>
      </c>
      <c r="D501" t="s">
        <v>7</v>
      </c>
      <c r="E501" t="s">
        <v>109</v>
      </c>
      <c r="F501" t="s">
        <v>22</v>
      </c>
    </row>
    <row r="502" spans="1:6" hidden="1" outlineLevel="2">
      <c r="A502" t="s">
        <v>6</v>
      </c>
      <c r="B502" s="1">
        <v>45841.288784722223</v>
      </c>
      <c r="C502">
        <v>30002</v>
      </c>
      <c r="D502" t="s">
        <v>7</v>
      </c>
      <c r="E502" t="s">
        <v>109</v>
      </c>
      <c r="F502" t="s">
        <v>22</v>
      </c>
    </row>
    <row r="503" spans="1:6" hidden="1" outlineLevel="2">
      <c r="A503" t="s">
        <v>6</v>
      </c>
      <c r="B503" s="1">
        <v>45841.286782407406</v>
      </c>
      <c r="C503">
        <v>30002</v>
      </c>
      <c r="D503" t="s">
        <v>7</v>
      </c>
      <c r="E503" t="s">
        <v>109</v>
      </c>
      <c r="F503" t="s">
        <v>22</v>
      </c>
    </row>
    <row r="504" spans="1:6" hidden="1" outlineLevel="2">
      <c r="A504" t="s">
        <v>6</v>
      </c>
      <c r="B504" s="1">
        <v>45841.285624999997</v>
      </c>
      <c r="C504">
        <v>30002</v>
      </c>
      <c r="D504" t="s">
        <v>7</v>
      </c>
      <c r="E504" t="s">
        <v>109</v>
      </c>
      <c r="F504" t="s">
        <v>22</v>
      </c>
    </row>
    <row r="505" spans="1:6" hidden="1" outlineLevel="2">
      <c r="A505" t="s">
        <v>6</v>
      </c>
      <c r="B505" s="1">
        <v>45840.697222222225</v>
      </c>
      <c r="C505">
        <v>30002</v>
      </c>
      <c r="D505" t="s">
        <v>7</v>
      </c>
      <c r="E505" t="s">
        <v>109</v>
      </c>
      <c r="F505" t="s">
        <v>22</v>
      </c>
    </row>
    <row r="506" spans="1:6" hidden="1" outlineLevel="2">
      <c r="A506" t="s">
        <v>6</v>
      </c>
      <c r="B506" s="1">
        <v>45840.69635416667</v>
      </c>
      <c r="C506">
        <v>30002</v>
      </c>
      <c r="D506" t="s">
        <v>7</v>
      </c>
      <c r="E506" t="s">
        <v>109</v>
      </c>
      <c r="F506" t="s">
        <v>22</v>
      </c>
    </row>
    <row r="507" spans="1:6" hidden="1" outlineLevel="2">
      <c r="A507" t="s">
        <v>6</v>
      </c>
      <c r="B507" s="1">
        <v>45840.69358796296</v>
      </c>
      <c r="C507">
        <v>30002</v>
      </c>
      <c r="D507" t="s">
        <v>7</v>
      </c>
      <c r="E507" t="s">
        <v>109</v>
      </c>
      <c r="F507" t="s">
        <v>22</v>
      </c>
    </row>
    <row r="508" spans="1:6" hidden="1" outlineLevel="2">
      <c r="A508" t="s">
        <v>6</v>
      </c>
      <c r="B508" s="1">
        <v>45840.357789351852</v>
      </c>
      <c r="C508">
        <v>30002</v>
      </c>
      <c r="D508" t="s">
        <v>7</v>
      </c>
      <c r="E508" t="s">
        <v>109</v>
      </c>
      <c r="F508" t="s">
        <v>22</v>
      </c>
    </row>
    <row r="509" spans="1:6" hidden="1" outlineLevel="2">
      <c r="A509" t="s">
        <v>6</v>
      </c>
      <c r="B509" s="1">
        <v>45840.355902777781</v>
      </c>
      <c r="C509">
        <v>30002</v>
      </c>
      <c r="D509" t="s">
        <v>7</v>
      </c>
      <c r="E509" t="s">
        <v>109</v>
      </c>
      <c r="F509" t="s">
        <v>22</v>
      </c>
    </row>
    <row r="510" spans="1:6" hidden="1" outlineLevel="2">
      <c r="A510" t="s">
        <v>6</v>
      </c>
      <c r="B510" s="1">
        <v>45840.354594907411</v>
      </c>
      <c r="C510">
        <v>30002</v>
      </c>
      <c r="D510" t="s">
        <v>7</v>
      </c>
      <c r="E510" t="s">
        <v>109</v>
      </c>
      <c r="F510" t="s">
        <v>22</v>
      </c>
    </row>
    <row r="511" spans="1:6" hidden="1" outlineLevel="2">
      <c r="A511" t="s">
        <v>6</v>
      </c>
      <c r="B511" s="1">
        <v>45840.354050925926</v>
      </c>
      <c r="C511">
        <v>30002</v>
      </c>
      <c r="D511" t="s">
        <v>7</v>
      </c>
      <c r="E511" t="s">
        <v>109</v>
      </c>
      <c r="F511" t="s">
        <v>22</v>
      </c>
    </row>
    <row r="512" spans="1:6" hidden="1" outlineLevel="2">
      <c r="A512" t="s">
        <v>6</v>
      </c>
      <c r="B512" s="1">
        <v>45840.353275462963</v>
      </c>
      <c r="C512">
        <v>30002</v>
      </c>
      <c r="D512" t="s">
        <v>7</v>
      </c>
      <c r="E512" t="s">
        <v>109</v>
      </c>
      <c r="F512" t="s">
        <v>22</v>
      </c>
    </row>
    <row r="513" spans="1:6" hidden="1" outlineLevel="2">
      <c r="A513" t="s">
        <v>6</v>
      </c>
      <c r="B513" s="1">
        <v>45840.351863425924</v>
      </c>
      <c r="C513">
        <v>30002</v>
      </c>
      <c r="D513" t="s">
        <v>7</v>
      </c>
      <c r="E513" t="s">
        <v>109</v>
      </c>
      <c r="F513" t="s">
        <v>22</v>
      </c>
    </row>
    <row r="514" spans="1:6" hidden="1" outlineLevel="2">
      <c r="A514" t="s">
        <v>6</v>
      </c>
      <c r="B514" s="1">
        <v>45839.326539351852</v>
      </c>
      <c r="C514">
        <v>30002</v>
      </c>
      <c r="D514" t="s">
        <v>7</v>
      </c>
      <c r="E514" t="s">
        <v>109</v>
      </c>
      <c r="F514" t="s">
        <v>22</v>
      </c>
    </row>
    <row r="515" spans="1:6" hidden="1" outlineLevel="2">
      <c r="A515" t="s">
        <v>6</v>
      </c>
      <c r="B515" s="1">
        <v>45839.311539351853</v>
      </c>
      <c r="C515">
        <v>30002</v>
      </c>
      <c r="D515" t="s">
        <v>7</v>
      </c>
      <c r="E515" t="s">
        <v>109</v>
      </c>
      <c r="F515" t="s">
        <v>22</v>
      </c>
    </row>
    <row r="516" spans="1:6" hidden="1" outlineLevel="2">
      <c r="A516" t="s">
        <v>6</v>
      </c>
      <c r="B516" s="1">
        <v>45869.435520833336</v>
      </c>
      <c r="C516">
        <v>30002</v>
      </c>
      <c r="D516" t="s">
        <v>7</v>
      </c>
      <c r="E516" t="s">
        <v>109</v>
      </c>
      <c r="F516" t="s">
        <v>23</v>
      </c>
    </row>
    <row r="517" spans="1:6" hidden="1" outlineLevel="2">
      <c r="A517" t="s">
        <v>6</v>
      </c>
      <c r="B517" s="1">
        <v>45869.433530092596</v>
      </c>
      <c r="C517">
        <v>30002</v>
      </c>
      <c r="D517" t="s">
        <v>7</v>
      </c>
      <c r="E517" t="s">
        <v>109</v>
      </c>
      <c r="F517" t="s">
        <v>23</v>
      </c>
    </row>
    <row r="518" spans="1:6" hidden="1" outlineLevel="2">
      <c r="A518" t="s">
        <v>6</v>
      </c>
      <c r="B518" s="1">
        <v>45869.427731481483</v>
      </c>
      <c r="C518">
        <v>30002</v>
      </c>
      <c r="D518" t="s">
        <v>7</v>
      </c>
      <c r="E518" t="s">
        <v>109</v>
      </c>
      <c r="F518" t="s">
        <v>23</v>
      </c>
    </row>
    <row r="519" spans="1:6" hidden="1" outlineLevel="2">
      <c r="A519" t="s">
        <v>6</v>
      </c>
      <c r="B519" s="1">
        <v>45867.39434027778</v>
      </c>
      <c r="C519">
        <v>30002</v>
      </c>
      <c r="D519" t="s">
        <v>7</v>
      </c>
      <c r="E519" t="s">
        <v>109</v>
      </c>
      <c r="F519" t="s">
        <v>23</v>
      </c>
    </row>
    <row r="520" spans="1:6" hidden="1" outlineLevel="2">
      <c r="A520" t="s">
        <v>6</v>
      </c>
      <c r="B520" s="1">
        <v>45859.396817129629</v>
      </c>
      <c r="C520">
        <v>30002</v>
      </c>
      <c r="D520" t="s">
        <v>7</v>
      </c>
      <c r="E520" t="s">
        <v>109</v>
      </c>
      <c r="F520" t="s">
        <v>23</v>
      </c>
    </row>
    <row r="521" spans="1:6" hidden="1" outlineLevel="2">
      <c r="A521" t="s">
        <v>6</v>
      </c>
      <c r="B521" s="1">
        <v>45845.626099537039</v>
      </c>
      <c r="C521">
        <v>30002</v>
      </c>
      <c r="D521" t="s">
        <v>7</v>
      </c>
      <c r="E521" t="s">
        <v>109</v>
      </c>
      <c r="F521" t="s">
        <v>23</v>
      </c>
    </row>
    <row r="522" spans="1:6" hidden="1" outlineLevel="2">
      <c r="A522" t="s">
        <v>6</v>
      </c>
      <c r="B522" s="1">
        <v>45845.621874999997</v>
      </c>
      <c r="C522">
        <v>30002</v>
      </c>
      <c r="D522" t="s">
        <v>7</v>
      </c>
      <c r="E522" t="s">
        <v>109</v>
      </c>
      <c r="F522" t="s">
        <v>23</v>
      </c>
    </row>
    <row r="523" spans="1:6" hidden="1" outlineLevel="2">
      <c r="A523" t="s">
        <v>6</v>
      </c>
      <c r="B523" s="1">
        <v>45845.621446759258</v>
      </c>
      <c r="C523">
        <v>30002</v>
      </c>
      <c r="D523" t="s">
        <v>7</v>
      </c>
      <c r="E523" t="s">
        <v>109</v>
      </c>
      <c r="F523" t="s">
        <v>23</v>
      </c>
    </row>
    <row r="524" spans="1:6" hidden="1" outlineLevel="2">
      <c r="A524" t="s">
        <v>6</v>
      </c>
      <c r="B524" s="1">
        <v>45845.618796296294</v>
      </c>
      <c r="C524">
        <v>30002</v>
      </c>
      <c r="D524" t="s">
        <v>7</v>
      </c>
      <c r="E524" t="s">
        <v>109</v>
      </c>
      <c r="F524" t="s">
        <v>23</v>
      </c>
    </row>
    <row r="525" spans="1:6" hidden="1" outlineLevel="2">
      <c r="A525" t="s">
        <v>6</v>
      </c>
      <c r="B525" s="1">
        <v>45845.616342592592</v>
      </c>
      <c r="C525">
        <v>30002</v>
      </c>
      <c r="D525" t="s">
        <v>7</v>
      </c>
      <c r="E525" t="s">
        <v>109</v>
      </c>
      <c r="F525" t="s">
        <v>23</v>
      </c>
    </row>
    <row r="526" spans="1:6" hidden="1" outlineLevel="2">
      <c r="A526" t="s">
        <v>6</v>
      </c>
      <c r="B526" s="1">
        <v>45845.615752314814</v>
      </c>
      <c r="C526">
        <v>30002</v>
      </c>
      <c r="D526" t="s">
        <v>7</v>
      </c>
      <c r="E526" t="s">
        <v>109</v>
      </c>
      <c r="F526" t="s">
        <v>23</v>
      </c>
    </row>
    <row r="527" spans="1:6" hidden="1" outlineLevel="2">
      <c r="A527" t="s">
        <v>6</v>
      </c>
      <c r="B527" s="1">
        <v>45845.614756944444</v>
      </c>
      <c r="C527">
        <v>30002</v>
      </c>
      <c r="D527" t="s">
        <v>7</v>
      </c>
      <c r="E527" t="s">
        <v>109</v>
      </c>
      <c r="F527" t="s">
        <v>23</v>
      </c>
    </row>
    <row r="528" spans="1:6" hidden="1" outlineLevel="2">
      <c r="A528" t="s">
        <v>6</v>
      </c>
      <c r="B528" s="1">
        <v>45845.316562499997</v>
      </c>
      <c r="C528">
        <v>30002</v>
      </c>
      <c r="D528" t="s">
        <v>7</v>
      </c>
      <c r="E528" t="s">
        <v>109</v>
      </c>
      <c r="F528" t="s">
        <v>23</v>
      </c>
    </row>
    <row r="529" spans="1:6" hidden="1" outlineLevel="2">
      <c r="A529" t="s">
        <v>6</v>
      </c>
      <c r="B529" s="1">
        <v>45844.748113425929</v>
      </c>
      <c r="C529">
        <v>30002</v>
      </c>
      <c r="D529" t="s">
        <v>7</v>
      </c>
      <c r="E529" t="s">
        <v>109</v>
      </c>
      <c r="F529" t="s">
        <v>23</v>
      </c>
    </row>
    <row r="530" spans="1:6" hidden="1" outlineLevel="2">
      <c r="A530" t="s">
        <v>6</v>
      </c>
      <c r="B530" s="1">
        <v>45844.704201388886</v>
      </c>
      <c r="C530">
        <v>30002</v>
      </c>
      <c r="D530" t="s">
        <v>7</v>
      </c>
      <c r="E530" t="s">
        <v>109</v>
      </c>
      <c r="F530" t="s">
        <v>23</v>
      </c>
    </row>
    <row r="531" spans="1:6" hidden="1" outlineLevel="2">
      <c r="A531" t="s">
        <v>6</v>
      </c>
      <c r="B531" s="1">
        <v>45844.688321759262</v>
      </c>
      <c r="C531">
        <v>30002</v>
      </c>
      <c r="D531" t="s">
        <v>7</v>
      </c>
      <c r="E531" t="s">
        <v>109</v>
      </c>
      <c r="F531" t="s">
        <v>23</v>
      </c>
    </row>
    <row r="532" spans="1:6" hidden="1" outlineLevel="2">
      <c r="A532" t="s">
        <v>6</v>
      </c>
      <c r="B532" s="1">
        <v>45862.352430555555</v>
      </c>
      <c r="C532">
        <v>30002</v>
      </c>
      <c r="D532" t="s">
        <v>7</v>
      </c>
      <c r="E532" t="s">
        <v>109</v>
      </c>
      <c r="F532" t="s">
        <v>24</v>
      </c>
    </row>
    <row r="533" spans="1:6" hidden="1" outlineLevel="2">
      <c r="A533" t="s">
        <v>6</v>
      </c>
      <c r="B533" s="1">
        <v>45862.351493055554</v>
      </c>
      <c r="C533">
        <v>30002</v>
      </c>
      <c r="D533" t="s">
        <v>7</v>
      </c>
      <c r="E533" t="s">
        <v>109</v>
      </c>
      <c r="F533" t="s">
        <v>24</v>
      </c>
    </row>
    <row r="534" spans="1:6" hidden="1" outlineLevel="2">
      <c r="A534" t="s">
        <v>6</v>
      </c>
      <c r="B534" s="1">
        <v>45862.349930555552</v>
      </c>
      <c r="C534">
        <v>30002</v>
      </c>
      <c r="D534" t="s">
        <v>7</v>
      </c>
      <c r="E534" t="s">
        <v>109</v>
      </c>
      <c r="F534" t="s">
        <v>24</v>
      </c>
    </row>
    <row r="535" spans="1:6" hidden="1" outlineLevel="2">
      <c r="A535" t="s">
        <v>6</v>
      </c>
      <c r="B535" s="1">
        <v>45862.34883101852</v>
      </c>
      <c r="C535">
        <v>30002</v>
      </c>
      <c r="D535" t="s">
        <v>7</v>
      </c>
      <c r="E535" t="s">
        <v>109</v>
      </c>
      <c r="F535" t="s">
        <v>24</v>
      </c>
    </row>
    <row r="536" spans="1:6" hidden="1" outlineLevel="2">
      <c r="A536" t="s">
        <v>6</v>
      </c>
      <c r="B536" s="1">
        <v>45862.347905092596</v>
      </c>
      <c r="C536">
        <v>30002</v>
      </c>
      <c r="D536" t="s">
        <v>7</v>
      </c>
      <c r="E536" t="s">
        <v>109</v>
      </c>
      <c r="F536" t="s">
        <v>24</v>
      </c>
    </row>
    <row r="537" spans="1:6" hidden="1" outlineLevel="2">
      <c r="A537" t="s">
        <v>6</v>
      </c>
      <c r="B537" s="1">
        <v>45862.308368055557</v>
      </c>
      <c r="C537">
        <v>30002</v>
      </c>
      <c r="D537" t="s">
        <v>7</v>
      </c>
      <c r="E537" t="s">
        <v>109</v>
      </c>
      <c r="F537" t="s">
        <v>24</v>
      </c>
    </row>
    <row r="538" spans="1:6" hidden="1" outlineLevel="2">
      <c r="A538" t="s">
        <v>6</v>
      </c>
      <c r="B538" s="1">
        <v>45861.644178240742</v>
      </c>
      <c r="C538">
        <v>30002</v>
      </c>
      <c r="D538" t="s">
        <v>7</v>
      </c>
      <c r="E538" t="s">
        <v>109</v>
      </c>
      <c r="F538" t="s">
        <v>24</v>
      </c>
    </row>
    <row r="539" spans="1:6" hidden="1" outlineLevel="2">
      <c r="A539" t="s">
        <v>6</v>
      </c>
      <c r="B539" s="1">
        <v>45861.52584490741</v>
      </c>
      <c r="C539">
        <v>30002</v>
      </c>
      <c r="D539" t="s">
        <v>7</v>
      </c>
      <c r="E539" t="s">
        <v>109</v>
      </c>
      <c r="F539" t="s">
        <v>24</v>
      </c>
    </row>
    <row r="540" spans="1:6" hidden="1" outlineLevel="2">
      <c r="A540" t="s">
        <v>6</v>
      </c>
      <c r="B540" s="1">
        <v>45861.525324074071</v>
      </c>
      <c r="C540">
        <v>30002</v>
      </c>
      <c r="D540" t="s">
        <v>7</v>
      </c>
      <c r="E540" t="s">
        <v>109</v>
      </c>
      <c r="F540" t="s">
        <v>24</v>
      </c>
    </row>
    <row r="541" spans="1:6" hidden="1" outlineLevel="2">
      <c r="A541" t="s">
        <v>6</v>
      </c>
      <c r="B541" s="1">
        <v>45861.524108796293</v>
      </c>
      <c r="C541">
        <v>30002</v>
      </c>
      <c r="D541" t="s">
        <v>7</v>
      </c>
      <c r="E541" t="s">
        <v>109</v>
      </c>
      <c r="F541" t="s">
        <v>24</v>
      </c>
    </row>
    <row r="542" spans="1:6" hidden="1" outlineLevel="2">
      <c r="A542" t="s">
        <v>6</v>
      </c>
      <c r="B542" s="1">
        <v>45861.523819444446</v>
      </c>
      <c r="C542">
        <v>30002</v>
      </c>
      <c r="D542" t="s">
        <v>7</v>
      </c>
      <c r="E542" t="s">
        <v>109</v>
      </c>
      <c r="F542" t="s">
        <v>24</v>
      </c>
    </row>
    <row r="543" spans="1:6" hidden="1" outlineLevel="2">
      <c r="A543" t="s">
        <v>6</v>
      </c>
      <c r="B543" s="1">
        <v>45861.523321759261</v>
      </c>
      <c r="C543">
        <v>30002</v>
      </c>
      <c r="D543" t="s">
        <v>7</v>
      </c>
      <c r="E543" t="s">
        <v>109</v>
      </c>
      <c r="F543" t="s">
        <v>24</v>
      </c>
    </row>
    <row r="544" spans="1:6" hidden="1" outlineLevel="2">
      <c r="A544" t="s">
        <v>6</v>
      </c>
      <c r="B544" s="1">
        <v>45861.523136574076</v>
      </c>
      <c r="C544">
        <v>30002</v>
      </c>
      <c r="D544" t="s">
        <v>7</v>
      </c>
      <c r="E544" t="s">
        <v>109</v>
      </c>
      <c r="F544" t="s">
        <v>24</v>
      </c>
    </row>
    <row r="545" spans="1:6" hidden="1" outlineLevel="2">
      <c r="A545" t="s">
        <v>6</v>
      </c>
      <c r="B545" s="1">
        <v>45861.522615740738</v>
      </c>
      <c r="C545">
        <v>30002</v>
      </c>
      <c r="D545" t="s">
        <v>7</v>
      </c>
      <c r="E545" t="s">
        <v>109</v>
      </c>
      <c r="F545" t="s">
        <v>24</v>
      </c>
    </row>
    <row r="546" spans="1:6" hidden="1" outlineLevel="2">
      <c r="A546" t="s">
        <v>6</v>
      </c>
      <c r="B546" s="1">
        <v>45861.52144675926</v>
      </c>
      <c r="C546">
        <v>30002</v>
      </c>
      <c r="D546" t="s">
        <v>7</v>
      </c>
      <c r="E546" t="s">
        <v>109</v>
      </c>
      <c r="F546" t="s">
        <v>24</v>
      </c>
    </row>
    <row r="547" spans="1:6" hidden="1" outlineLevel="2">
      <c r="A547" t="s">
        <v>6</v>
      </c>
      <c r="B547" s="1">
        <v>45861.520937499998</v>
      </c>
      <c r="C547">
        <v>30002</v>
      </c>
      <c r="D547" t="s">
        <v>7</v>
      </c>
      <c r="E547" t="s">
        <v>109</v>
      </c>
      <c r="F547" t="s">
        <v>24</v>
      </c>
    </row>
    <row r="548" spans="1:6" hidden="1" outlineLevel="2">
      <c r="A548" t="s">
        <v>6</v>
      </c>
      <c r="B548" s="1">
        <v>45861.520729166667</v>
      </c>
      <c r="C548">
        <v>30002</v>
      </c>
      <c r="D548" t="s">
        <v>7</v>
      </c>
      <c r="E548" t="s">
        <v>109</v>
      </c>
      <c r="F548" t="s">
        <v>24</v>
      </c>
    </row>
    <row r="549" spans="1:6" hidden="1" outlineLevel="2">
      <c r="A549" t="s">
        <v>6</v>
      </c>
      <c r="B549" s="1">
        <v>45861.519745370373</v>
      </c>
      <c r="C549">
        <v>30002</v>
      </c>
      <c r="D549" t="s">
        <v>7</v>
      </c>
      <c r="E549" t="s">
        <v>109</v>
      </c>
      <c r="F549" t="s">
        <v>24</v>
      </c>
    </row>
    <row r="550" spans="1:6" hidden="1" outlineLevel="2">
      <c r="A550" t="s">
        <v>6</v>
      </c>
      <c r="B550" s="1">
        <v>45861.519189814811</v>
      </c>
      <c r="C550">
        <v>30002</v>
      </c>
      <c r="D550" t="s">
        <v>7</v>
      </c>
      <c r="E550" t="s">
        <v>109</v>
      </c>
      <c r="F550" t="s">
        <v>24</v>
      </c>
    </row>
    <row r="551" spans="1:6" hidden="1" outlineLevel="2">
      <c r="A551" t="s">
        <v>6</v>
      </c>
      <c r="B551" s="1">
        <v>45861.518842592595</v>
      </c>
      <c r="C551">
        <v>30002</v>
      </c>
      <c r="D551" t="s">
        <v>7</v>
      </c>
      <c r="E551" t="s">
        <v>109</v>
      </c>
      <c r="F551" t="s">
        <v>24</v>
      </c>
    </row>
    <row r="552" spans="1:6" hidden="1" outlineLevel="2">
      <c r="A552" t="s">
        <v>6</v>
      </c>
      <c r="B552" s="1">
        <v>45861.517800925925</v>
      </c>
      <c r="C552">
        <v>30002</v>
      </c>
      <c r="D552" t="s">
        <v>7</v>
      </c>
      <c r="E552" t="s">
        <v>109</v>
      </c>
      <c r="F552" t="s">
        <v>24</v>
      </c>
    </row>
    <row r="553" spans="1:6" hidden="1" outlineLevel="2">
      <c r="A553" t="s">
        <v>6</v>
      </c>
      <c r="B553" s="1">
        <v>45861.517210648148</v>
      </c>
      <c r="C553">
        <v>30002</v>
      </c>
      <c r="D553" t="s">
        <v>7</v>
      </c>
      <c r="E553" t="s">
        <v>109</v>
      </c>
      <c r="F553" t="s">
        <v>24</v>
      </c>
    </row>
    <row r="554" spans="1:6" hidden="1" outlineLevel="2">
      <c r="A554" t="s">
        <v>6</v>
      </c>
      <c r="B554" s="1">
        <v>45861.516597222224</v>
      </c>
      <c r="C554">
        <v>30002</v>
      </c>
      <c r="D554" t="s">
        <v>7</v>
      </c>
      <c r="E554" t="s">
        <v>109</v>
      </c>
      <c r="F554" t="s">
        <v>24</v>
      </c>
    </row>
    <row r="555" spans="1:6" hidden="1" outlineLevel="2">
      <c r="A555" t="s">
        <v>6</v>
      </c>
      <c r="B555" s="1">
        <v>45861.421365740738</v>
      </c>
      <c r="C555">
        <v>30002</v>
      </c>
      <c r="D555" t="s">
        <v>7</v>
      </c>
      <c r="E555" t="s">
        <v>109</v>
      </c>
      <c r="F555" t="s">
        <v>24</v>
      </c>
    </row>
    <row r="556" spans="1:6" hidden="1" outlineLevel="2">
      <c r="A556" t="s">
        <v>6</v>
      </c>
      <c r="B556" s="1">
        <v>45861.419918981483</v>
      </c>
      <c r="C556">
        <v>30002</v>
      </c>
      <c r="D556" t="s">
        <v>7</v>
      </c>
      <c r="E556" t="s">
        <v>109</v>
      </c>
      <c r="F556" t="s">
        <v>24</v>
      </c>
    </row>
    <row r="557" spans="1:6" hidden="1" outlineLevel="2">
      <c r="A557" t="s">
        <v>6</v>
      </c>
      <c r="B557" s="1">
        <v>45861.419687499998</v>
      </c>
      <c r="C557">
        <v>30002</v>
      </c>
      <c r="D557" t="s">
        <v>7</v>
      </c>
      <c r="E557" t="s">
        <v>109</v>
      </c>
      <c r="F557" t="s">
        <v>24</v>
      </c>
    </row>
    <row r="558" spans="1:6" hidden="1" outlineLevel="2">
      <c r="A558" t="s">
        <v>6</v>
      </c>
      <c r="B558" s="1">
        <v>45861.418969907405</v>
      </c>
      <c r="C558">
        <v>30002</v>
      </c>
      <c r="D558" t="s">
        <v>7</v>
      </c>
      <c r="E558" t="s">
        <v>109</v>
      </c>
      <c r="F558" t="s">
        <v>24</v>
      </c>
    </row>
    <row r="559" spans="1:6" hidden="1" outlineLevel="2">
      <c r="A559" t="s">
        <v>6</v>
      </c>
      <c r="B559" s="1">
        <v>45861.418796296297</v>
      </c>
      <c r="C559">
        <v>30002</v>
      </c>
      <c r="D559" t="s">
        <v>7</v>
      </c>
      <c r="E559" t="s">
        <v>109</v>
      </c>
      <c r="F559" t="s">
        <v>24</v>
      </c>
    </row>
    <row r="560" spans="1:6" hidden="1" outlineLevel="2">
      <c r="A560" t="s">
        <v>6</v>
      </c>
      <c r="B560" s="1">
        <v>45861.41783564815</v>
      </c>
      <c r="C560">
        <v>30002</v>
      </c>
      <c r="D560" t="s">
        <v>7</v>
      </c>
      <c r="E560" t="s">
        <v>109</v>
      </c>
      <c r="F560" t="s">
        <v>24</v>
      </c>
    </row>
    <row r="561" spans="1:6" hidden="1" outlineLevel="2">
      <c r="A561" t="s">
        <v>6</v>
      </c>
      <c r="B561" s="1">
        <v>45861.417592592596</v>
      </c>
      <c r="C561">
        <v>30002</v>
      </c>
      <c r="D561" t="s">
        <v>7</v>
      </c>
      <c r="E561" t="s">
        <v>109</v>
      </c>
      <c r="F561" t="s">
        <v>24</v>
      </c>
    </row>
    <row r="562" spans="1:6" hidden="1" outlineLevel="2">
      <c r="A562" t="s">
        <v>6</v>
      </c>
      <c r="B562" s="1">
        <v>45861.416759259257</v>
      </c>
      <c r="C562">
        <v>30002</v>
      </c>
      <c r="D562" t="s">
        <v>7</v>
      </c>
      <c r="E562" t="s">
        <v>109</v>
      </c>
      <c r="F562" t="s">
        <v>24</v>
      </c>
    </row>
    <row r="563" spans="1:6" hidden="1" outlineLevel="2">
      <c r="A563" t="s">
        <v>6</v>
      </c>
      <c r="B563" s="1">
        <v>45861.416180555556</v>
      </c>
      <c r="C563">
        <v>30002</v>
      </c>
      <c r="D563" t="s">
        <v>7</v>
      </c>
      <c r="E563" t="s">
        <v>109</v>
      </c>
      <c r="F563" t="s">
        <v>24</v>
      </c>
    </row>
    <row r="564" spans="1:6" hidden="1" outlineLevel="2">
      <c r="A564" t="s">
        <v>6</v>
      </c>
      <c r="B564" s="1">
        <v>45861.41510416667</v>
      </c>
      <c r="C564">
        <v>30002</v>
      </c>
      <c r="D564" t="s">
        <v>7</v>
      </c>
      <c r="E564" t="s">
        <v>109</v>
      </c>
      <c r="F564" t="s">
        <v>24</v>
      </c>
    </row>
    <row r="565" spans="1:6" hidden="1" outlineLevel="2">
      <c r="A565" t="s">
        <v>6</v>
      </c>
      <c r="B565" s="1">
        <v>45861.411666666667</v>
      </c>
      <c r="C565">
        <v>30002</v>
      </c>
      <c r="D565" t="s">
        <v>7</v>
      </c>
      <c r="E565" t="s">
        <v>109</v>
      </c>
      <c r="F565" t="s">
        <v>24</v>
      </c>
    </row>
    <row r="566" spans="1:6" hidden="1" outlineLevel="2">
      <c r="A566" t="s">
        <v>6</v>
      </c>
      <c r="B566" s="1">
        <v>45861.409583333334</v>
      </c>
      <c r="C566">
        <v>30002</v>
      </c>
      <c r="D566" t="s">
        <v>7</v>
      </c>
      <c r="E566" t="s">
        <v>109</v>
      </c>
      <c r="F566" t="s">
        <v>24</v>
      </c>
    </row>
    <row r="567" spans="1:6" hidden="1" outlineLevel="2">
      <c r="A567" t="s">
        <v>6</v>
      </c>
      <c r="B567" s="1">
        <v>45861.408518518518</v>
      </c>
      <c r="C567">
        <v>30002</v>
      </c>
      <c r="D567" t="s">
        <v>7</v>
      </c>
      <c r="E567" t="s">
        <v>109</v>
      </c>
      <c r="F567" t="s">
        <v>24</v>
      </c>
    </row>
    <row r="568" spans="1:6" hidden="1" outlineLevel="2">
      <c r="A568" t="s">
        <v>6</v>
      </c>
      <c r="B568" s="1">
        <v>45853.559421296297</v>
      </c>
      <c r="C568">
        <v>30002</v>
      </c>
      <c r="D568" t="s">
        <v>7</v>
      </c>
      <c r="E568" t="s">
        <v>109</v>
      </c>
      <c r="F568" t="s">
        <v>24</v>
      </c>
    </row>
    <row r="569" spans="1:6" hidden="1" outlineLevel="2">
      <c r="A569" t="s">
        <v>6</v>
      </c>
      <c r="B569" s="1">
        <v>45869.398622685185</v>
      </c>
      <c r="C569">
        <v>30002</v>
      </c>
      <c r="D569" t="s">
        <v>7</v>
      </c>
      <c r="E569" t="s">
        <v>109</v>
      </c>
      <c r="F569" t="s">
        <v>97</v>
      </c>
    </row>
    <row r="570" spans="1:6" hidden="1" outlineLevel="2">
      <c r="A570" t="s">
        <v>6</v>
      </c>
      <c r="B570" s="1">
        <v>45869.317604166667</v>
      </c>
      <c r="C570">
        <v>30002</v>
      </c>
      <c r="D570" t="s">
        <v>7</v>
      </c>
      <c r="E570" t="s">
        <v>109</v>
      </c>
      <c r="F570" t="s">
        <v>97</v>
      </c>
    </row>
    <row r="571" spans="1:6" hidden="1" outlineLevel="2">
      <c r="A571" t="s">
        <v>6</v>
      </c>
      <c r="B571" s="1">
        <v>45869.306157407409</v>
      </c>
      <c r="C571">
        <v>30002</v>
      </c>
      <c r="D571" t="s">
        <v>7</v>
      </c>
      <c r="E571" t="s">
        <v>109</v>
      </c>
      <c r="F571" t="s">
        <v>97</v>
      </c>
    </row>
    <row r="572" spans="1:6" hidden="1" outlineLevel="2">
      <c r="A572" t="s">
        <v>6</v>
      </c>
      <c r="B572" s="1">
        <v>45867.474166666667</v>
      </c>
      <c r="C572">
        <v>30002</v>
      </c>
      <c r="D572" t="s">
        <v>7</v>
      </c>
      <c r="E572" t="s">
        <v>109</v>
      </c>
      <c r="F572" t="s">
        <v>97</v>
      </c>
    </row>
    <row r="573" spans="1:6" hidden="1" outlineLevel="2">
      <c r="A573" t="s">
        <v>6</v>
      </c>
      <c r="B573" s="1">
        <v>45866.348356481481</v>
      </c>
      <c r="C573">
        <v>30002</v>
      </c>
      <c r="D573" t="s">
        <v>7</v>
      </c>
      <c r="E573" t="s">
        <v>109</v>
      </c>
      <c r="F573" t="s">
        <v>97</v>
      </c>
    </row>
    <row r="574" spans="1:6" hidden="1" outlineLevel="2">
      <c r="A574" t="s">
        <v>6</v>
      </c>
      <c r="B574" s="1">
        <v>45866.347719907404</v>
      </c>
      <c r="C574">
        <v>30002</v>
      </c>
      <c r="D574" t="s">
        <v>7</v>
      </c>
      <c r="E574" t="s">
        <v>109</v>
      </c>
      <c r="F574" t="s">
        <v>97</v>
      </c>
    </row>
    <row r="575" spans="1:6" hidden="1" outlineLevel="2">
      <c r="A575" t="s">
        <v>6</v>
      </c>
      <c r="B575" s="1">
        <v>45866.347280092596</v>
      </c>
      <c r="C575">
        <v>30002</v>
      </c>
      <c r="D575" t="s">
        <v>7</v>
      </c>
      <c r="E575" t="s">
        <v>109</v>
      </c>
      <c r="F575" t="s">
        <v>97</v>
      </c>
    </row>
    <row r="576" spans="1:6" hidden="1" outlineLevel="2">
      <c r="A576" t="s">
        <v>6</v>
      </c>
      <c r="B576" s="1">
        <v>45866.346770833334</v>
      </c>
      <c r="C576">
        <v>30002</v>
      </c>
      <c r="D576" t="s">
        <v>7</v>
      </c>
      <c r="E576" t="s">
        <v>109</v>
      </c>
      <c r="F576" t="s">
        <v>97</v>
      </c>
    </row>
    <row r="577" spans="1:6" hidden="1" outlineLevel="2">
      <c r="A577" t="s">
        <v>6</v>
      </c>
      <c r="B577" s="1">
        <v>45866.346307870372</v>
      </c>
      <c r="C577">
        <v>30002</v>
      </c>
      <c r="D577" t="s">
        <v>7</v>
      </c>
      <c r="E577" t="s">
        <v>109</v>
      </c>
      <c r="F577" t="s">
        <v>97</v>
      </c>
    </row>
    <row r="578" spans="1:6" hidden="1" outlineLevel="2">
      <c r="A578" t="s">
        <v>6</v>
      </c>
      <c r="B578" s="1">
        <v>45866.345902777779</v>
      </c>
      <c r="C578">
        <v>30002</v>
      </c>
      <c r="D578" t="s">
        <v>7</v>
      </c>
      <c r="E578" t="s">
        <v>109</v>
      </c>
      <c r="F578" t="s">
        <v>97</v>
      </c>
    </row>
    <row r="579" spans="1:6" hidden="1" outlineLevel="2">
      <c r="A579" t="s">
        <v>6</v>
      </c>
      <c r="B579" s="1">
        <v>45866.345243055555</v>
      </c>
      <c r="C579">
        <v>30002</v>
      </c>
      <c r="D579" t="s">
        <v>7</v>
      </c>
      <c r="E579" t="s">
        <v>109</v>
      </c>
      <c r="F579" t="s">
        <v>97</v>
      </c>
    </row>
    <row r="580" spans="1:6" hidden="1" outlineLevel="2">
      <c r="A580" t="s">
        <v>6</v>
      </c>
      <c r="B580" s="1">
        <v>45866.344814814816</v>
      </c>
      <c r="C580">
        <v>30002</v>
      </c>
      <c r="D580" t="s">
        <v>7</v>
      </c>
      <c r="E580" t="s">
        <v>109</v>
      </c>
      <c r="F580" t="s">
        <v>97</v>
      </c>
    </row>
    <row r="581" spans="1:6" hidden="1" outlineLevel="2">
      <c r="A581" t="s">
        <v>6</v>
      </c>
      <c r="B581" s="1">
        <v>45866.343738425923</v>
      </c>
      <c r="C581">
        <v>30002</v>
      </c>
      <c r="D581" t="s">
        <v>7</v>
      </c>
      <c r="E581" t="s">
        <v>109</v>
      </c>
      <c r="F581" t="s">
        <v>97</v>
      </c>
    </row>
    <row r="582" spans="1:6" hidden="1" outlineLevel="2">
      <c r="A582" t="s">
        <v>6</v>
      </c>
      <c r="B582" s="1">
        <v>45866.343240740738</v>
      </c>
      <c r="C582">
        <v>30002</v>
      </c>
      <c r="D582" t="s">
        <v>7</v>
      </c>
      <c r="E582" t="s">
        <v>109</v>
      </c>
      <c r="F582" t="s">
        <v>97</v>
      </c>
    </row>
    <row r="583" spans="1:6" hidden="1" outlineLevel="2">
      <c r="A583" t="s">
        <v>6</v>
      </c>
      <c r="B583" s="1">
        <v>45866.342534722222</v>
      </c>
      <c r="C583">
        <v>30002</v>
      </c>
      <c r="D583" t="s">
        <v>7</v>
      </c>
      <c r="E583" t="s">
        <v>109</v>
      </c>
      <c r="F583" t="s">
        <v>97</v>
      </c>
    </row>
    <row r="584" spans="1:6" hidden="1" outlineLevel="2">
      <c r="A584" t="s">
        <v>6</v>
      </c>
      <c r="B584" s="1">
        <v>45866.341990740744</v>
      </c>
      <c r="C584">
        <v>30002</v>
      </c>
      <c r="D584" t="s">
        <v>7</v>
      </c>
      <c r="E584" t="s">
        <v>109</v>
      </c>
      <c r="F584" t="s">
        <v>97</v>
      </c>
    </row>
    <row r="585" spans="1:6" hidden="1" outlineLevel="2">
      <c r="A585" t="s">
        <v>6</v>
      </c>
      <c r="B585" s="1">
        <v>45866.341377314813</v>
      </c>
      <c r="C585">
        <v>30002</v>
      </c>
      <c r="D585" t="s">
        <v>7</v>
      </c>
      <c r="E585" t="s">
        <v>109</v>
      </c>
      <c r="F585" t="s">
        <v>97</v>
      </c>
    </row>
    <row r="586" spans="1:6" hidden="1" outlineLevel="2">
      <c r="A586" t="s">
        <v>6</v>
      </c>
      <c r="B586" s="1">
        <v>45866.340717592589</v>
      </c>
      <c r="C586">
        <v>30002</v>
      </c>
      <c r="D586" t="s">
        <v>7</v>
      </c>
      <c r="E586" t="s">
        <v>109</v>
      </c>
      <c r="F586" t="s">
        <v>97</v>
      </c>
    </row>
    <row r="587" spans="1:6" hidden="1" outlineLevel="2">
      <c r="A587" t="s">
        <v>6</v>
      </c>
      <c r="B587" s="1">
        <v>45866.33997685185</v>
      </c>
      <c r="C587">
        <v>30002</v>
      </c>
      <c r="D587" t="s">
        <v>7</v>
      </c>
      <c r="E587" t="s">
        <v>109</v>
      </c>
      <c r="F587" t="s">
        <v>97</v>
      </c>
    </row>
    <row r="588" spans="1:6" hidden="1" outlineLevel="2">
      <c r="A588" t="s">
        <v>6</v>
      </c>
      <c r="B588" s="1">
        <v>45866.339479166665</v>
      </c>
      <c r="C588">
        <v>30002</v>
      </c>
      <c r="D588" t="s">
        <v>7</v>
      </c>
      <c r="E588" t="s">
        <v>109</v>
      </c>
      <c r="F588" t="s">
        <v>97</v>
      </c>
    </row>
    <row r="589" spans="1:6" hidden="1" outlineLevel="2">
      <c r="A589" t="s">
        <v>6</v>
      </c>
      <c r="B589" s="1">
        <v>45866.339189814818</v>
      </c>
      <c r="C589">
        <v>30002</v>
      </c>
      <c r="D589" t="s">
        <v>7</v>
      </c>
      <c r="E589" t="s">
        <v>109</v>
      </c>
      <c r="F589" t="s">
        <v>97</v>
      </c>
    </row>
    <row r="590" spans="1:6" hidden="1" outlineLevel="2">
      <c r="A590" t="s">
        <v>6</v>
      </c>
      <c r="B590" s="1">
        <v>45866.338738425926</v>
      </c>
      <c r="C590">
        <v>30002</v>
      </c>
      <c r="D590" t="s">
        <v>7</v>
      </c>
      <c r="E590" t="s">
        <v>109</v>
      </c>
      <c r="F590" t="s">
        <v>97</v>
      </c>
    </row>
    <row r="591" spans="1:6" hidden="1" outlineLevel="2">
      <c r="A591" t="s">
        <v>6</v>
      </c>
      <c r="B591" s="1">
        <v>45866.336608796293</v>
      </c>
      <c r="C591">
        <v>30002</v>
      </c>
      <c r="D591" t="s">
        <v>7</v>
      </c>
      <c r="E591" t="s">
        <v>109</v>
      </c>
      <c r="F591" t="s">
        <v>97</v>
      </c>
    </row>
    <row r="592" spans="1:6" hidden="1" outlineLevel="2">
      <c r="A592" t="s">
        <v>6</v>
      </c>
      <c r="B592" s="1">
        <v>45866.336145833331</v>
      </c>
      <c r="C592">
        <v>30002</v>
      </c>
      <c r="D592" t="s">
        <v>7</v>
      </c>
      <c r="E592" t="s">
        <v>109</v>
      </c>
      <c r="F592" t="s">
        <v>97</v>
      </c>
    </row>
    <row r="593" spans="1:6" hidden="1" outlineLevel="2">
      <c r="A593" t="s">
        <v>6</v>
      </c>
      <c r="B593" s="1">
        <v>45866.335706018515</v>
      </c>
      <c r="C593">
        <v>30002</v>
      </c>
      <c r="D593" t="s">
        <v>7</v>
      </c>
      <c r="E593" t="s">
        <v>109</v>
      </c>
      <c r="F593" t="s">
        <v>97</v>
      </c>
    </row>
    <row r="594" spans="1:6" hidden="1" outlineLevel="2">
      <c r="A594" t="s">
        <v>6</v>
      </c>
      <c r="B594" s="1">
        <v>45866.332986111112</v>
      </c>
      <c r="C594">
        <v>30002</v>
      </c>
      <c r="D594" t="s">
        <v>7</v>
      </c>
      <c r="E594" t="s">
        <v>109</v>
      </c>
      <c r="F594" t="s">
        <v>97</v>
      </c>
    </row>
    <row r="595" spans="1:6" hidden="1" outlineLevel="2">
      <c r="A595" t="s">
        <v>6</v>
      </c>
      <c r="B595" s="1">
        <v>45866.332361111112</v>
      </c>
      <c r="C595">
        <v>30002</v>
      </c>
      <c r="D595" t="s">
        <v>7</v>
      </c>
      <c r="E595" t="s">
        <v>109</v>
      </c>
      <c r="F595" t="s">
        <v>97</v>
      </c>
    </row>
    <row r="596" spans="1:6" hidden="1" outlineLevel="2">
      <c r="A596" t="s">
        <v>6</v>
      </c>
      <c r="B596" s="1">
        <v>45866.331620370373</v>
      </c>
      <c r="C596">
        <v>30002</v>
      </c>
      <c r="D596" t="s">
        <v>7</v>
      </c>
      <c r="E596" t="s">
        <v>109</v>
      </c>
      <c r="F596" t="s">
        <v>97</v>
      </c>
    </row>
    <row r="597" spans="1:6" hidden="1" outlineLevel="2">
      <c r="A597" t="s">
        <v>6</v>
      </c>
      <c r="B597" s="1">
        <v>45866.331261574072</v>
      </c>
      <c r="C597">
        <v>30002</v>
      </c>
      <c r="D597" t="s">
        <v>7</v>
      </c>
      <c r="E597" t="s">
        <v>109</v>
      </c>
      <c r="F597" t="s">
        <v>97</v>
      </c>
    </row>
    <row r="598" spans="1:6" hidden="1" outlineLevel="2">
      <c r="A598" t="s">
        <v>6</v>
      </c>
      <c r="B598" s="1">
        <v>45866.331053240741</v>
      </c>
      <c r="C598">
        <v>30002</v>
      </c>
      <c r="D598" t="s">
        <v>7</v>
      </c>
      <c r="E598" t="s">
        <v>109</v>
      </c>
      <c r="F598" t="s">
        <v>97</v>
      </c>
    </row>
    <row r="599" spans="1:6" hidden="1" outlineLevel="2">
      <c r="A599" t="s">
        <v>6</v>
      </c>
      <c r="B599" s="1">
        <v>45866.330335648148</v>
      </c>
      <c r="C599">
        <v>30002</v>
      </c>
      <c r="D599" t="s">
        <v>7</v>
      </c>
      <c r="E599" t="s">
        <v>109</v>
      </c>
      <c r="F599" t="s">
        <v>97</v>
      </c>
    </row>
    <row r="600" spans="1:6" hidden="1" outlineLevel="2">
      <c r="A600" t="s">
        <v>6</v>
      </c>
      <c r="B600" s="1">
        <v>45866.329780092594</v>
      </c>
      <c r="C600">
        <v>30002</v>
      </c>
      <c r="D600" t="s">
        <v>7</v>
      </c>
      <c r="E600" t="s">
        <v>109</v>
      </c>
      <c r="F600" t="s">
        <v>97</v>
      </c>
    </row>
    <row r="601" spans="1:6" hidden="1" outlineLevel="2">
      <c r="A601" t="s">
        <v>6</v>
      </c>
      <c r="B601" s="1">
        <v>45866.328553240739</v>
      </c>
      <c r="C601">
        <v>30002</v>
      </c>
      <c r="D601" t="s">
        <v>7</v>
      </c>
      <c r="E601" t="s">
        <v>109</v>
      </c>
      <c r="F601" t="s">
        <v>97</v>
      </c>
    </row>
    <row r="602" spans="1:6" hidden="1" outlineLevel="2">
      <c r="A602" t="s">
        <v>6</v>
      </c>
      <c r="B602" s="1">
        <v>45866.328032407408</v>
      </c>
      <c r="C602">
        <v>30002</v>
      </c>
      <c r="D602" t="s">
        <v>7</v>
      </c>
      <c r="E602" t="s">
        <v>109</v>
      </c>
      <c r="F602" t="s">
        <v>97</v>
      </c>
    </row>
    <row r="603" spans="1:6" hidden="1" outlineLevel="2">
      <c r="A603" t="s">
        <v>6</v>
      </c>
      <c r="B603" s="1">
        <v>45866.327152777776</v>
      </c>
      <c r="C603">
        <v>30002</v>
      </c>
      <c r="D603" t="s">
        <v>7</v>
      </c>
      <c r="E603" t="s">
        <v>109</v>
      </c>
      <c r="F603" t="s">
        <v>97</v>
      </c>
    </row>
    <row r="604" spans="1:6" hidden="1" outlineLevel="2">
      <c r="A604" t="s">
        <v>6</v>
      </c>
      <c r="B604" s="1">
        <v>45866.326620370368</v>
      </c>
      <c r="C604">
        <v>30002</v>
      </c>
      <c r="D604" t="s">
        <v>7</v>
      </c>
      <c r="E604" t="s">
        <v>109</v>
      </c>
      <c r="F604" t="s">
        <v>97</v>
      </c>
    </row>
    <row r="605" spans="1:6" hidden="1" outlineLevel="2">
      <c r="A605" t="s">
        <v>6</v>
      </c>
      <c r="B605" s="1">
        <v>45866.326053240744</v>
      </c>
      <c r="C605">
        <v>30002</v>
      </c>
      <c r="D605" t="s">
        <v>7</v>
      </c>
      <c r="E605" t="s">
        <v>109</v>
      </c>
      <c r="F605" t="s">
        <v>97</v>
      </c>
    </row>
    <row r="606" spans="1:6" hidden="1" outlineLevel="2">
      <c r="A606" t="s">
        <v>6</v>
      </c>
      <c r="B606" s="1">
        <v>45866.319409722222</v>
      </c>
      <c r="C606">
        <v>30002</v>
      </c>
      <c r="D606" t="s">
        <v>7</v>
      </c>
      <c r="E606" t="s">
        <v>109</v>
      </c>
      <c r="F606" t="s">
        <v>97</v>
      </c>
    </row>
    <row r="607" spans="1:6" hidden="1" outlineLevel="2">
      <c r="A607" t="s">
        <v>6</v>
      </c>
      <c r="B607" s="1">
        <v>45866.318738425929</v>
      </c>
      <c r="C607">
        <v>30002</v>
      </c>
      <c r="D607" t="s">
        <v>7</v>
      </c>
      <c r="E607" t="s">
        <v>109</v>
      </c>
      <c r="F607" t="s">
        <v>97</v>
      </c>
    </row>
    <row r="608" spans="1:6" hidden="1" outlineLevel="2">
      <c r="A608" t="s">
        <v>6</v>
      </c>
      <c r="B608" s="1">
        <v>45866.31590277778</v>
      </c>
      <c r="C608">
        <v>30002</v>
      </c>
      <c r="D608" t="s">
        <v>7</v>
      </c>
      <c r="E608" t="s">
        <v>109</v>
      </c>
      <c r="F608" t="s">
        <v>97</v>
      </c>
    </row>
    <row r="609" spans="1:6" hidden="1" outlineLevel="2">
      <c r="A609" t="s">
        <v>6</v>
      </c>
      <c r="B609" s="1">
        <v>45862.352743055555</v>
      </c>
      <c r="C609">
        <v>30002</v>
      </c>
      <c r="D609" t="s">
        <v>7</v>
      </c>
      <c r="E609" t="s">
        <v>109</v>
      </c>
      <c r="F609" t="s">
        <v>97</v>
      </c>
    </row>
    <row r="610" spans="1:6" hidden="1" outlineLevel="2">
      <c r="A610" t="s">
        <v>6</v>
      </c>
      <c r="B610" s="1">
        <v>45862.341608796298</v>
      </c>
      <c r="C610">
        <v>30002</v>
      </c>
      <c r="D610" t="s">
        <v>7</v>
      </c>
      <c r="E610" t="s">
        <v>109</v>
      </c>
      <c r="F610" t="s">
        <v>97</v>
      </c>
    </row>
    <row r="611" spans="1:6" hidden="1" outlineLevel="2">
      <c r="A611" t="s">
        <v>6</v>
      </c>
      <c r="B611" s="1">
        <v>45862.34065972222</v>
      </c>
      <c r="C611">
        <v>30002</v>
      </c>
      <c r="D611" t="s">
        <v>7</v>
      </c>
      <c r="E611" t="s">
        <v>109</v>
      </c>
      <c r="F611" t="s">
        <v>97</v>
      </c>
    </row>
    <row r="612" spans="1:6" hidden="1" outlineLevel="2">
      <c r="A612" t="s">
        <v>6</v>
      </c>
      <c r="B612" s="1">
        <v>45862.340219907404</v>
      </c>
      <c r="C612">
        <v>30002</v>
      </c>
      <c r="D612" t="s">
        <v>7</v>
      </c>
      <c r="E612" t="s">
        <v>109</v>
      </c>
      <c r="F612" t="s">
        <v>97</v>
      </c>
    </row>
    <row r="613" spans="1:6" hidden="1" outlineLevel="2">
      <c r="A613" t="s">
        <v>6</v>
      </c>
      <c r="B613" s="1">
        <v>45862.331400462965</v>
      </c>
      <c r="C613">
        <v>30002</v>
      </c>
      <c r="D613" t="s">
        <v>7</v>
      </c>
      <c r="E613" t="s">
        <v>109</v>
      </c>
      <c r="F613" t="s">
        <v>97</v>
      </c>
    </row>
    <row r="614" spans="1:6" hidden="1" outlineLevel="2">
      <c r="A614" t="s">
        <v>6</v>
      </c>
      <c r="B614" s="1">
        <v>45861.390092592592</v>
      </c>
      <c r="C614">
        <v>30002</v>
      </c>
      <c r="D614" t="s">
        <v>7</v>
      </c>
      <c r="E614" t="s">
        <v>109</v>
      </c>
      <c r="F614" t="s">
        <v>97</v>
      </c>
    </row>
    <row r="615" spans="1:6" hidden="1" outlineLevel="2">
      <c r="A615" t="s">
        <v>6</v>
      </c>
      <c r="B615" s="1">
        <v>45861.389513888891</v>
      </c>
      <c r="C615">
        <v>30002</v>
      </c>
      <c r="D615" t="s">
        <v>7</v>
      </c>
      <c r="E615" t="s">
        <v>109</v>
      </c>
      <c r="F615" t="s">
        <v>97</v>
      </c>
    </row>
    <row r="616" spans="1:6" hidden="1" outlineLevel="2">
      <c r="A616" t="s">
        <v>6</v>
      </c>
      <c r="B616" s="1">
        <v>45861.38795138889</v>
      </c>
      <c r="C616">
        <v>30002</v>
      </c>
      <c r="D616" t="s">
        <v>7</v>
      </c>
      <c r="E616" t="s">
        <v>109</v>
      </c>
      <c r="F616" t="s">
        <v>97</v>
      </c>
    </row>
    <row r="617" spans="1:6" hidden="1" outlineLevel="2">
      <c r="A617" t="s">
        <v>6</v>
      </c>
      <c r="B617" s="1">
        <v>45861.3825462963</v>
      </c>
      <c r="C617">
        <v>30002</v>
      </c>
      <c r="D617" t="s">
        <v>7</v>
      </c>
      <c r="E617" t="s">
        <v>109</v>
      </c>
      <c r="F617" t="s">
        <v>97</v>
      </c>
    </row>
    <row r="618" spans="1:6" hidden="1" outlineLevel="2">
      <c r="A618" t="s">
        <v>6</v>
      </c>
      <c r="B618" s="1">
        <v>45861.37605324074</v>
      </c>
      <c r="C618">
        <v>30002</v>
      </c>
      <c r="D618" t="s">
        <v>7</v>
      </c>
      <c r="E618" t="s">
        <v>109</v>
      </c>
      <c r="F618" t="s">
        <v>97</v>
      </c>
    </row>
    <row r="619" spans="1:6" hidden="1" outlineLevel="2">
      <c r="A619" t="s">
        <v>6</v>
      </c>
      <c r="B619" s="1">
        <v>45861.362708333334</v>
      </c>
      <c r="C619">
        <v>30002</v>
      </c>
      <c r="D619" t="s">
        <v>7</v>
      </c>
      <c r="E619" t="s">
        <v>109</v>
      </c>
      <c r="F619" t="s">
        <v>97</v>
      </c>
    </row>
    <row r="620" spans="1:6" hidden="1" outlineLevel="2">
      <c r="A620" t="s">
        <v>6</v>
      </c>
      <c r="B620" s="1">
        <v>45861.361990740741</v>
      </c>
      <c r="C620">
        <v>30002</v>
      </c>
      <c r="D620" t="s">
        <v>7</v>
      </c>
      <c r="E620" t="s">
        <v>109</v>
      </c>
      <c r="F620" t="s">
        <v>97</v>
      </c>
    </row>
    <row r="621" spans="1:6" hidden="1" outlineLevel="2">
      <c r="A621" t="s">
        <v>6</v>
      </c>
      <c r="B621" s="1">
        <v>45861.350312499999</v>
      </c>
      <c r="C621">
        <v>30002</v>
      </c>
      <c r="D621" t="s">
        <v>7</v>
      </c>
      <c r="E621" t="s">
        <v>109</v>
      </c>
      <c r="F621" t="s">
        <v>97</v>
      </c>
    </row>
    <row r="622" spans="1:6" hidden="1" outlineLevel="2">
      <c r="A622" t="s">
        <v>6</v>
      </c>
      <c r="B622" s="1">
        <v>45859.577951388892</v>
      </c>
      <c r="C622">
        <v>30002</v>
      </c>
      <c r="D622" t="s">
        <v>7</v>
      </c>
      <c r="E622" t="s">
        <v>109</v>
      </c>
      <c r="F622" t="s">
        <v>97</v>
      </c>
    </row>
    <row r="623" spans="1:6" hidden="1" outlineLevel="2">
      <c r="A623" t="s">
        <v>6</v>
      </c>
      <c r="B623" s="1">
        <v>45859.564282407409</v>
      </c>
      <c r="C623">
        <v>30002</v>
      </c>
      <c r="D623" t="s">
        <v>7</v>
      </c>
      <c r="E623" t="s">
        <v>109</v>
      </c>
      <c r="F623" t="s">
        <v>97</v>
      </c>
    </row>
    <row r="624" spans="1:6" hidden="1" outlineLevel="2">
      <c r="A624" t="s">
        <v>6</v>
      </c>
      <c r="B624" s="1">
        <v>45859.563240740739</v>
      </c>
      <c r="C624">
        <v>30002</v>
      </c>
      <c r="D624" t="s">
        <v>7</v>
      </c>
      <c r="E624" t="s">
        <v>109</v>
      </c>
      <c r="F624" t="s">
        <v>97</v>
      </c>
    </row>
    <row r="625" spans="1:6" hidden="1" outlineLevel="2">
      <c r="A625" t="s">
        <v>6</v>
      </c>
      <c r="B625" s="1">
        <v>45856.334016203706</v>
      </c>
      <c r="C625">
        <v>30002</v>
      </c>
      <c r="D625" t="s">
        <v>7</v>
      </c>
      <c r="E625" t="s">
        <v>109</v>
      </c>
      <c r="F625" t="s">
        <v>97</v>
      </c>
    </row>
    <row r="626" spans="1:6" hidden="1" outlineLevel="2">
      <c r="A626" t="s">
        <v>6</v>
      </c>
      <c r="B626" s="1">
        <v>45855.388831018521</v>
      </c>
      <c r="C626">
        <v>30002</v>
      </c>
      <c r="D626" t="s">
        <v>7</v>
      </c>
      <c r="E626" t="s">
        <v>109</v>
      </c>
      <c r="F626" t="s">
        <v>97</v>
      </c>
    </row>
    <row r="627" spans="1:6" hidden="1" outlineLevel="2">
      <c r="A627" t="s">
        <v>6</v>
      </c>
      <c r="B627" s="1">
        <v>45847.401180555556</v>
      </c>
      <c r="C627">
        <v>30002</v>
      </c>
      <c r="D627" t="s">
        <v>7</v>
      </c>
      <c r="E627" t="s">
        <v>109</v>
      </c>
      <c r="F627" t="s">
        <v>97</v>
      </c>
    </row>
    <row r="628" spans="1:6" hidden="1" outlineLevel="2">
      <c r="A628" t="s">
        <v>6</v>
      </c>
      <c r="B628" s="1">
        <v>45847.393784722219</v>
      </c>
      <c r="C628">
        <v>30002</v>
      </c>
      <c r="D628" t="s">
        <v>7</v>
      </c>
      <c r="E628" t="s">
        <v>109</v>
      </c>
      <c r="F628" t="s">
        <v>97</v>
      </c>
    </row>
    <row r="629" spans="1:6" hidden="1" outlineLevel="2">
      <c r="A629" t="s">
        <v>6</v>
      </c>
      <c r="B629" s="1">
        <v>45846.324965277781</v>
      </c>
      <c r="C629">
        <v>30002</v>
      </c>
      <c r="D629" t="s">
        <v>7</v>
      </c>
      <c r="E629" t="s">
        <v>109</v>
      </c>
      <c r="F629" t="s">
        <v>97</v>
      </c>
    </row>
    <row r="630" spans="1:6" hidden="1" outlineLevel="2">
      <c r="A630" t="s">
        <v>6</v>
      </c>
      <c r="B630" s="1">
        <v>45846.32136574074</v>
      </c>
      <c r="C630">
        <v>30002</v>
      </c>
      <c r="D630" t="s">
        <v>7</v>
      </c>
      <c r="E630" t="s">
        <v>109</v>
      </c>
      <c r="F630" t="s">
        <v>97</v>
      </c>
    </row>
    <row r="631" spans="1:6" hidden="1" outlineLevel="2">
      <c r="A631" t="s">
        <v>6</v>
      </c>
      <c r="B631" s="1">
        <v>45846.320555555554</v>
      </c>
      <c r="C631">
        <v>30002</v>
      </c>
      <c r="D631" t="s">
        <v>7</v>
      </c>
      <c r="E631" t="s">
        <v>109</v>
      </c>
      <c r="F631" t="s">
        <v>97</v>
      </c>
    </row>
    <row r="632" spans="1:6" hidden="1" outlineLevel="2">
      <c r="A632" t="s">
        <v>6</v>
      </c>
      <c r="B632" s="1">
        <v>45846.315104166664</v>
      </c>
      <c r="C632">
        <v>30002</v>
      </c>
      <c r="D632" t="s">
        <v>7</v>
      </c>
      <c r="E632" t="s">
        <v>109</v>
      </c>
      <c r="F632" t="s">
        <v>97</v>
      </c>
    </row>
    <row r="633" spans="1:6" hidden="1" outlineLevel="2">
      <c r="A633" t="s">
        <v>6</v>
      </c>
      <c r="B633" s="1">
        <v>45846.314606481479</v>
      </c>
      <c r="C633">
        <v>30002</v>
      </c>
      <c r="D633" t="s">
        <v>7</v>
      </c>
      <c r="E633" t="s">
        <v>109</v>
      </c>
      <c r="F633" t="s">
        <v>97</v>
      </c>
    </row>
    <row r="634" spans="1:6" hidden="1" outlineLevel="2">
      <c r="A634" t="s">
        <v>6</v>
      </c>
      <c r="B634" s="1">
        <v>45846.305312500001</v>
      </c>
      <c r="C634">
        <v>30002</v>
      </c>
      <c r="D634" t="s">
        <v>7</v>
      </c>
      <c r="E634" t="s">
        <v>109</v>
      </c>
      <c r="F634" t="s">
        <v>97</v>
      </c>
    </row>
    <row r="635" spans="1:6" hidden="1" outlineLevel="2">
      <c r="A635" t="s">
        <v>6</v>
      </c>
      <c r="B635" s="1">
        <v>45846.302303240744</v>
      </c>
      <c r="C635">
        <v>30002</v>
      </c>
      <c r="D635" t="s">
        <v>7</v>
      </c>
      <c r="E635" t="s">
        <v>109</v>
      </c>
      <c r="F635" t="s">
        <v>97</v>
      </c>
    </row>
    <row r="636" spans="1:6" hidden="1" outlineLevel="2">
      <c r="A636" t="s">
        <v>6</v>
      </c>
      <c r="B636" s="1">
        <v>45845.532013888886</v>
      </c>
      <c r="C636">
        <v>30002</v>
      </c>
      <c r="D636" t="s">
        <v>7</v>
      </c>
      <c r="E636" t="s">
        <v>109</v>
      </c>
      <c r="F636" t="s">
        <v>97</v>
      </c>
    </row>
    <row r="637" spans="1:6" hidden="1" outlineLevel="2">
      <c r="A637" t="s">
        <v>6</v>
      </c>
      <c r="B637" s="1">
        <v>45845.527060185188</v>
      </c>
      <c r="C637">
        <v>30002</v>
      </c>
      <c r="D637" t="s">
        <v>7</v>
      </c>
      <c r="E637" t="s">
        <v>109</v>
      </c>
      <c r="F637" t="s">
        <v>97</v>
      </c>
    </row>
    <row r="638" spans="1:6" outlineLevel="1" collapsed="1">
      <c r="B638" s="1"/>
      <c r="E638" s="2" t="s">
        <v>289</v>
      </c>
      <c r="F638">
        <f>SUBTOTAL(3,F448:F637)</f>
        <v>190</v>
      </c>
    </row>
    <row r="639" spans="1:6" hidden="1" outlineLevel="2">
      <c r="A639" t="s">
        <v>6</v>
      </c>
      <c r="B639" s="1">
        <v>45848.461805555555</v>
      </c>
      <c r="C639">
        <v>30002</v>
      </c>
      <c r="D639" t="s">
        <v>7</v>
      </c>
      <c r="E639" t="s">
        <v>110</v>
      </c>
      <c r="F639" t="s">
        <v>13</v>
      </c>
    </row>
    <row r="640" spans="1:6" outlineLevel="1" collapsed="1">
      <c r="B640" s="1"/>
      <c r="E640" s="2" t="s">
        <v>290</v>
      </c>
      <c r="F640">
        <f>SUBTOTAL(3,F639:F639)</f>
        <v>1</v>
      </c>
    </row>
    <row r="641" spans="1:6" hidden="1" outlineLevel="2">
      <c r="A641" t="s">
        <v>6</v>
      </c>
      <c r="B641" s="1">
        <v>45848.480486111112</v>
      </c>
      <c r="C641">
        <v>30002</v>
      </c>
      <c r="D641" t="s">
        <v>7</v>
      </c>
      <c r="E641" t="s">
        <v>111</v>
      </c>
      <c r="F641" t="s">
        <v>13</v>
      </c>
    </row>
    <row r="642" spans="1:6" hidden="1" outlineLevel="2">
      <c r="A642" t="s">
        <v>6</v>
      </c>
      <c r="B642" s="1">
        <v>45848.477800925924</v>
      </c>
      <c r="C642">
        <v>30002</v>
      </c>
      <c r="D642" t="s">
        <v>7</v>
      </c>
      <c r="E642" t="s">
        <v>111</v>
      </c>
      <c r="F642" t="s">
        <v>13</v>
      </c>
    </row>
    <row r="643" spans="1:6" hidden="1" outlineLevel="2">
      <c r="A643" t="s">
        <v>6</v>
      </c>
      <c r="B643" s="1">
        <v>45847.666898148149</v>
      </c>
      <c r="C643">
        <v>30002</v>
      </c>
      <c r="D643" t="s">
        <v>7</v>
      </c>
      <c r="E643" t="s">
        <v>111</v>
      </c>
      <c r="F643" t="s">
        <v>19</v>
      </c>
    </row>
    <row r="644" spans="1:6" hidden="1" outlineLevel="2">
      <c r="A644" t="s">
        <v>6</v>
      </c>
      <c r="B644" s="1">
        <v>45847.662615740737</v>
      </c>
      <c r="C644">
        <v>30002</v>
      </c>
      <c r="D644" t="s">
        <v>7</v>
      </c>
      <c r="E644" t="s">
        <v>111</v>
      </c>
      <c r="F644" t="s">
        <v>19</v>
      </c>
    </row>
    <row r="645" spans="1:6" hidden="1" outlineLevel="2">
      <c r="A645" t="s">
        <v>6</v>
      </c>
      <c r="B645" s="1">
        <v>45847.65724537037</v>
      </c>
      <c r="C645">
        <v>30002</v>
      </c>
      <c r="D645" t="s">
        <v>7</v>
      </c>
      <c r="E645" t="s">
        <v>111</v>
      </c>
      <c r="F645" t="s">
        <v>19</v>
      </c>
    </row>
    <row r="646" spans="1:6" hidden="1" outlineLevel="2">
      <c r="A646" t="s">
        <v>6</v>
      </c>
      <c r="B646" s="1">
        <v>45869.440069444441</v>
      </c>
      <c r="C646">
        <v>30002</v>
      </c>
      <c r="D646" t="s">
        <v>7</v>
      </c>
      <c r="E646" t="s">
        <v>111</v>
      </c>
      <c r="F646" t="s">
        <v>97</v>
      </c>
    </row>
    <row r="647" spans="1:6" hidden="1" outlineLevel="2">
      <c r="A647" t="s">
        <v>6</v>
      </c>
      <c r="B647" s="1">
        <v>45869.435150462959</v>
      </c>
      <c r="C647">
        <v>30002</v>
      </c>
      <c r="D647" t="s">
        <v>7</v>
      </c>
      <c r="E647" t="s">
        <v>111</v>
      </c>
      <c r="F647" t="s">
        <v>97</v>
      </c>
    </row>
    <row r="648" spans="1:6" hidden="1" outlineLevel="2">
      <c r="A648" t="s">
        <v>6</v>
      </c>
      <c r="B648" s="1">
        <v>45869.427222222221</v>
      </c>
      <c r="C648">
        <v>30002</v>
      </c>
      <c r="D648" t="s">
        <v>7</v>
      </c>
      <c r="E648" t="s">
        <v>111</v>
      </c>
      <c r="F648" t="s">
        <v>97</v>
      </c>
    </row>
    <row r="649" spans="1:6" hidden="1" outlineLevel="2">
      <c r="A649" t="s">
        <v>6</v>
      </c>
      <c r="B649" s="1">
        <v>45869.413124999999</v>
      </c>
      <c r="C649">
        <v>30002</v>
      </c>
      <c r="D649" t="s">
        <v>7</v>
      </c>
      <c r="E649" t="s">
        <v>111</v>
      </c>
      <c r="F649" t="s">
        <v>97</v>
      </c>
    </row>
    <row r="650" spans="1:6" hidden="1" outlineLevel="2">
      <c r="A650" t="s">
        <v>6</v>
      </c>
      <c r="B650" s="1">
        <v>45869.412303240744</v>
      </c>
      <c r="C650">
        <v>30002</v>
      </c>
      <c r="D650" t="s">
        <v>7</v>
      </c>
      <c r="E650" t="s">
        <v>111</v>
      </c>
      <c r="F650" t="s">
        <v>97</v>
      </c>
    </row>
    <row r="651" spans="1:6" hidden="1" outlineLevel="2">
      <c r="A651" t="s">
        <v>6</v>
      </c>
      <c r="B651" s="1">
        <v>45869.316284722219</v>
      </c>
      <c r="C651">
        <v>30002</v>
      </c>
      <c r="D651" t="s">
        <v>7</v>
      </c>
      <c r="E651" t="s">
        <v>111</v>
      </c>
      <c r="F651" t="s">
        <v>97</v>
      </c>
    </row>
    <row r="652" spans="1:6" hidden="1" outlineLevel="2">
      <c r="A652" t="s">
        <v>6</v>
      </c>
      <c r="B652" s="1">
        <v>45869.294236111113</v>
      </c>
      <c r="C652">
        <v>30002</v>
      </c>
      <c r="D652" t="s">
        <v>7</v>
      </c>
      <c r="E652" t="s">
        <v>111</v>
      </c>
      <c r="F652" t="s">
        <v>97</v>
      </c>
    </row>
    <row r="653" spans="1:6" hidden="1" outlineLevel="2">
      <c r="A653" t="s">
        <v>6</v>
      </c>
      <c r="B653" s="1">
        <v>45849.341736111113</v>
      </c>
      <c r="C653">
        <v>30002</v>
      </c>
      <c r="D653" t="s">
        <v>7</v>
      </c>
      <c r="E653" t="s">
        <v>111</v>
      </c>
      <c r="F653" t="s">
        <v>97</v>
      </c>
    </row>
    <row r="654" spans="1:6" outlineLevel="1" collapsed="1">
      <c r="B654" s="1"/>
      <c r="E654" s="2" t="s">
        <v>291</v>
      </c>
      <c r="F654">
        <f>SUBTOTAL(3,F641:F653)</f>
        <v>13</v>
      </c>
    </row>
    <row r="655" spans="1:6" hidden="1" outlineLevel="2">
      <c r="A655" t="s">
        <v>6</v>
      </c>
      <c r="B655" s="1">
        <v>45869.304629629631</v>
      </c>
      <c r="C655">
        <v>30002</v>
      </c>
      <c r="D655" t="s">
        <v>7</v>
      </c>
      <c r="E655" t="s">
        <v>112</v>
      </c>
      <c r="F655" t="s">
        <v>97</v>
      </c>
    </row>
    <row r="656" spans="1:6" hidden="1" outlineLevel="2">
      <c r="A656" t="s">
        <v>6</v>
      </c>
      <c r="B656" s="1">
        <v>45869.302627314813</v>
      </c>
      <c r="C656">
        <v>30002</v>
      </c>
      <c r="D656" t="s">
        <v>7</v>
      </c>
      <c r="E656" t="s">
        <v>112</v>
      </c>
      <c r="F656" t="s">
        <v>97</v>
      </c>
    </row>
    <row r="657" spans="1:6" hidden="1" outlineLevel="2">
      <c r="A657" t="s">
        <v>6</v>
      </c>
      <c r="B657" s="1">
        <v>45869.301111111112</v>
      </c>
      <c r="C657">
        <v>30002</v>
      </c>
      <c r="D657" t="s">
        <v>7</v>
      </c>
      <c r="E657" t="s">
        <v>112</v>
      </c>
      <c r="F657" t="s">
        <v>97</v>
      </c>
    </row>
    <row r="658" spans="1:6" hidden="1" outlineLevel="2">
      <c r="A658" t="s">
        <v>6</v>
      </c>
      <c r="B658" s="1">
        <v>45869.30023148148</v>
      </c>
      <c r="C658">
        <v>30002</v>
      </c>
      <c r="D658" t="s">
        <v>7</v>
      </c>
      <c r="E658" t="s">
        <v>112</v>
      </c>
      <c r="F658" t="s">
        <v>97</v>
      </c>
    </row>
    <row r="659" spans="1:6" hidden="1" outlineLevel="2">
      <c r="A659" t="s">
        <v>6</v>
      </c>
      <c r="B659" s="1">
        <v>45869.29859953704</v>
      </c>
      <c r="C659">
        <v>30002</v>
      </c>
      <c r="D659" t="s">
        <v>7</v>
      </c>
      <c r="E659" t="s">
        <v>112</v>
      </c>
      <c r="F659" t="s">
        <v>97</v>
      </c>
    </row>
    <row r="660" spans="1:6" hidden="1" outlineLevel="2">
      <c r="A660" t="s">
        <v>6</v>
      </c>
      <c r="B660" s="1">
        <v>45869.296967592592</v>
      </c>
      <c r="C660">
        <v>30002</v>
      </c>
      <c r="D660" t="s">
        <v>7</v>
      </c>
      <c r="E660" t="s">
        <v>112</v>
      </c>
      <c r="F660" t="s">
        <v>97</v>
      </c>
    </row>
    <row r="661" spans="1:6" hidden="1" outlineLevel="2">
      <c r="A661" t="s">
        <v>6</v>
      </c>
      <c r="B661" s="1">
        <v>45869.296423611115</v>
      </c>
      <c r="C661">
        <v>30002</v>
      </c>
      <c r="D661" t="s">
        <v>7</v>
      </c>
      <c r="E661" t="s">
        <v>112</v>
      </c>
      <c r="F661" t="s">
        <v>97</v>
      </c>
    </row>
    <row r="662" spans="1:6" hidden="1" outlineLevel="2">
      <c r="A662" t="s">
        <v>6</v>
      </c>
      <c r="B662" s="1">
        <v>45869.295439814814</v>
      </c>
      <c r="C662">
        <v>30002</v>
      </c>
      <c r="D662" t="s">
        <v>7</v>
      </c>
      <c r="E662" t="s">
        <v>112</v>
      </c>
      <c r="F662" t="s">
        <v>97</v>
      </c>
    </row>
    <row r="663" spans="1:6" outlineLevel="1" collapsed="1">
      <c r="B663" s="1"/>
      <c r="E663" s="2" t="s">
        <v>292</v>
      </c>
      <c r="F663">
        <f>SUBTOTAL(3,F655:F662)</f>
        <v>8</v>
      </c>
    </row>
    <row r="664" spans="1:6" hidden="1" outlineLevel="2">
      <c r="A664" t="s">
        <v>6</v>
      </c>
      <c r="B664" s="1">
        <v>45867.422951388886</v>
      </c>
      <c r="C664">
        <v>30002</v>
      </c>
      <c r="D664" t="s">
        <v>7</v>
      </c>
      <c r="E664" t="s">
        <v>113</v>
      </c>
      <c r="F664" t="s">
        <v>114</v>
      </c>
    </row>
    <row r="665" spans="1:6" hidden="1" outlineLevel="2">
      <c r="A665" t="s">
        <v>6</v>
      </c>
      <c r="B665" s="1">
        <v>45841.371111111112</v>
      </c>
      <c r="C665">
        <v>30002</v>
      </c>
      <c r="D665" t="s">
        <v>7</v>
      </c>
      <c r="E665" t="s">
        <v>113</v>
      </c>
      <c r="F665" t="s">
        <v>114</v>
      </c>
    </row>
    <row r="666" spans="1:6" hidden="1" outlineLevel="2">
      <c r="A666" t="s">
        <v>6</v>
      </c>
      <c r="B666" s="1">
        <v>45859.693067129629</v>
      </c>
      <c r="C666">
        <v>30002</v>
      </c>
      <c r="D666" t="s">
        <v>7</v>
      </c>
      <c r="E666" t="s">
        <v>113</v>
      </c>
      <c r="F666" t="s">
        <v>115</v>
      </c>
    </row>
    <row r="667" spans="1:6" hidden="1" outlineLevel="2">
      <c r="A667" t="s">
        <v>6</v>
      </c>
      <c r="B667" s="1">
        <v>45852.652638888889</v>
      </c>
      <c r="C667">
        <v>30002</v>
      </c>
      <c r="D667" t="s">
        <v>7</v>
      </c>
      <c r="E667" t="s">
        <v>113</v>
      </c>
      <c r="F667" t="s">
        <v>115</v>
      </c>
    </row>
    <row r="668" spans="1:6" hidden="1" outlineLevel="2">
      <c r="A668" t="s">
        <v>6</v>
      </c>
      <c r="B668" s="1">
        <v>45846.436412037037</v>
      </c>
      <c r="C668">
        <v>30002</v>
      </c>
      <c r="D668" t="s">
        <v>7</v>
      </c>
      <c r="E668" t="s">
        <v>113</v>
      </c>
      <c r="F668" t="s">
        <v>115</v>
      </c>
    </row>
    <row r="669" spans="1:6" hidden="1" outlineLevel="2">
      <c r="A669" t="s">
        <v>6</v>
      </c>
      <c r="B669" s="1">
        <v>45845.489178240743</v>
      </c>
      <c r="C669">
        <v>30002</v>
      </c>
      <c r="D669" t="s">
        <v>7</v>
      </c>
      <c r="E669" t="s">
        <v>113</v>
      </c>
      <c r="F669" t="s">
        <v>115</v>
      </c>
    </row>
    <row r="670" spans="1:6" outlineLevel="1" collapsed="1">
      <c r="B670" s="1"/>
      <c r="E670" s="2" t="s">
        <v>293</v>
      </c>
      <c r="F670">
        <f>SUBTOTAL(3,F664:F669)</f>
        <v>6</v>
      </c>
    </row>
    <row r="671" spans="1:6" hidden="1" outlineLevel="2">
      <c r="A671" t="s">
        <v>6</v>
      </c>
      <c r="B671" s="1">
        <v>45859.484131944446</v>
      </c>
      <c r="C671">
        <v>30002</v>
      </c>
      <c r="D671" t="s">
        <v>7</v>
      </c>
      <c r="E671" t="s">
        <v>116</v>
      </c>
      <c r="F671" t="s">
        <v>23</v>
      </c>
    </row>
    <row r="672" spans="1:6" hidden="1" outlineLevel="2">
      <c r="A672" t="s">
        <v>6</v>
      </c>
      <c r="B672" s="1">
        <v>45859.481446759259</v>
      </c>
      <c r="C672">
        <v>30002</v>
      </c>
      <c r="D672" t="s">
        <v>7</v>
      </c>
      <c r="E672" t="s">
        <v>116</v>
      </c>
      <c r="F672" t="s">
        <v>23</v>
      </c>
    </row>
    <row r="673" spans="1:6" hidden="1" outlineLevel="2">
      <c r="A673" t="s">
        <v>6</v>
      </c>
      <c r="B673" s="1">
        <v>45859.480868055558</v>
      </c>
      <c r="C673">
        <v>30002</v>
      </c>
      <c r="D673" t="s">
        <v>7</v>
      </c>
      <c r="E673" t="s">
        <v>116</v>
      </c>
      <c r="F673" t="s">
        <v>23</v>
      </c>
    </row>
    <row r="674" spans="1:6" outlineLevel="1" collapsed="1">
      <c r="B674" s="1"/>
      <c r="E674" s="2" t="s">
        <v>294</v>
      </c>
      <c r="F674">
        <f>SUBTOTAL(3,F671:F673)</f>
        <v>3</v>
      </c>
    </row>
    <row r="675" spans="1:6" hidden="1" outlineLevel="2">
      <c r="A675" t="s">
        <v>6</v>
      </c>
      <c r="B675" s="1">
        <v>45841.687465277777</v>
      </c>
      <c r="C675">
        <v>30002</v>
      </c>
      <c r="D675" t="s">
        <v>7</v>
      </c>
      <c r="E675" t="s">
        <v>117</v>
      </c>
      <c r="F675" t="s">
        <v>105</v>
      </c>
    </row>
    <row r="676" spans="1:6" hidden="1" outlineLevel="2">
      <c r="A676" t="s">
        <v>6</v>
      </c>
      <c r="B676" s="1">
        <v>45841.6871875</v>
      </c>
      <c r="C676">
        <v>30002</v>
      </c>
      <c r="D676" t="s">
        <v>7</v>
      </c>
      <c r="E676" t="s">
        <v>117</v>
      </c>
      <c r="F676" t="s">
        <v>105</v>
      </c>
    </row>
    <row r="677" spans="1:6" hidden="1" outlineLevel="2">
      <c r="A677" t="s">
        <v>6</v>
      </c>
      <c r="B677" s="1">
        <v>45841.683541666665</v>
      </c>
      <c r="C677">
        <v>30002</v>
      </c>
      <c r="D677" t="s">
        <v>7</v>
      </c>
      <c r="E677" t="s">
        <v>117</v>
      </c>
      <c r="F677" t="s">
        <v>105</v>
      </c>
    </row>
    <row r="678" spans="1:6" hidden="1" outlineLevel="2">
      <c r="A678" t="s">
        <v>6</v>
      </c>
      <c r="B678" s="1">
        <v>45839.34684027778</v>
      </c>
      <c r="C678">
        <v>30002</v>
      </c>
      <c r="D678" t="s">
        <v>7</v>
      </c>
      <c r="E678" t="s">
        <v>117</v>
      </c>
      <c r="F678" t="s">
        <v>31</v>
      </c>
    </row>
    <row r="679" spans="1:6" hidden="1" outlineLevel="2">
      <c r="A679" t="s">
        <v>6</v>
      </c>
      <c r="B679" s="1">
        <v>45839.346076388887</v>
      </c>
      <c r="C679">
        <v>30002</v>
      </c>
      <c r="D679" t="s">
        <v>7</v>
      </c>
      <c r="E679" t="s">
        <v>117</v>
      </c>
      <c r="F679" t="s">
        <v>31</v>
      </c>
    </row>
    <row r="680" spans="1:6" hidden="1" outlineLevel="2">
      <c r="A680" t="s">
        <v>6</v>
      </c>
      <c r="B680" s="1">
        <v>45839.345555555556</v>
      </c>
      <c r="C680">
        <v>30002</v>
      </c>
      <c r="D680" t="s">
        <v>7</v>
      </c>
      <c r="E680" t="s">
        <v>117</v>
      </c>
      <c r="F680" t="s">
        <v>31</v>
      </c>
    </row>
    <row r="681" spans="1:6" hidden="1" outlineLevel="2">
      <c r="A681" t="s">
        <v>6</v>
      </c>
      <c r="B681" s="1">
        <v>45854.58966435185</v>
      </c>
      <c r="C681">
        <v>30002</v>
      </c>
      <c r="D681" t="s">
        <v>7</v>
      </c>
      <c r="E681" t="s">
        <v>117</v>
      </c>
      <c r="F681" t="s">
        <v>24</v>
      </c>
    </row>
    <row r="682" spans="1:6" outlineLevel="1" collapsed="1">
      <c r="B682" s="1"/>
      <c r="E682" s="2" t="s">
        <v>295</v>
      </c>
      <c r="F682">
        <f>SUBTOTAL(3,F675:F681)</f>
        <v>7</v>
      </c>
    </row>
    <row r="683" spans="1:6" hidden="1" outlineLevel="2">
      <c r="A683" t="s">
        <v>6</v>
      </c>
      <c r="B683" s="1">
        <v>45848.454270833332</v>
      </c>
      <c r="C683">
        <v>30002</v>
      </c>
      <c r="D683" t="s">
        <v>7</v>
      </c>
      <c r="E683" t="s">
        <v>118</v>
      </c>
      <c r="F683" t="s">
        <v>102</v>
      </c>
    </row>
    <row r="684" spans="1:6" hidden="1" outlineLevel="2">
      <c r="A684" t="s">
        <v>6</v>
      </c>
      <c r="B684" s="1">
        <v>45856.381331018521</v>
      </c>
      <c r="C684">
        <v>30002</v>
      </c>
      <c r="D684" t="s">
        <v>7</v>
      </c>
      <c r="E684" t="s">
        <v>118</v>
      </c>
      <c r="F684" t="s">
        <v>13</v>
      </c>
    </row>
    <row r="685" spans="1:6" hidden="1" outlineLevel="2">
      <c r="A685" t="s">
        <v>6</v>
      </c>
      <c r="B685" s="1">
        <v>45856.368645833332</v>
      </c>
      <c r="C685">
        <v>30002</v>
      </c>
      <c r="D685" t="s">
        <v>7</v>
      </c>
      <c r="E685" t="s">
        <v>118</v>
      </c>
      <c r="F685" t="s">
        <v>13</v>
      </c>
    </row>
    <row r="686" spans="1:6" hidden="1" outlineLevel="2">
      <c r="A686" t="s">
        <v>6</v>
      </c>
      <c r="B686" s="1">
        <v>45852.600682870368</v>
      </c>
      <c r="C686">
        <v>30002</v>
      </c>
      <c r="D686" t="s">
        <v>7</v>
      </c>
      <c r="E686" t="s">
        <v>118</v>
      </c>
      <c r="F686" t="s">
        <v>13</v>
      </c>
    </row>
    <row r="687" spans="1:6" hidden="1" outlineLevel="2">
      <c r="A687" t="s">
        <v>6</v>
      </c>
      <c r="B687" s="1">
        <v>45868.340937499997</v>
      </c>
      <c r="C687">
        <v>30002</v>
      </c>
      <c r="D687" t="s">
        <v>7</v>
      </c>
      <c r="E687" t="s">
        <v>118</v>
      </c>
      <c r="F687" t="s">
        <v>103</v>
      </c>
    </row>
    <row r="688" spans="1:6" hidden="1" outlineLevel="2">
      <c r="A688" t="s">
        <v>6</v>
      </c>
      <c r="B688" s="1">
        <v>45868.336851851855</v>
      </c>
      <c r="C688">
        <v>30002</v>
      </c>
      <c r="D688" t="s">
        <v>7</v>
      </c>
      <c r="E688" t="s">
        <v>118</v>
      </c>
      <c r="F688" t="s">
        <v>103</v>
      </c>
    </row>
    <row r="689" spans="1:6" hidden="1" outlineLevel="2">
      <c r="A689" t="s">
        <v>6</v>
      </c>
      <c r="B689" s="1">
        <v>45868.334918981483</v>
      </c>
      <c r="C689">
        <v>30002</v>
      </c>
      <c r="D689" t="s">
        <v>7</v>
      </c>
      <c r="E689" t="s">
        <v>118</v>
      </c>
      <c r="F689" t="s">
        <v>103</v>
      </c>
    </row>
    <row r="690" spans="1:6" hidden="1" outlineLevel="2">
      <c r="A690" t="s">
        <v>6</v>
      </c>
      <c r="B690" s="1">
        <v>45861.548495370371</v>
      </c>
      <c r="C690">
        <v>30002</v>
      </c>
      <c r="D690" t="s">
        <v>7</v>
      </c>
      <c r="E690" t="s">
        <v>118</v>
      </c>
      <c r="F690" t="s">
        <v>23</v>
      </c>
    </row>
    <row r="691" spans="1:6" hidden="1" outlineLevel="2">
      <c r="A691" t="s">
        <v>6</v>
      </c>
      <c r="B691" s="1">
        <v>45859.480428240742</v>
      </c>
      <c r="C691">
        <v>30002</v>
      </c>
      <c r="D691" t="s">
        <v>7</v>
      </c>
      <c r="E691" t="s">
        <v>118</v>
      </c>
      <c r="F691" t="s">
        <v>23</v>
      </c>
    </row>
    <row r="692" spans="1:6" hidden="1" outlineLevel="2">
      <c r="A692" t="s">
        <v>6</v>
      </c>
      <c r="B692" s="1">
        <v>45855.33556712963</v>
      </c>
      <c r="C692">
        <v>30002</v>
      </c>
      <c r="D692" t="s">
        <v>7</v>
      </c>
      <c r="E692" t="s">
        <v>118</v>
      </c>
      <c r="F692" t="s">
        <v>24</v>
      </c>
    </row>
    <row r="693" spans="1:6" hidden="1" outlineLevel="2">
      <c r="A693" t="s">
        <v>6</v>
      </c>
      <c r="B693" s="1">
        <v>45855.335405092592</v>
      </c>
      <c r="C693">
        <v>30002</v>
      </c>
      <c r="D693" t="s">
        <v>7</v>
      </c>
      <c r="E693" t="s">
        <v>118</v>
      </c>
      <c r="F693" t="s">
        <v>24</v>
      </c>
    </row>
    <row r="694" spans="1:6" hidden="1" outlineLevel="2">
      <c r="A694" t="s">
        <v>6</v>
      </c>
      <c r="B694" s="1">
        <v>45855.335231481484</v>
      </c>
      <c r="C694">
        <v>30002</v>
      </c>
      <c r="D694" t="s">
        <v>7</v>
      </c>
      <c r="E694" t="s">
        <v>118</v>
      </c>
      <c r="F694" t="s">
        <v>24</v>
      </c>
    </row>
    <row r="695" spans="1:6" hidden="1" outlineLevel="2">
      <c r="A695" t="s">
        <v>6</v>
      </c>
      <c r="B695" s="1">
        <v>45855.335138888891</v>
      </c>
      <c r="C695">
        <v>30002</v>
      </c>
      <c r="D695" t="s">
        <v>7</v>
      </c>
      <c r="E695" t="s">
        <v>118</v>
      </c>
      <c r="F695" t="s">
        <v>24</v>
      </c>
    </row>
    <row r="696" spans="1:6" hidden="1" outlineLevel="2">
      <c r="A696" t="s">
        <v>6</v>
      </c>
      <c r="B696" s="1">
        <v>45855.326539351852</v>
      </c>
      <c r="C696">
        <v>30002</v>
      </c>
      <c r="D696" t="s">
        <v>7</v>
      </c>
      <c r="E696" t="s">
        <v>118</v>
      </c>
      <c r="F696" t="s">
        <v>24</v>
      </c>
    </row>
    <row r="697" spans="1:6" hidden="1" outlineLevel="2">
      <c r="A697" t="s">
        <v>6</v>
      </c>
      <c r="B697" s="1">
        <v>45854.596886574072</v>
      </c>
      <c r="C697">
        <v>30002</v>
      </c>
      <c r="D697" t="s">
        <v>7</v>
      </c>
      <c r="E697" t="s">
        <v>118</v>
      </c>
      <c r="F697" t="s">
        <v>24</v>
      </c>
    </row>
    <row r="698" spans="1:6" hidden="1" outlineLevel="2">
      <c r="A698" t="s">
        <v>6</v>
      </c>
      <c r="B698" s="1">
        <v>45861.660254629627</v>
      </c>
      <c r="C698">
        <v>30002</v>
      </c>
      <c r="D698" t="s">
        <v>7</v>
      </c>
      <c r="E698" t="s">
        <v>118</v>
      </c>
      <c r="F698" t="s">
        <v>97</v>
      </c>
    </row>
    <row r="699" spans="1:6" hidden="1" outlineLevel="2">
      <c r="A699" t="s">
        <v>6</v>
      </c>
      <c r="B699" s="1">
        <v>45859.338541666664</v>
      </c>
      <c r="C699">
        <v>30002</v>
      </c>
      <c r="D699" t="s">
        <v>7</v>
      </c>
      <c r="E699" t="s">
        <v>118</v>
      </c>
      <c r="F699" t="s">
        <v>97</v>
      </c>
    </row>
    <row r="700" spans="1:6" hidden="1" outlineLevel="2">
      <c r="A700" t="s">
        <v>6</v>
      </c>
      <c r="B700" s="1">
        <v>45855.369386574072</v>
      </c>
      <c r="C700">
        <v>30002</v>
      </c>
      <c r="D700" t="s">
        <v>7</v>
      </c>
      <c r="E700" t="s">
        <v>118</v>
      </c>
      <c r="F700" t="s">
        <v>97</v>
      </c>
    </row>
    <row r="701" spans="1:6" hidden="1" outlineLevel="2">
      <c r="A701" t="s">
        <v>6</v>
      </c>
      <c r="B701" s="1">
        <v>45850.346909722219</v>
      </c>
      <c r="C701">
        <v>30002</v>
      </c>
      <c r="D701" t="s">
        <v>7</v>
      </c>
      <c r="E701" t="s">
        <v>118</v>
      </c>
      <c r="F701" t="s">
        <v>97</v>
      </c>
    </row>
    <row r="702" spans="1:6" hidden="1" outlineLevel="2">
      <c r="A702" t="s">
        <v>6</v>
      </c>
      <c r="B702" s="1">
        <v>45855.459039351852</v>
      </c>
      <c r="C702">
        <v>30002</v>
      </c>
      <c r="D702" t="s">
        <v>7</v>
      </c>
      <c r="E702" t="s">
        <v>118</v>
      </c>
      <c r="F702" t="s">
        <v>119</v>
      </c>
    </row>
    <row r="703" spans="1:6" outlineLevel="1" collapsed="1">
      <c r="B703" s="1"/>
      <c r="E703" s="2" t="s">
        <v>296</v>
      </c>
      <c r="F703">
        <f>SUBTOTAL(3,F683:F702)</f>
        <v>20</v>
      </c>
    </row>
    <row r="704" spans="1:6" hidden="1" outlineLevel="2">
      <c r="A704" t="s">
        <v>6</v>
      </c>
      <c r="B704" s="1">
        <v>45840.339201388888</v>
      </c>
      <c r="C704">
        <v>30002</v>
      </c>
      <c r="D704" t="s">
        <v>7</v>
      </c>
      <c r="E704" t="s">
        <v>120</v>
      </c>
      <c r="F704" t="s">
        <v>121</v>
      </c>
    </row>
    <row r="705" spans="1:6" hidden="1" outlineLevel="2">
      <c r="A705" t="s">
        <v>6</v>
      </c>
      <c r="B705" s="1">
        <v>45840.337534722225</v>
      </c>
      <c r="C705">
        <v>30002</v>
      </c>
      <c r="D705" t="s">
        <v>7</v>
      </c>
      <c r="E705" t="s">
        <v>120</v>
      </c>
      <c r="F705" t="s">
        <v>121</v>
      </c>
    </row>
    <row r="706" spans="1:6" outlineLevel="1" collapsed="1">
      <c r="B706" s="1"/>
      <c r="E706" s="2" t="s">
        <v>297</v>
      </c>
      <c r="F706">
        <f>SUBTOTAL(3,F704:F705)</f>
        <v>2</v>
      </c>
    </row>
    <row r="707" spans="1:6" hidden="1" outlineLevel="2">
      <c r="A707" t="s">
        <v>6</v>
      </c>
      <c r="B707" s="1">
        <v>45849.508425925924</v>
      </c>
      <c r="C707">
        <v>30002</v>
      </c>
      <c r="D707" t="s">
        <v>7</v>
      </c>
      <c r="E707" t="s">
        <v>122</v>
      </c>
      <c r="F707" t="s">
        <v>121</v>
      </c>
    </row>
    <row r="708" spans="1:6" hidden="1" outlineLevel="2">
      <c r="A708" t="s">
        <v>6</v>
      </c>
      <c r="B708" s="1">
        <v>45846.25608796296</v>
      </c>
      <c r="C708">
        <v>30002</v>
      </c>
      <c r="D708" t="s">
        <v>7</v>
      </c>
      <c r="E708" t="s">
        <v>122</v>
      </c>
      <c r="F708" t="s">
        <v>19</v>
      </c>
    </row>
    <row r="709" spans="1:6" outlineLevel="1" collapsed="1">
      <c r="B709" s="1"/>
      <c r="E709" s="2" t="s">
        <v>298</v>
      </c>
      <c r="F709">
        <f>SUBTOTAL(3,F707:F708)</f>
        <v>2</v>
      </c>
    </row>
    <row r="710" spans="1:6" hidden="1" outlineLevel="2">
      <c r="A710" t="s">
        <v>6</v>
      </c>
      <c r="B710" s="1">
        <v>45845.577743055554</v>
      </c>
      <c r="C710">
        <v>30002</v>
      </c>
      <c r="D710" t="s">
        <v>7</v>
      </c>
      <c r="E710" t="s">
        <v>123</v>
      </c>
      <c r="F710" t="s">
        <v>15</v>
      </c>
    </row>
    <row r="711" spans="1:6" hidden="1" outlineLevel="2">
      <c r="A711" t="s">
        <v>6</v>
      </c>
      <c r="B711" s="1">
        <v>45845.57099537037</v>
      </c>
      <c r="C711">
        <v>30002</v>
      </c>
      <c r="D711" t="s">
        <v>7</v>
      </c>
      <c r="E711" t="s">
        <v>123</v>
      </c>
      <c r="F711" t="s">
        <v>15</v>
      </c>
    </row>
    <row r="712" spans="1:6" hidden="1" outlineLevel="2">
      <c r="A712" t="s">
        <v>6</v>
      </c>
      <c r="B712" s="1">
        <v>45845.55064814815</v>
      </c>
      <c r="C712">
        <v>30002</v>
      </c>
      <c r="D712" t="s">
        <v>7</v>
      </c>
      <c r="E712" t="s">
        <v>123</v>
      </c>
      <c r="F712" t="s">
        <v>15</v>
      </c>
    </row>
    <row r="713" spans="1:6" hidden="1" outlineLevel="2">
      <c r="A713" t="s">
        <v>6</v>
      </c>
      <c r="B713" s="1">
        <v>45841.402592592596</v>
      </c>
      <c r="C713">
        <v>30002</v>
      </c>
      <c r="D713" t="s">
        <v>7</v>
      </c>
      <c r="E713" t="s">
        <v>123</v>
      </c>
      <c r="F713" t="s">
        <v>15</v>
      </c>
    </row>
    <row r="714" spans="1:6" hidden="1" outlineLevel="2">
      <c r="A714" t="s">
        <v>6</v>
      </c>
      <c r="B714" s="1">
        <v>45852.566527777781</v>
      </c>
      <c r="C714">
        <v>30002</v>
      </c>
      <c r="D714" t="s">
        <v>7</v>
      </c>
      <c r="E714" t="s">
        <v>123</v>
      </c>
      <c r="F714" t="s">
        <v>115</v>
      </c>
    </row>
    <row r="715" spans="1:6" outlineLevel="1" collapsed="1">
      <c r="B715" s="1"/>
      <c r="E715" s="2" t="s">
        <v>299</v>
      </c>
      <c r="F715">
        <f>SUBTOTAL(3,F710:F714)</f>
        <v>5</v>
      </c>
    </row>
    <row r="716" spans="1:6" hidden="1" outlineLevel="2">
      <c r="A716" t="s">
        <v>6</v>
      </c>
      <c r="B716" s="1">
        <v>45861.430543981478</v>
      </c>
      <c r="C716">
        <v>30002</v>
      </c>
      <c r="D716" t="s">
        <v>7</v>
      </c>
      <c r="E716" t="s">
        <v>124</v>
      </c>
      <c r="F716" t="s">
        <v>94</v>
      </c>
    </row>
    <row r="717" spans="1:6" hidden="1" outlineLevel="2">
      <c r="A717" t="s">
        <v>6</v>
      </c>
      <c r="B717" s="1">
        <v>45840.499166666668</v>
      </c>
      <c r="C717">
        <v>30002</v>
      </c>
      <c r="D717" t="s">
        <v>7</v>
      </c>
      <c r="E717" t="s">
        <v>124</v>
      </c>
      <c r="F717" t="s">
        <v>94</v>
      </c>
    </row>
    <row r="718" spans="1:6" hidden="1" outlineLevel="2">
      <c r="A718" t="s">
        <v>6</v>
      </c>
      <c r="B718" s="1">
        <v>45840.498148148145</v>
      </c>
      <c r="C718">
        <v>30002</v>
      </c>
      <c r="D718" t="s">
        <v>7</v>
      </c>
      <c r="E718" t="s">
        <v>124</v>
      </c>
      <c r="F718" t="s">
        <v>94</v>
      </c>
    </row>
    <row r="719" spans="1:6" hidden="1" outlineLevel="2">
      <c r="A719" t="s">
        <v>6</v>
      </c>
      <c r="B719" s="1">
        <v>45840.495983796296</v>
      </c>
      <c r="C719">
        <v>30002</v>
      </c>
      <c r="D719" t="s">
        <v>7</v>
      </c>
      <c r="E719" t="s">
        <v>124</v>
      </c>
      <c r="F719" t="s">
        <v>94</v>
      </c>
    </row>
    <row r="720" spans="1:6" hidden="1" outlineLevel="2">
      <c r="A720" t="s">
        <v>6</v>
      </c>
      <c r="B720" s="1">
        <v>45840.490289351852</v>
      </c>
      <c r="C720">
        <v>30002</v>
      </c>
      <c r="D720" t="s">
        <v>7</v>
      </c>
      <c r="E720" t="s">
        <v>124</v>
      </c>
      <c r="F720" t="s">
        <v>94</v>
      </c>
    </row>
    <row r="721" spans="1:6" hidden="1" outlineLevel="2">
      <c r="A721" t="s">
        <v>6</v>
      </c>
      <c r="B721" s="1">
        <v>45840.489733796298</v>
      </c>
      <c r="C721">
        <v>30002</v>
      </c>
      <c r="D721" t="s">
        <v>7</v>
      </c>
      <c r="E721" t="s">
        <v>124</v>
      </c>
      <c r="F721" t="s">
        <v>94</v>
      </c>
    </row>
    <row r="722" spans="1:6" hidden="1" outlineLevel="2">
      <c r="A722" t="s">
        <v>6</v>
      </c>
      <c r="B722" s="1">
        <v>45840.482164351852</v>
      </c>
      <c r="C722">
        <v>30002</v>
      </c>
      <c r="D722" t="s">
        <v>7</v>
      </c>
      <c r="E722" t="s">
        <v>124</v>
      </c>
      <c r="F722" t="s">
        <v>94</v>
      </c>
    </row>
    <row r="723" spans="1:6" hidden="1" outlineLevel="2">
      <c r="A723" t="s">
        <v>6</v>
      </c>
      <c r="B723" s="1">
        <v>45840.480717592596</v>
      </c>
      <c r="C723">
        <v>30002</v>
      </c>
      <c r="D723" t="s">
        <v>7</v>
      </c>
      <c r="E723" t="s">
        <v>124</v>
      </c>
      <c r="F723" t="s">
        <v>94</v>
      </c>
    </row>
    <row r="724" spans="1:6" hidden="1" outlineLevel="2">
      <c r="A724" t="s">
        <v>6</v>
      </c>
      <c r="B724" s="1">
        <v>45840.4765162037</v>
      </c>
      <c r="C724">
        <v>30002</v>
      </c>
      <c r="D724" t="s">
        <v>7</v>
      </c>
      <c r="E724" t="s">
        <v>124</v>
      </c>
      <c r="F724" t="s">
        <v>94</v>
      </c>
    </row>
    <row r="725" spans="1:6" hidden="1" outlineLevel="2">
      <c r="A725" t="s">
        <v>6</v>
      </c>
      <c r="B725" s="1">
        <v>45840.475046296298</v>
      </c>
      <c r="C725">
        <v>30002</v>
      </c>
      <c r="D725" t="s">
        <v>7</v>
      </c>
      <c r="E725" t="s">
        <v>124</v>
      </c>
      <c r="F725" t="s">
        <v>94</v>
      </c>
    </row>
    <row r="726" spans="1:6" hidden="1" outlineLevel="2">
      <c r="A726" t="s">
        <v>6</v>
      </c>
      <c r="B726" s="1">
        <v>45840.474247685182</v>
      </c>
      <c r="C726">
        <v>30002</v>
      </c>
      <c r="D726" t="s">
        <v>7</v>
      </c>
      <c r="E726" t="s">
        <v>124</v>
      </c>
      <c r="F726" t="s">
        <v>94</v>
      </c>
    </row>
    <row r="727" spans="1:6" hidden="1" outlineLevel="2">
      <c r="A727" t="s">
        <v>6</v>
      </c>
      <c r="B727" s="1">
        <v>45840.456886574073</v>
      </c>
      <c r="C727">
        <v>30002</v>
      </c>
      <c r="D727" t="s">
        <v>7</v>
      </c>
      <c r="E727" t="s">
        <v>124</v>
      </c>
      <c r="F727" t="s">
        <v>94</v>
      </c>
    </row>
    <row r="728" spans="1:6" hidden="1" outlineLevel="2">
      <c r="A728" t="s">
        <v>6</v>
      </c>
      <c r="B728" s="1">
        <v>45848.491689814815</v>
      </c>
      <c r="C728">
        <v>30002</v>
      </c>
      <c r="D728" t="s">
        <v>7</v>
      </c>
      <c r="E728" t="s">
        <v>124</v>
      </c>
      <c r="F728" t="s">
        <v>13</v>
      </c>
    </row>
    <row r="729" spans="1:6" hidden="1" outlineLevel="2">
      <c r="A729" t="s">
        <v>6</v>
      </c>
      <c r="B729" s="1">
        <v>45848.466898148145</v>
      </c>
      <c r="C729">
        <v>30002</v>
      </c>
      <c r="D729" t="s">
        <v>7</v>
      </c>
      <c r="E729" t="s">
        <v>124</v>
      </c>
      <c r="F729" t="s">
        <v>13</v>
      </c>
    </row>
    <row r="730" spans="1:6" hidden="1" outlineLevel="2">
      <c r="A730" t="s">
        <v>6</v>
      </c>
      <c r="B730" s="1">
        <v>45848.431307870371</v>
      </c>
      <c r="C730">
        <v>30002</v>
      </c>
      <c r="D730" t="s">
        <v>7</v>
      </c>
      <c r="E730" t="s">
        <v>124</v>
      </c>
      <c r="F730" t="s">
        <v>13</v>
      </c>
    </row>
    <row r="731" spans="1:6" hidden="1" outlineLevel="2">
      <c r="A731" t="s">
        <v>6</v>
      </c>
      <c r="B731" s="1">
        <v>45845.836736111109</v>
      </c>
      <c r="C731">
        <v>30002</v>
      </c>
      <c r="D731" t="s">
        <v>7</v>
      </c>
      <c r="E731" t="s">
        <v>124</v>
      </c>
      <c r="F731" t="s">
        <v>18</v>
      </c>
    </row>
    <row r="732" spans="1:6" hidden="1" outlineLevel="2">
      <c r="A732" t="s">
        <v>6</v>
      </c>
      <c r="B732" s="1">
        <v>45845.835960648146</v>
      </c>
      <c r="C732">
        <v>30002</v>
      </c>
      <c r="D732" t="s">
        <v>7</v>
      </c>
      <c r="E732" t="s">
        <v>124</v>
      </c>
      <c r="F732" t="s">
        <v>18</v>
      </c>
    </row>
    <row r="733" spans="1:6" hidden="1" outlineLevel="2">
      <c r="A733" t="s">
        <v>6</v>
      </c>
      <c r="B733" s="1">
        <v>45845.492488425924</v>
      </c>
      <c r="C733">
        <v>30002</v>
      </c>
      <c r="D733" t="s">
        <v>7</v>
      </c>
      <c r="E733" t="s">
        <v>124</v>
      </c>
      <c r="F733" t="s">
        <v>18</v>
      </c>
    </row>
    <row r="734" spans="1:6" hidden="1" outlineLevel="2">
      <c r="A734" t="s">
        <v>6</v>
      </c>
      <c r="B734" s="1">
        <v>45845.469259259262</v>
      </c>
      <c r="C734">
        <v>30002</v>
      </c>
      <c r="D734" t="s">
        <v>7</v>
      </c>
      <c r="E734" t="s">
        <v>124</v>
      </c>
      <c r="F734" t="s">
        <v>18</v>
      </c>
    </row>
    <row r="735" spans="1:6" hidden="1" outlineLevel="2">
      <c r="A735" t="s">
        <v>6</v>
      </c>
      <c r="B735" s="1">
        <v>45845.439502314817</v>
      </c>
      <c r="C735">
        <v>30002</v>
      </c>
      <c r="D735" t="s">
        <v>7</v>
      </c>
      <c r="E735" t="s">
        <v>124</v>
      </c>
      <c r="F735" t="s">
        <v>18</v>
      </c>
    </row>
    <row r="736" spans="1:6" hidden="1" outlineLevel="2">
      <c r="A736" t="s">
        <v>6</v>
      </c>
      <c r="B736" s="1">
        <v>45845.431851851848</v>
      </c>
      <c r="C736">
        <v>30002</v>
      </c>
      <c r="D736" t="s">
        <v>7</v>
      </c>
      <c r="E736" t="s">
        <v>124</v>
      </c>
      <c r="F736" t="s">
        <v>18</v>
      </c>
    </row>
    <row r="737" spans="1:6" hidden="1" outlineLevel="2">
      <c r="A737" t="s">
        <v>6</v>
      </c>
      <c r="B737" s="1">
        <v>45845.417719907404</v>
      </c>
      <c r="C737">
        <v>30002</v>
      </c>
      <c r="D737" t="s">
        <v>7</v>
      </c>
      <c r="E737" t="s">
        <v>124</v>
      </c>
      <c r="F737" t="s">
        <v>18</v>
      </c>
    </row>
    <row r="738" spans="1:6" hidden="1" outlineLevel="2">
      <c r="A738" t="s">
        <v>6</v>
      </c>
      <c r="B738" s="1">
        <v>45845.397037037037</v>
      </c>
      <c r="C738">
        <v>30002</v>
      </c>
      <c r="D738" t="s">
        <v>7</v>
      </c>
      <c r="E738" t="s">
        <v>124</v>
      </c>
      <c r="F738" t="s">
        <v>18</v>
      </c>
    </row>
    <row r="739" spans="1:6" hidden="1" outlineLevel="2">
      <c r="A739" t="s">
        <v>6</v>
      </c>
      <c r="B739" s="1">
        <v>45845.386724537035</v>
      </c>
      <c r="C739">
        <v>30002</v>
      </c>
      <c r="D739" t="s">
        <v>7</v>
      </c>
      <c r="E739" t="s">
        <v>124</v>
      </c>
      <c r="F739" t="s">
        <v>103</v>
      </c>
    </row>
    <row r="740" spans="1:6" hidden="1" outlineLevel="2">
      <c r="A740" t="s">
        <v>6</v>
      </c>
      <c r="B740" s="1">
        <v>45869.277615740742</v>
      </c>
      <c r="C740">
        <v>30002</v>
      </c>
      <c r="D740" t="s">
        <v>7</v>
      </c>
      <c r="E740" t="s">
        <v>124</v>
      </c>
      <c r="F740" t="s">
        <v>19</v>
      </c>
    </row>
    <row r="741" spans="1:6" hidden="1" outlineLevel="2">
      <c r="A741" t="s">
        <v>6</v>
      </c>
      <c r="B741" s="1">
        <v>45869.277499999997</v>
      </c>
      <c r="C741">
        <v>30002</v>
      </c>
      <c r="D741" t="s">
        <v>7</v>
      </c>
      <c r="E741" t="s">
        <v>124</v>
      </c>
      <c r="F741" t="s">
        <v>19</v>
      </c>
    </row>
    <row r="742" spans="1:6" hidden="1" outlineLevel="2">
      <c r="A742" t="s">
        <v>6</v>
      </c>
      <c r="B742" s="1">
        <v>45869.277118055557</v>
      </c>
      <c r="C742">
        <v>30002</v>
      </c>
      <c r="D742" t="s">
        <v>7</v>
      </c>
      <c r="E742" t="s">
        <v>124</v>
      </c>
      <c r="F742" t="s">
        <v>19</v>
      </c>
    </row>
    <row r="743" spans="1:6" hidden="1" outlineLevel="2">
      <c r="A743" t="s">
        <v>6</v>
      </c>
      <c r="B743" s="1">
        <v>45869.276875000003</v>
      </c>
      <c r="C743">
        <v>30002</v>
      </c>
      <c r="D743" t="s">
        <v>7</v>
      </c>
      <c r="E743" t="s">
        <v>124</v>
      </c>
      <c r="F743" t="s">
        <v>19</v>
      </c>
    </row>
    <row r="744" spans="1:6" hidden="1" outlineLevel="2">
      <c r="A744" t="s">
        <v>6</v>
      </c>
      <c r="B744" s="1">
        <v>45847.66615740741</v>
      </c>
      <c r="C744">
        <v>30002</v>
      </c>
      <c r="D744" t="s">
        <v>7</v>
      </c>
      <c r="E744" t="s">
        <v>124</v>
      </c>
      <c r="F744" t="s">
        <v>19</v>
      </c>
    </row>
    <row r="745" spans="1:6" hidden="1" outlineLevel="2">
      <c r="A745" t="s">
        <v>6</v>
      </c>
      <c r="B745" s="1">
        <v>45847.665717592594</v>
      </c>
      <c r="C745">
        <v>30002</v>
      </c>
      <c r="D745" t="s">
        <v>7</v>
      </c>
      <c r="E745" t="s">
        <v>124</v>
      </c>
      <c r="F745" t="s">
        <v>19</v>
      </c>
    </row>
    <row r="746" spans="1:6" hidden="1" outlineLevel="2">
      <c r="A746" t="s">
        <v>6</v>
      </c>
      <c r="B746" s="1">
        <v>45847.661493055559</v>
      </c>
      <c r="C746">
        <v>30002</v>
      </c>
      <c r="D746" t="s">
        <v>7</v>
      </c>
      <c r="E746" t="s">
        <v>124</v>
      </c>
      <c r="F746" t="s">
        <v>19</v>
      </c>
    </row>
    <row r="747" spans="1:6" hidden="1" outlineLevel="2">
      <c r="A747" t="s">
        <v>6</v>
      </c>
      <c r="B747" s="1">
        <v>45847.661087962966</v>
      </c>
      <c r="C747">
        <v>30002</v>
      </c>
      <c r="D747" t="s">
        <v>7</v>
      </c>
      <c r="E747" t="s">
        <v>124</v>
      </c>
      <c r="F747" t="s">
        <v>19</v>
      </c>
    </row>
    <row r="748" spans="1:6" hidden="1" outlineLevel="2">
      <c r="A748" t="s">
        <v>6</v>
      </c>
      <c r="B748" s="1">
        <v>45861.495925925927</v>
      </c>
      <c r="C748">
        <v>30002</v>
      </c>
      <c r="D748" t="s">
        <v>7</v>
      </c>
      <c r="E748" t="s">
        <v>124</v>
      </c>
      <c r="F748" t="s">
        <v>21</v>
      </c>
    </row>
    <row r="749" spans="1:6" hidden="1" outlineLevel="2">
      <c r="A749" t="s">
        <v>6</v>
      </c>
      <c r="B749" s="1">
        <v>45860.258553240739</v>
      </c>
      <c r="C749">
        <v>30002</v>
      </c>
      <c r="D749" t="s">
        <v>7</v>
      </c>
      <c r="E749" t="s">
        <v>124</v>
      </c>
      <c r="F749" t="s">
        <v>21</v>
      </c>
    </row>
    <row r="750" spans="1:6" hidden="1" outlineLevel="2">
      <c r="A750" t="s">
        <v>6</v>
      </c>
      <c r="B750" s="1">
        <v>45854.295520833337</v>
      </c>
      <c r="C750">
        <v>30002</v>
      </c>
      <c r="D750" t="s">
        <v>7</v>
      </c>
      <c r="E750" t="s">
        <v>124</v>
      </c>
      <c r="F750" t="s">
        <v>21</v>
      </c>
    </row>
    <row r="751" spans="1:6" hidden="1" outlineLevel="2">
      <c r="A751" t="s">
        <v>6</v>
      </c>
      <c r="B751" s="1">
        <v>45841.348113425927</v>
      </c>
      <c r="C751">
        <v>30002</v>
      </c>
      <c r="D751" t="s">
        <v>7</v>
      </c>
      <c r="E751" t="s">
        <v>124</v>
      </c>
      <c r="F751" t="s">
        <v>21</v>
      </c>
    </row>
    <row r="752" spans="1:6" hidden="1" outlineLevel="2">
      <c r="A752" t="s">
        <v>6</v>
      </c>
      <c r="B752" s="1">
        <v>45848.646805555552</v>
      </c>
      <c r="C752">
        <v>30002</v>
      </c>
      <c r="D752" t="s">
        <v>7</v>
      </c>
      <c r="E752" t="s">
        <v>124</v>
      </c>
      <c r="F752" t="s">
        <v>15</v>
      </c>
    </row>
    <row r="753" spans="1:6" hidden="1" outlineLevel="2">
      <c r="A753" t="s">
        <v>6</v>
      </c>
      <c r="B753" s="1">
        <v>45848.646701388891</v>
      </c>
      <c r="C753">
        <v>30002</v>
      </c>
      <c r="D753" t="s">
        <v>7</v>
      </c>
      <c r="E753" t="s">
        <v>124</v>
      </c>
      <c r="F753" t="s">
        <v>15</v>
      </c>
    </row>
    <row r="754" spans="1:6" hidden="1" outlineLevel="2">
      <c r="A754" t="s">
        <v>6</v>
      </c>
      <c r="B754" s="1">
        <v>45848.646597222221</v>
      </c>
      <c r="C754">
        <v>30002</v>
      </c>
      <c r="D754" t="s">
        <v>7</v>
      </c>
      <c r="E754" t="s">
        <v>124</v>
      </c>
      <c r="F754" t="s">
        <v>15</v>
      </c>
    </row>
    <row r="755" spans="1:6" hidden="1" outlineLevel="2">
      <c r="A755" t="s">
        <v>6</v>
      </c>
      <c r="B755" s="1">
        <v>45848.646493055552</v>
      </c>
      <c r="C755">
        <v>30002</v>
      </c>
      <c r="D755" t="s">
        <v>7</v>
      </c>
      <c r="E755" t="s">
        <v>124</v>
      </c>
      <c r="F755" t="s">
        <v>15</v>
      </c>
    </row>
    <row r="756" spans="1:6" hidden="1" outlineLevel="2">
      <c r="A756" t="s">
        <v>6</v>
      </c>
      <c r="B756" s="1">
        <v>45848.646377314813</v>
      </c>
      <c r="C756">
        <v>30002</v>
      </c>
      <c r="D756" t="s">
        <v>7</v>
      </c>
      <c r="E756" t="s">
        <v>124</v>
      </c>
      <c r="F756" t="s">
        <v>15</v>
      </c>
    </row>
    <row r="757" spans="1:6" hidden="1" outlineLevel="2">
      <c r="A757" t="s">
        <v>6</v>
      </c>
      <c r="B757" s="1">
        <v>45848.64607638889</v>
      </c>
      <c r="C757">
        <v>30002</v>
      </c>
      <c r="D757" t="s">
        <v>7</v>
      </c>
      <c r="E757" t="s">
        <v>124</v>
      </c>
      <c r="F757" t="s">
        <v>15</v>
      </c>
    </row>
    <row r="758" spans="1:6" hidden="1" outlineLevel="2">
      <c r="A758" t="s">
        <v>6</v>
      </c>
      <c r="B758" s="1">
        <v>45848.645833333336</v>
      </c>
      <c r="C758">
        <v>30002</v>
      </c>
      <c r="D758" t="s">
        <v>7</v>
      </c>
      <c r="E758" t="s">
        <v>124</v>
      </c>
      <c r="F758" t="s">
        <v>15</v>
      </c>
    </row>
    <row r="759" spans="1:6" hidden="1" outlineLevel="2">
      <c r="A759" t="s">
        <v>6</v>
      </c>
      <c r="B759" s="1">
        <v>45848.645185185182</v>
      </c>
      <c r="C759">
        <v>30002</v>
      </c>
      <c r="D759" t="s">
        <v>7</v>
      </c>
      <c r="E759" t="s">
        <v>124</v>
      </c>
      <c r="F759" t="s">
        <v>15</v>
      </c>
    </row>
    <row r="760" spans="1:6" hidden="1" outlineLevel="2">
      <c r="A760" t="s">
        <v>6</v>
      </c>
      <c r="B760" s="1">
        <v>45848.644756944443</v>
      </c>
      <c r="C760">
        <v>30002</v>
      </c>
      <c r="D760" t="s">
        <v>7</v>
      </c>
      <c r="E760" t="s">
        <v>124</v>
      </c>
      <c r="F760" t="s">
        <v>15</v>
      </c>
    </row>
    <row r="761" spans="1:6" hidden="1" outlineLevel="2">
      <c r="A761" t="s">
        <v>6</v>
      </c>
      <c r="B761" s="1">
        <v>45848.644328703704</v>
      </c>
      <c r="C761">
        <v>30002</v>
      </c>
      <c r="D761" t="s">
        <v>7</v>
      </c>
      <c r="E761" t="s">
        <v>124</v>
      </c>
      <c r="F761" t="s">
        <v>15</v>
      </c>
    </row>
    <row r="762" spans="1:6" hidden="1" outlineLevel="2">
      <c r="A762" t="s">
        <v>6</v>
      </c>
      <c r="B762" s="1">
        <v>45848.385034722225</v>
      </c>
      <c r="C762">
        <v>30002</v>
      </c>
      <c r="D762" t="s">
        <v>7</v>
      </c>
      <c r="E762" t="s">
        <v>124</v>
      </c>
      <c r="F762" t="s">
        <v>15</v>
      </c>
    </row>
    <row r="763" spans="1:6" hidden="1" outlineLevel="2">
      <c r="A763" t="s">
        <v>6</v>
      </c>
      <c r="B763" s="1">
        <v>45848.384050925924</v>
      </c>
      <c r="C763">
        <v>30002</v>
      </c>
      <c r="D763" t="s">
        <v>7</v>
      </c>
      <c r="E763" t="s">
        <v>124</v>
      </c>
      <c r="F763" t="s">
        <v>15</v>
      </c>
    </row>
    <row r="764" spans="1:6" hidden="1" outlineLevel="2">
      <c r="A764" t="s">
        <v>6</v>
      </c>
      <c r="B764" s="1">
        <v>45848.383761574078</v>
      </c>
      <c r="C764">
        <v>30002</v>
      </c>
      <c r="D764" t="s">
        <v>7</v>
      </c>
      <c r="E764" t="s">
        <v>124</v>
      </c>
      <c r="F764" t="s">
        <v>15</v>
      </c>
    </row>
    <row r="765" spans="1:6" hidden="1" outlineLevel="2">
      <c r="A765" t="s">
        <v>6</v>
      </c>
      <c r="B765" s="1">
        <v>45848.383483796293</v>
      </c>
      <c r="C765">
        <v>30002</v>
      </c>
      <c r="D765" t="s">
        <v>7</v>
      </c>
      <c r="E765" t="s">
        <v>124</v>
      </c>
      <c r="F765" t="s">
        <v>15</v>
      </c>
    </row>
    <row r="766" spans="1:6" hidden="1" outlineLevel="2">
      <c r="A766" t="s">
        <v>6</v>
      </c>
      <c r="B766" s="1">
        <v>45848.383344907408</v>
      </c>
      <c r="C766">
        <v>30002</v>
      </c>
      <c r="D766" t="s">
        <v>7</v>
      </c>
      <c r="E766" t="s">
        <v>124</v>
      </c>
      <c r="F766" t="s">
        <v>15</v>
      </c>
    </row>
    <row r="767" spans="1:6" hidden="1" outlineLevel="2">
      <c r="A767" t="s">
        <v>6</v>
      </c>
      <c r="B767" s="1">
        <v>45848.382847222223</v>
      </c>
      <c r="C767">
        <v>30002</v>
      </c>
      <c r="D767" t="s">
        <v>7</v>
      </c>
      <c r="E767" t="s">
        <v>124</v>
      </c>
      <c r="F767" t="s">
        <v>15</v>
      </c>
    </row>
    <row r="768" spans="1:6" hidden="1" outlineLevel="2">
      <c r="A768" t="s">
        <v>6</v>
      </c>
      <c r="B768" s="1">
        <v>45848.382511574076</v>
      </c>
      <c r="C768">
        <v>30002</v>
      </c>
      <c r="D768" t="s">
        <v>7</v>
      </c>
      <c r="E768" t="s">
        <v>124</v>
      </c>
      <c r="F768" t="s">
        <v>15</v>
      </c>
    </row>
    <row r="769" spans="1:6" hidden="1" outlineLevel="2">
      <c r="A769" t="s">
        <v>6</v>
      </c>
      <c r="B769" s="1">
        <v>45847.440254629626</v>
      </c>
      <c r="C769">
        <v>30002</v>
      </c>
      <c r="D769" t="s">
        <v>7</v>
      </c>
      <c r="E769" t="s">
        <v>124</v>
      </c>
      <c r="F769" t="s">
        <v>15</v>
      </c>
    </row>
    <row r="770" spans="1:6" hidden="1" outlineLevel="2">
      <c r="A770" t="s">
        <v>6</v>
      </c>
      <c r="B770" s="1">
        <v>45847.434247685182</v>
      </c>
      <c r="C770">
        <v>30002</v>
      </c>
      <c r="D770" t="s">
        <v>7</v>
      </c>
      <c r="E770" t="s">
        <v>124</v>
      </c>
      <c r="F770" t="s">
        <v>15</v>
      </c>
    </row>
    <row r="771" spans="1:6" hidden="1" outlineLevel="2">
      <c r="A771" t="s">
        <v>6</v>
      </c>
      <c r="B771" s="1">
        <v>45847.429988425924</v>
      </c>
      <c r="C771">
        <v>30002</v>
      </c>
      <c r="D771" t="s">
        <v>7</v>
      </c>
      <c r="E771" t="s">
        <v>124</v>
      </c>
      <c r="F771" t="s">
        <v>15</v>
      </c>
    </row>
    <row r="772" spans="1:6" hidden="1" outlineLevel="2">
      <c r="A772" t="s">
        <v>6</v>
      </c>
      <c r="B772" s="1">
        <v>45847.429699074077</v>
      </c>
      <c r="C772">
        <v>30002</v>
      </c>
      <c r="D772" t="s">
        <v>7</v>
      </c>
      <c r="E772" t="s">
        <v>124</v>
      </c>
      <c r="F772" t="s">
        <v>15</v>
      </c>
    </row>
    <row r="773" spans="1:6" hidden="1" outlineLevel="2">
      <c r="A773" t="s">
        <v>6</v>
      </c>
      <c r="B773" s="1">
        <v>45847.427187499998</v>
      </c>
      <c r="C773">
        <v>30002</v>
      </c>
      <c r="D773" t="s">
        <v>7</v>
      </c>
      <c r="E773" t="s">
        <v>124</v>
      </c>
      <c r="F773" t="s">
        <v>15</v>
      </c>
    </row>
    <row r="774" spans="1:6" hidden="1" outlineLevel="2">
      <c r="A774" t="s">
        <v>6</v>
      </c>
      <c r="B774" s="1">
        <v>45846.455023148148</v>
      </c>
      <c r="C774">
        <v>30002</v>
      </c>
      <c r="D774" t="s">
        <v>7</v>
      </c>
      <c r="E774" t="s">
        <v>124</v>
      </c>
      <c r="F774" t="s">
        <v>15</v>
      </c>
    </row>
    <row r="775" spans="1:6" hidden="1" outlineLevel="2">
      <c r="A775" t="s">
        <v>6</v>
      </c>
      <c r="B775" s="1">
        <v>45846.440208333333</v>
      </c>
      <c r="C775">
        <v>30002</v>
      </c>
      <c r="D775" t="s">
        <v>7</v>
      </c>
      <c r="E775" t="s">
        <v>124</v>
      </c>
      <c r="F775" t="s">
        <v>15</v>
      </c>
    </row>
    <row r="776" spans="1:6" hidden="1" outlineLevel="2">
      <c r="A776" t="s">
        <v>6</v>
      </c>
      <c r="B776" s="1">
        <v>45846.438321759262</v>
      </c>
      <c r="C776">
        <v>30002</v>
      </c>
      <c r="D776" t="s">
        <v>7</v>
      </c>
      <c r="E776" t="s">
        <v>124</v>
      </c>
      <c r="F776" t="s">
        <v>15</v>
      </c>
    </row>
    <row r="777" spans="1:6" hidden="1" outlineLevel="2">
      <c r="A777" t="s">
        <v>6</v>
      </c>
      <c r="B777" s="1">
        <v>45846.438101851854</v>
      </c>
      <c r="C777">
        <v>30002</v>
      </c>
      <c r="D777" t="s">
        <v>7</v>
      </c>
      <c r="E777" t="s">
        <v>124</v>
      </c>
      <c r="F777" t="s">
        <v>15</v>
      </c>
    </row>
    <row r="778" spans="1:6" hidden="1" outlineLevel="2">
      <c r="A778" t="s">
        <v>6</v>
      </c>
      <c r="B778" s="1">
        <v>45846.437719907408</v>
      </c>
      <c r="C778">
        <v>30002</v>
      </c>
      <c r="D778" t="s">
        <v>7</v>
      </c>
      <c r="E778" t="s">
        <v>124</v>
      </c>
      <c r="F778" t="s">
        <v>15</v>
      </c>
    </row>
    <row r="779" spans="1:6" hidden="1" outlineLevel="2">
      <c r="A779" t="s">
        <v>6</v>
      </c>
      <c r="B779" s="1">
        <v>45846.437476851854</v>
      </c>
      <c r="C779">
        <v>30002</v>
      </c>
      <c r="D779" t="s">
        <v>7</v>
      </c>
      <c r="E779" t="s">
        <v>124</v>
      </c>
      <c r="F779" t="s">
        <v>15</v>
      </c>
    </row>
    <row r="780" spans="1:6" hidden="1" outlineLevel="2">
      <c r="A780" t="s">
        <v>6</v>
      </c>
      <c r="B780" s="1">
        <v>45846.437002314815</v>
      </c>
      <c r="C780">
        <v>30002</v>
      </c>
      <c r="D780" t="s">
        <v>7</v>
      </c>
      <c r="E780" t="s">
        <v>124</v>
      </c>
      <c r="F780" t="s">
        <v>15</v>
      </c>
    </row>
    <row r="781" spans="1:6" hidden="1" outlineLevel="2">
      <c r="A781" t="s">
        <v>6</v>
      </c>
      <c r="B781" s="1">
        <v>45846.436354166668</v>
      </c>
      <c r="C781">
        <v>30002</v>
      </c>
      <c r="D781" t="s">
        <v>7</v>
      </c>
      <c r="E781" t="s">
        <v>124</v>
      </c>
      <c r="F781" t="s">
        <v>15</v>
      </c>
    </row>
    <row r="782" spans="1:6" hidden="1" outlineLevel="2">
      <c r="A782" t="s">
        <v>6</v>
      </c>
      <c r="B782" s="1">
        <v>45846.386134259257</v>
      </c>
      <c r="C782">
        <v>30002</v>
      </c>
      <c r="D782" t="s">
        <v>7</v>
      </c>
      <c r="E782" t="s">
        <v>124</v>
      </c>
      <c r="F782" t="s">
        <v>15</v>
      </c>
    </row>
    <row r="783" spans="1:6" hidden="1" outlineLevel="2">
      <c r="A783" t="s">
        <v>6</v>
      </c>
      <c r="B783" s="1">
        <v>45846.381018518521</v>
      </c>
      <c r="C783">
        <v>30002</v>
      </c>
      <c r="D783" t="s">
        <v>7</v>
      </c>
      <c r="E783" t="s">
        <v>124</v>
      </c>
      <c r="F783" t="s">
        <v>15</v>
      </c>
    </row>
    <row r="784" spans="1:6" hidden="1" outlineLevel="2">
      <c r="A784" t="s">
        <v>6</v>
      </c>
      <c r="B784" s="1">
        <v>45845.630300925928</v>
      </c>
      <c r="C784">
        <v>30002</v>
      </c>
      <c r="D784" t="s">
        <v>7</v>
      </c>
      <c r="E784" t="s">
        <v>124</v>
      </c>
      <c r="F784" t="s">
        <v>15</v>
      </c>
    </row>
    <row r="785" spans="1:6" hidden="1" outlineLevel="2">
      <c r="A785" t="s">
        <v>6</v>
      </c>
      <c r="B785" s="1">
        <v>45845.581504629627</v>
      </c>
      <c r="C785">
        <v>30002</v>
      </c>
      <c r="D785" t="s">
        <v>7</v>
      </c>
      <c r="E785" t="s">
        <v>124</v>
      </c>
      <c r="F785" t="s">
        <v>15</v>
      </c>
    </row>
    <row r="786" spans="1:6" hidden="1" outlineLevel="2">
      <c r="A786" t="s">
        <v>6</v>
      </c>
      <c r="B786" s="1">
        <v>45845.570914351854</v>
      </c>
      <c r="C786">
        <v>30002</v>
      </c>
      <c r="D786" t="s">
        <v>7</v>
      </c>
      <c r="E786" t="s">
        <v>124</v>
      </c>
      <c r="F786" t="s">
        <v>15</v>
      </c>
    </row>
    <row r="787" spans="1:6" hidden="1" outlineLevel="2">
      <c r="A787" t="s">
        <v>6</v>
      </c>
      <c r="B787" s="1">
        <v>45845.558495370373</v>
      </c>
      <c r="C787">
        <v>30002</v>
      </c>
      <c r="D787" t="s">
        <v>7</v>
      </c>
      <c r="E787" t="s">
        <v>124</v>
      </c>
      <c r="F787" t="s">
        <v>15</v>
      </c>
    </row>
    <row r="788" spans="1:6" hidden="1" outlineLevel="2">
      <c r="A788" t="s">
        <v>6</v>
      </c>
      <c r="B788" s="1">
        <v>45845.552719907406</v>
      </c>
      <c r="C788">
        <v>30002</v>
      </c>
      <c r="D788" t="s">
        <v>7</v>
      </c>
      <c r="E788" t="s">
        <v>124</v>
      </c>
      <c r="F788" t="s">
        <v>15</v>
      </c>
    </row>
    <row r="789" spans="1:6" hidden="1" outlineLevel="2">
      <c r="A789" t="s">
        <v>6</v>
      </c>
      <c r="B789" s="1">
        <v>45845.551446759258</v>
      </c>
      <c r="C789">
        <v>30002</v>
      </c>
      <c r="D789" t="s">
        <v>7</v>
      </c>
      <c r="E789" t="s">
        <v>124</v>
      </c>
      <c r="F789" t="s">
        <v>15</v>
      </c>
    </row>
    <row r="790" spans="1:6" hidden="1" outlineLevel="2">
      <c r="A790" t="s">
        <v>6</v>
      </c>
      <c r="B790" s="1">
        <v>45845.550798611112</v>
      </c>
      <c r="C790">
        <v>30002</v>
      </c>
      <c r="D790" t="s">
        <v>7</v>
      </c>
      <c r="E790" t="s">
        <v>124</v>
      </c>
      <c r="F790" t="s">
        <v>15</v>
      </c>
    </row>
    <row r="791" spans="1:6" hidden="1" outlineLevel="2">
      <c r="A791" t="s">
        <v>6</v>
      </c>
      <c r="B791" s="1">
        <v>45845.450381944444</v>
      </c>
      <c r="C791">
        <v>30002</v>
      </c>
      <c r="D791" t="s">
        <v>7</v>
      </c>
      <c r="E791" t="s">
        <v>124</v>
      </c>
      <c r="F791" t="s">
        <v>15</v>
      </c>
    </row>
    <row r="792" spans="1:6" hidden="1" outlineLevel="2">
      <c r="A792" t="s">
        <v>6</v>
      </c>
      <c r="B792" s="1">
        <v>45845.449305555558</v>
      </c>
      <c r="C792">
        <v>30002</v>
      </c>
      <c r="D792" t="s">
        <v>7</v>
      </c>
      <c r="E792" t="s">
        <v>124</v>
      </c>
      <c r="F792" t="s">
        <v>15</v>
      </c>
    </row>
    <row r="793" spans="1:6" hidden="1" outlineLevel="2">
      <c r="A793" t="s">
        <v>6</v>
      </c>
      <c r="B793" s="1">
        <v>45845.369942129626</v>
      </c>
      <c r="C793">
        <v>30002</v>
      </c>
      <c r="D793" t="s">
        <v>7</v>
      </c>
      <c r="E793" t="s">
        <v>124</v>
      </c>
      <c r="F793" t="s">
        <v>15</v>
      </c>
    </row>
    <row r="794" spans="1:6" hidden="1" outlineLevel="2">
      <c r="A794" t="s">
        <v>6</v>
      </c>
      <c r="B794" s="1">
        <v>45845.368692129632</v>
      </c>
      <c r="C794">
        <v>30002</v>
      </c>
      <c r="D794" t="s">
        <v>7</v>
      </c>
      <c r="E794" t="s">
        <v>124</v>
      </c>
      <c r="F794" t="s">
        <v>15</v>
      </c>
    </row>
    <row r="795" spans="1:6" hidden="1" outlineLevel="2">
      <c r="A795" t="s">
        <v>6</v>
      </c>
      <c r="B795" s="1">
        <v>45845.368530092594</v>
      </c>
      <c r="C795">
        <v>30002</v>
      </c>
      <c r="D795" t="s">
        <v>7</v>
      </c>
      <c r="E795" t="s">
        <v>124</v>
      </c>
      <c r="F795" t="s">
        <v>15</v>
      </c>
    </row>
    <row r="796" spans="1:6" hidden="1" outlineLevel="2">
      <c r="A796" t="s">
        <v>6</v>
      </c>
      <c r="B796" s="1">
        <v>45845.36824074074</v>
      </c>
      <c r="C796">
        <v>30002</v>
      </c>
      <c r="D796" t="s">
        <v>7</v>
      </c>
      <c r="E796" t="s">
        <v>124</v>
      </c>
      <c r="F796" t="s">
        <v>15</v>
      </c>
    </row>
    <row r="797" spans="1:6" hidden="1" outlineLevel="2">
      <c r="A797" t="s">
        <v>6</v>
      </c>
      <c r="B797" s="1">
        <v>45845.367858796293</v>
      </c>
      <c r="C797">
        <v>30002</v>
      </c>
      <c r="D797" t="s">
        <v>7</v>
      </c>
      <c r="E797" t="s">
        <v>124</v>
      </c>
      <c r="F797" t="s">
        <v>15</v>
      </c>
    </row>
    <row r="798" spans="1:6" hidden="1" outlineLevel="2">
      <c r="A798" t="s">
        <v>6</v>
      </c>
      <c r="B798" s="1">
        <v>45845.367511574077</v>
      </c>
      <c r="C798">
        <v>30002</v>
      </c>
      <c r="D798" t="s">
        <v>7</v>
      </c>
      <c r="E798" t="s">
        <v>124</v>
      </c>
      <c r="F798" t="s">
        <v>15</v>
      </c>
    </row>
    <row r="799" spans="1:6" hidden="1" outlineLevel="2">
      <c r="A799" t="s">
        <v>6</v>
      </c>
      <c r="B799" s="1">
        <v>45845.367418981485</v>
      </c>
      <c r="C799">
        <v>30002</v>
      </c>
      <c r="D799" t="s">
        <v>7</v>
      </c>
      <c r="E799" t="s">
        <v>124</v>
      </c>
      <c r="F799" t="s">
        <v>15</v>
      </c>
    </row>
    <row r="800" spans="1:6" hidden="1" outlineLevel="2">
      <c r="A800" t="s">
        <v>6</v>
      </c>
      <c r="B800" s="1">
        <v>45845.356134259258</v>
      </c>
      <c r="C800">
        <v>30002</v>
      </c>
      <c r="D800" t="s">
        <v>7</v>
      </c>
      <c r="E800" t="s">
        <v>124</v>
      </c>
      <c r="F800" t="s">
        <v>15</v>
      </c>
    </row>
    <row r="801" spans="1:6" hidden="1" outlineLevel="2">
      <c r="A801" t="s">
        <v>6</v>
      </c>
      <c r="B801" s="1">
        <v>45845.354537037034</v>
      </c>
      <c r="C801">
        <v>30002</v>
      </c>
      <c r="D801" t="s">
        <v>7</v>
      </c>
      <c r="E801" t="s">
        <v>124</v>
      </c>
      <c r="F801" t="s">
        <v>15</v>
      </c>
    </row>
    <row r="802" spans="1:6" hidden="1" outlineLevel="2">
      <c r="A802" t="s">
        <v>6</v>
      </c>
      <c r="B802" s="1">
        <v>45841.631493055553</v>
      </c>
      <c r="C802">
        <v>30002</v>
      </c>
      <c r="D802" t="s">
        <v>7</v>
      </c>
      <c r="E802" t="s">
        <v>124</v>
      </c>
      <c r="F802" t="s">
        <v>15</v>
      </c>
    </row>
    <row r="803" spans="1:6" hidden="1" outlineLevel="2">
      <c r="A803" t="s">
        <v>6</v>
      </c>
      <c r="B803" s="1">
        <v>45841.397546296299</v>
      </c>
      <c r="C803">
        <v>30002</v>
      </c>
      <c r="D803" t="s">
        <v>7</v>
      </c>
      <c r="E803" t="s">
        <v>124</v>
      </c>
      <c r="F803" t="s">
        <v>15</v>
      </c>
    </row>
    <row r="804" spans="1:6" hidden="1" outlineLevel="2">
      <c r="A804" t="s">
        <v>6</v>
      </c>
      <c r="B804" s="1">
        <v>45841.386747685188</v>
      </c>
      <c r="C804">
        <v>30002</v>
      </c>
      <c r="D804" t="s">
        <v>7</v>
      </c>
      <c r="E804" t="s">
        <v>124</v>
      </c>
      <c r="F804" t="s">
        <v>15</v>
      </c>
    </row>
    <row r="805" spans="1:6" hidden="1" outlineLevel="2">
      <c r="A805" t="s">
        <v>6</v>
      </c>
      <c r="B805" s="1">
        <v>45841.381331018521</v>
      </c>
      <c r="C805">
        <v>30002</v>
      </c>
      <c r="D805" t="s">
        <v>7</v>
      </c>
      <c r="E805" t="s">
        <v>124</v>
      </c>
      <c r="F805" t="s">
        <v>15</v>
      </c>
    </row>
    <row r="806" spans="1:6" hidden="1" outlineLevel="2">
      <c r="A806" t="s">
        <v>6</v>
      </c>
      <c r="B806" s="1">
        <v>45841.379467592589</v>
      </c>
      <c r="C806">
        <v>30002</v>
      </c>
      <c r="D806" t="s">
        <v>7</v>
      </c>
      <c r="E806" t="s">
        <v>124</v>
      </c>
      <c r="F806" t="s">
        <v>15</v>
      </c>
    </row>
    <row r="807" spans="1:6" hidden="1" outlineLevel="2">
      <c r="A807" t="s">
        <v>6</v>
      </c>
      <c r="B807" s="1">
        <v>45841.378136574072</v>
      </c>
      <c r="C807">
        <v>30002</v>
      </c>
      <c r="D807" t="s">
        <v>7</v>
      </c>
      <c r="E807" t="s">
        <v>124</v>
      </c>
      <c r="F807" t="s">
        <v>15</v>
      </c>
    </row>
    <row r="808" spans="1:6" hidden="1" outlineLevel="2">
      <c r="A808" t="s">
        <v>6</v>
      </c>
      <c r="B808" s="1">
        <v>45840.449444444443</v>
      </c>
      <c r="C808">
        <v>30002</v>
      </c>
      <c r="D808" t="s">
        <v>7</v>
      </c>
      <c r="E808" t="s">
        <v>124</v>
      </c>
      <c r="F808" t="s">
        <v>15</v>
      </c>
    </row>
    <row r="809" spans="1:6" hidden="1" outlineLevel="2">
      <c r="A809" t="s">
        <v>6</v>
      </c>
      <c r="B809" s="1">
        <v>45866.686898148146</v>
      </c>
      <c r="C809">
        <v>30002</v>
      </c>
      <c r="D809" t="s">
        <v>7</v>
      </c>
      <c r="E809" t="s">
        <v>124</v>
      </c>
      <c r="F809" t="s">
        <v>22</v>
      </c>
    </row>
    <row r="810" spans="1:6" hidden="1" outlineLevel="2">
      <c r="A810" t="s">
        <v>6</v>
      </c>
      <c r="B810" s="1">
        <v>45841.308946759258</v>
      </c>
      <c r="C810">
        <v>30002</v>
      </c>
      <c r="D810" t="s">
        <v>7</v>
      </c>
      <c r="E810" t="s">
        <v>124</v>
      </c>
      <c r="F810" t="s">
        <v>22</v>
      </c>
    </row>
    <row r="811" spans="1:6" hidden="1" outlineLevel="2">
      <c r="A811" t="s">
        <v>6</v>
      </c>
      <c r="B811" s="1">
        <v>45841.3046412037</v>
      </c>
      <c r="C811">
        <v>30002</v>
      </c>
      <c r="D811" t="s">
        <v>7</v>
      </c>
      <c r="E811" t="s">
        <v>124</v>
      </c>
      <c r="F811" t="s">
        <v>22</v>
      </c>
    </row>
    <row r="812" spans="1:6" hidden="1" outlineLevel="2">
      <c r="A812" t="s">
        <v>6</v>
      </c>
      <c r="B812" s="1">
        <v>45841.303761574076</v>
      </c>
      <c r="C812">
        <v>30002</v>
      </c>
      <c r="D812" t="s">
        <v>7</v>
      </c>
      <c r="E812" t="s">
        <v>124</v>
      </c>
      <c r="F812" t="s">
        <v>22</v>
      </c>
    </row>
    <row r="813" spans="1:6" hidden="1" outlineLevel="2">
      <c r="A813" t="s">
        <v>6</v>
      </c>
      <c r="B813" s="1">
        <v>45841.303194444445</v>
      </c>
      <c r="C813">
        <v>30002</v>
      </c>
      <c r="D813" t="s">
        <v>7</v>
      </c>
      <c r="E813" t="s">
        <v>124</v>
      </c>
      <c r="F813" t="s">
        <v>22</v>
      </c>
    </row>
    <row r="814" spans="1:6" hidden="1" outlineLevel="2">
      <c r="A814" t="s">
        <v>6</v>
      </c>
      <c r="B814" s="1">
        <v>45841.301226851851</v>
      </c>
      <c r="C814">
        <v>30002</v>
      </c>
      <c r="D814" t="s">
        <v>7</v>
      </c>
      <c r="E814" t="s">
        <v>124</v>
      </c>
      <c r="F814" t="s">
        <v>22</v>
      </c>
    </row>
    <row r="815" spans="1:6" hidden="1" outlineLevel="2">
      <c r="A815" t="s">
        <v>6</v>
      </c>
      <c r="B815" s="1">
        <v>45841.2966087963</v>
      </c>
      <c r="C815">
        <v>30002</v>
      </c>
      <c r="D815" t="s">
        <v>7</v>
      </c>
      <c r="E815" t="s">
        <v>124</v>
      </c>
      <c r="F815" t="s">
        <v>22</v>
      </c>
    </row>
    <row r="816" spans="1:6" hidden="1" outlineLevel="2">
      <c r="A816" t="s">
        <v>6</v>
      </c>
      <c r="B816" s="1">
        <v>45840.185312499998</v>
      </c>
      <c r="C816">
        <v>30002</v>
      </c>
      <c r="D816" t="s">
        <v>7</v>
      </c>
      <c r="E816" t="s">
        <v>124</v>
      </c>
      <c r="F816" t="s">
        <v>22</v>
      </c>
    </row>
    <row r="817" spans="1:6" hidden="1" outlineLevel="2">
      <c r="A817" t="s">
        <v>6</v>
      </c>
      <c r="B817" s="1">
        <v>45847.578587962962</v>
      </c>
      <c r="C817">
        <v>30002</v>
      </c>
      <c r="D817" t="s">
        <v>7</v>
      </c>
      <c r="E817" t="s">
        <v>124</v>
      </c>
      <c r="F817" t="s">
        <v>23</v>
      </c>
    </row>
    <row r="818" spans="1:6" hidden="1" outlineLevel="2">
      <c r="A818" t="s">
        <v>6</v>
      </c>
      <c r="B818" s="1">
        <v>45845.612766203703</v>
      </c>
      <c r="C818">
        <v>30002</v>
      </c>
      <c r="D818" t="s">
        <v>7</v>
      </c>
      <c r="E818" t="s">
        <v>124</v>
      </c>
      <c r="F818" t="s">
        <v>23</v>
      </c>
    </row>
    <row r="819" spans="1:6" hidden="1" outlineLevel="2">
      <c r="A819" t="s">
        <v>6</v>
      </c>
      <c r="B819" s="1">
        <v>45845.605439814812</v>
      </c>
      <c r="C819">
        <v>30002</v>
      </c>
      <c r="D819" t="s">
        <v>7</v>
      </c>
      <c r="E819" t="s">
        <v>124</v>
      </c>
      <c r="F819" t="s">
        <v>23</v>
      </c>
    </row>
    <row r="820" spans="1:6" hidden="1" outlineLevel="2">
      <c r="A820" t="s">
        <v>6</v>
      </c>
      <c r="B820" s="1">
        <v>45845.338645833333</v>
      </c>
      <c r="C820">
        <v>30002</v>
      </c>
      <c r="D820" t="s">
        <v>7</v>
      </c>
      <c r="E820" t="s">
        <v>124</v>
      </c>
      <c r="F820" t="s">
        <v>23</v>
      </c>
    </row>
    <row r="821" spans="1:6" hidden="1" outlineLevel="2">
      <c r="A821" t="s">
        <v>6</v>
      </c>
      <c r="B821" s="1">
        <v>45845.321875000001</v>
      </c>
      <c r="C821">
        <v>30002</v>
      </c>
      <c r="D821" t="s">
        <v>7</v>
      </c>
      <c r="E821" t="s">
        <v>124</v>
      </c>
      <c r="F821" t="s">
        <v>23</v>
      </c>
    </row>
    <row r="822" spans="1:6" hidden="1" outlineLevel="2">
      <c r="A822" t="s">
        <v>6</v>
      </c>
      <c r="B822" s="1">
        <v>45848.491331018522</v>
      </c>
      <c r="C822">
        <v>30002</v>
      </c>
      <c r="D822" t="s">
        <v>7</v>
      </c>
      <c r="E822" t="s">
        <v>124</v>
      </c>
      <c r="F822" t="s">
        <v>27</v>
      </c>
    </row>
    <row r="823" spans="1:6" hidden="1" outlineLevel="2">
      <c r="A823" t="s">
        <v>6</v>
      </c>
      <c r="B823" s="1">
        <v>45848.490787037037</v>
      </c>
      <c r="C823">
        <v>30002</v>
      </c>
      <c r="D823" t="s">
        <v>7</v>
      </c>
      <c r="E823" t="s">
        <v>124</v>
      </c>
      <c r="F823" t="s">
        <v>27</v>
      </c>
    </row>
    <row r="824" spans="1:6" hidden="1" outlineLevel="2">
      <c r="A824" t="s">
        <v>6</v>
      </c>
      <c r="B824" s="1">
        <v>45848.490682870368</v>
      </c>
      <c r="C824">
        <v>30002</v>
      </c>
      <c r="D824" t="s">
        <v>7</v>
      </c>
      <c r="E824" t="s">
        <v>124</v>
      </c>
      <c r="F824" t="s">
        <v>27</v>
      </c>
    </row>
    <row r="825" spans="1:6" hidden="1" outlineLevel="2">
      <c r="A825" t="s">
        <v>6</v>
      </c>
      <c r="B825" s="1">
        <v>45853.561377314814</v>
      </c>
      <c r="C825">
        <v>30002</v>
      </c>
      <c r="D825" t="s">
        <v>7</v>
      </c>
      <c r="E825" t="s">
        <v>124</v>
      </c>
      <c r="F825" t="s">
        <v>24</v>
      </c>
    </row>
    <row r="826" spans="1:6" hidden="1" outlineLevel="2">
      <c r="A826" t="s">
        <v>6</v>
      </c>
      <c r="B826" s="1">
        <v>45846.307673611111</v>
      </c>
      <c r="C826">
        <v>30002</v>
      </c>
      <c r="D826" t="s">
        <v>7</v>
      </c>
      <c r="E826" t="s">
        <v>124</v>
      </c>
      <c r="F826" t="s">
        <v>25</v>
      </c>
    </row>
    <row r="827" spans="1:6" hidden="1" outlineLevel="2">
      <c r="A827" t="s">
        <v>6</v>
      </c>
      <c r="B827" s="1">
        <v>45846.304398148146</v>
      </c>
      <c r="C827">
        <v>30002</v>
      </c>
      <c r="D827" t="s">
        <v>7</v>
      </c>
      <c r="E827" t="s">
        <v>124</v>
      </c>
      <c r="F827" t="s">
        <v>25</v>
      </c>
    </row>
    <row r="828" spans="1:6" hidden="1" outlineLevel="2">
      <c r="A828" t="s">
        <v>6</v>
      </c>
      <c r="B828" s="1">
        <v>45849.348194444443</v>
      </c>
      <c r="C828">
        <v>30002</v>
      </c>
      <c r="D828" t="s">
        <v>7</v>
      </c>
      <c r="E828" t="s">
        <v>124</v>
      </c>
      <c r="F828" t="s">
        <v>97</v>
      </c>
    </row>
    <row r="829" spans="1:6" hidden="1" outlineLevel="2">
      <c r="A829" t="s">
        <v>6</v>
      </c>
      <c r="B829" s="1">
        <v>45847.405243055553</v>
      </c>
      <c r="C829">
        <v>30002</v>
      </c>
      <c r="D829" t="s">
        <v>7</v>
      </c>
      <c r="E829" t="s">
        <v>124</v>
      </c>
      <c r="F829" t="s">
        <v>11</v>
      </c>
    </row>
    <row r="830" spans="1:6" outlineLevel="1" collapsed="1">
      <c r="B830" s="1"/>
      <c r="E830" s="2" t="s">
        <v>300</v>
      </c>
      <c r="F830">
        <f>SUBTOTAL(3,F716:F829)</f>
        <v>114</v>
      </c>
    </row>
    <row r="831" spans="1:6" hidden="1" outlineLevel="2">
      <c r="A831" t="s">
        <v>6</v>
      </c>
      <c r="B831" s="1">
        <v>45846.319189814814</v>
      </c>
      <c r="C831">
        <v>30002</v>
      </c>
      <c r="D831" t="s">
        <v>7</v>
      </c>
      <c r="E831" t="s">
        <v>125</v>
      </c>
      <c r="F831" t="s">
        <v>19</v>
      </c>
    </row>
    <row r="832" spans="1:6" hidden="1" outlineLevel="2">
      <c r="A832" t="s">
        <v>6</v>
      </c>
      <c r="B832" s="1">
        <v>45846.383611111109</v>
      </c>
      <c r="C832">
        <v>30002</v>
      </c>
      <c r="D832" t="s">
        <v>7</v>
      </c>
      <c r="E832" t="s">
        <v>125</v>
      </c>
      <c r="F832" t="s">
        <v>119</v>
      </c>
    </row>
    <row r="833" spans="1:6" hidden="1" outlineLevel="2">
      <c r="A833" t="s">
        <v>6</v>
      </c>
      <c r="B833" s="1">
        <v>45846.382210648146</v>
      </c>
      <c r="C833">
        <v>30002</v>
      </c>
      <c r="D833" t="s">
        <v>7</v>
      </c>
      <c r="E833" t="s">
        <v>125</v>
      </c>
      <c r="F833" t="s">
        <v>119</v>
      </c>
    </row>
    <row r="834" spans="1:6" outlineLevel="1" collapsed="1">
      <c r="B834" s="1"/>
      <c r="E834" s="2" t="s">
        <v>301</v>
      </c>
      <c r="F834">
        <f>SUBTOTAL(3,F831:F833)</f>
        <v>3</v>
      </c>
    </row>
    <row r="835" spans="1:6" hidden="1" outlineLevel="2">
      <c r="A835" t="s">
        <v>6</v>
      </c>
      <c r="B835" s="1">
        <v>45845.915729166663</v>
      </c>
      <c r="C835">
        <v>30002</v>
      </c>
      <c r="D835" t="s">
        <v>7</v>
      </c>
      <c r="E835" t="s">
        <v>126</v>
      </c>
      <c r="F835" t="s">
        <v>102</v>
      </c>
    </row>
    <row r="836" spans="1:6" hidden="1" outlineLevel="2">
      <c r="A836" t="s">
        <v>6</v>
      </c>
      <c r="B836" s="1">
        <v>45848.493680555555</v>
      </c>
      <c r="C836">
        <v>30002</v>
      </c>
      <c r="D836" t="s">
        <v>7</v>
      </c>
      <c r="E836" t="s">
        <v>126</v>
      </c>
      <c r="F836" t="s">
        <v>13</v>
      </c>
    </row>
    <row r="837" spans="1:6" hidden="1" outlineLevel="2">
      <c r="A837" t="s">
        <v>6</v>
      </c>
      <c r="B837" s="1">
        <v>45848.463958333334</v>
      </c>
      <c r="C837">
        <v>30002</v>
      </c>
      <c r="D837" t="s">
        <v>7</v>
      </c>
      <c r="E837" t="s">
        <v>126</v>
      </c>
      <c r="F837" t="s">
        <v>13</v>
      </c>
    </row>
    <row r="838" spans="1:6" hidden="1" outlineLevel="2">
      <c r="A838" t="s">
        <v>6</v>
      </c>
      <c r="B838" s="1">
        <v>45847.661851851852</v>
      </c>
      <c r="C838">
        <v>30002</v>
      </c>
      <c r="D838" t="s">
        <v>7</v>
      </c>
      <c r="E838" t="s">
        <v>126</v>
      </c>
      <c r="F838" t="s">
        <v>19</v>
      </c>
    </row>
    <row r="839" spans="1:6" hidden="1" outlineLevel="2">
      <c r="A839" t="s">
        <v>6</v>
      </c>
      <c r="B839" s="1">
        <v>45847.659085648149</v>
      </c>
      <c r="C839">
        <v>30002</v>
      </c>
      <c r="D839" t="s">
        <v>7</v>
      </c>
      <c r="E839" t="s">
        <v>126</v>
      </c>
      <c r="F839" t="s">
        <v>19</v>
      </c>
    </row>
    <row r="840" spans="1:6" hidden="1" outlineLevel="2">
      <c r="A840" t="s">
        <v>6</v>
      </c>
      <c r="B840" s="1">
        <v>45846.260601851849</v>
      </c>
      <c r="C840">
        <v>30002</v>
      </c>
      <c r="D840" t="s">
        <v>7</v>
      </c>
      <c r="E840" t="s">
        <v>126</v>
      </c>
      <c r="F840" t="s">
        <v>19</v>
      </c>
    </row>
    <row r="841" spans="1:6" hidden="1" outlineLevel="2">
      <c r="A841" t="s">
        <v>6</v>
      </c>
      <c r="B841" s="1">
        <v>45846.257638888892</v>
      </c>
      <c r="C841">
        <v>30002</v>
      </c>
      <c r="D841" t="s">
        <v>7</v>
      </c>
      <c r="E841" t="s">
        <v>126</v>
      </c>
      <c r="F841" t="s">
        <v>19</v>
      </c>
    </row>
    <row r="842" spans="1:6" hidden="1" outlineLevel="2">
      <c r="A842" t="s">
        <v>6</v>
      </c>
      <c r="B842" s="1">
        <v>45846.257314814815</v>
      </c>
      <c r="C842">
        <v>30002</v>
      </c>
      <c r="D842" t="s">
        <v>7</v>
      </c>
      <c r="E842" t="s">
        <v>126</v>
      </c>
      <c r="F842" t="s">
        <v>19</v>
      </c>
    </row>
    <row r="843" spans="1:6" hidden="1" outlineLevel="2">
      <c r="A843" t="s">
        <v>6</v>
      </c>
      <c r="B843" s="1">
        <v>45855.701562499999</v>
      </c>
      <c r="C843">
        <v>30002</v>
      </c>
      <c r="D843" t="s">
        <v>7</v>
      </c>
      <c r="E843" t="s">
        <v>126</v>
      </c>
      <c r="F843" t="s">
        <v>22</v>
      </c>
    </row>
    <row r="844" spans="1:6" hidden="1" outlineLevel="2">
      <c r="A844" t="s">
        <v>6</v>
      </c>
      <c r="B844" s="1">
        <v>45855.701226851852</v>
      </c>
      <c r="C844">
        <v>30002</v>
      </c>
      <c r="D844" t="s">
        <v>7</v>
      </c>
      <c r="E844" t="s">
        <v>126</v>
      </c>
      <c r="F844" t="s">
        <v>22</v>
      </c>
    </row>
    <row r="845" spans="1:6" hidden="1" outlineLevel="2">
      <c r="A845" t="s">
        <v>6</v>
      </c>
      <c r="B845" s="1">
        <v>45855.70045138889</v>
      </c>
      <c r="C845">
        <v>30002</v>
      </c>
      <c r="D845" t="s">
        <v>7</v>
      </c>
      <c r="E845" t="s">
        <v>126</v>
      </c>
      <c r="F845" t="s">
        <v>22</v>
      </c>
    </row>
    <row r="846" spans="1:6" hidden="1" outlineLevel="2">
      <c r="A846" t="s">
        <v>6</v>
      </c>
      <c r="B846" s="1">
        <v>45855.700127314813</v>
      </c>
      <c r="C846">
        <v>30002</v>
      </c>
      <c r="D846" t="s">
        <v>7</v>
      </c>
      <c r="E846" t="s">
        <v>126</v>
      </c>
      <c r="F846" t="s">
        <v>22</v>
      </c>
    </row>
    <row r="847" spans="1:6" hidden="1" outlineLevel="2">
      <c r="A847" t="s">
        <v>6</v>
      </c>
      <c r="B847" s="1">
        <v>45852.363009259258</v>
      </c>
      <c r="C847">
        <v>30002</v>
      </c>
      <c r="D847" t="s">
        <v>7</v>
      </c>
      <c r="E847" t="s">
        <v>126</v>
      </c>
      <c r="F847" t="s">
        <v>22</v>
      </c>
    </row>
    <row r="848" spans="1:6" hidden="1" outlineLevel="2">
      <c r="A848" t="s">
        <v>6</v>
      </c>
      <c r="B848" s="1">
        <v>45852.361990740741</v>
      </c>
      <c r="C848">
        <v>30002</v>
      </c>
      <c r="D848" t="s">
        <v>7</v>
      </c>
      <c r="E848" t="s">
        <v>126</v>
      </c>
      <c r="F848" t="s">
        <v>22</v>
      </c>
    </row>
    <row r="849" spans="1:6" hidden="1" outlineLevel="2">
      <c r="A849" t="s">
        <v>6</v>
      </c>
      <c r="B849" s="1">
        <v>45846.001250000001</v>
      </c>
      <c r="C849">
        <v>30002</v>
      </c>
      <c r="D849" t="s">
        <v>7</v>
      </c>
      <c r="E849" t="s">
        <v>126</v>
      </c>
      <c r="F849" t="s">
        <v>22</v>
      </c>
    </row>
    <row r="850" spans="1:6" hidden="1" outlineLevel="2">
      <c r="A850" t="s">
        <v>6</v>
      </c>
      <c r="B850" s="1">
        <v>45841.676111111112</v>
      </c>
      <c r="C850">
        <v>30002</v>
      </c>
      <c r="D850" t="s">
        <v>7</v>
      </c>
      <c r="E850" t="s">
        <v>126</v>
      </c>
      <c r="F850" t="s">
        <v>22</v>
      </c>
    </row>
    <row r="851" spans="1:6" hidden="1" outlineLevel="2">
      <c r="A851" t="s">
        <v>6</v>
      </c>
      <c r="B851" s="1">
        <v>45841.674687500003</v>
      </c>
      <c r="C851">
        <v>30002</v>
      </c>
      <c r="D851" t="s">
        <v>7</v>
      </c>
      <c r="E851" t="s">
        <v>126</v>
      </c>
      <c r="F851" t="s">
        <v>22</v>
      </c>
    </row>
    <row r="852" spans="1:6" hidden="1" outlineLevel="2">
      <c r="A852" t="s">
        <v>6</v>
      </c>
      <c r="B852" s="1">
        <v>45841.673344907409</v>
      </c>
      <c r="C852">
        <v>30002</v>
      </c>
      <c r="D852" t="s">
        <v>7</v>
      </c>
      <c r="E852" t="s">
        <v>126</v>
      </c>
      <c r="F852" t="s">
        <v>22</v>
      </c>
    </row>
    <row r="853" spans="1:6" hidden="1" outlineLevel="2">
      <c r="A853" t="s">
        <v>6</v>
      </c>
      <c r="B853" s="1">
        <v>45840.7268287037</v>
      </c>
      <c r="C853">
        <v>30002</v>
      </c>
      <c r="D853" t="s">
        <v>7</v>
      </c>
      <c r="E853" t="s">
        <v>126</v>
      </c>
      <c r="F853" t="s">
        <v>22</v>
      </c>
    </row>
    <row r="854" spans="1:6" hidden="1" outlineLevel="2">
      <c r="A854" t="s">
        <v>6</v>
      </c>
      <c r="B854" s="1">
        <v>45840.725451388891</v>
      </c>
      <c r="C854">
        <v>30002</v>
      </c>
      <c r="D854" t="s">
        <v>7</v>
      </c>
      <c r="E854" t="s">
        <v>126</v>
      </c>
      <c r="F854" t="s">
        <v>22</v>
      </c>
    </row>
    <row r="855" spans="1:6" hidden="1" outlineLevel="2">
      <c r="A855" t="s">
        <v>6</v>
      </c>
      <c r="B855" s="1">
        <v>45840.708287037036</v>
      </c>
      <c r="C855">
        <v>30002</v>
      </c>
      <c r="D855" t="s">
        <v>7</v>
      </c>
      <c r="E855" t="s">
        <v>126</v>
      </c>
      <c r="F855" t="s">
        <v>22</v>
      </c>
    </row>
    <row r="856" spans="1:6" hidden="1" outlineLevel="2">
      <c r="A856" t="s">
        <v>6</v>
      </c>
      <c r="B856" s="1">
        <v>45840.705185185187</v>
      </c>
      <c r="C856">
        <v>30002</v>
      </c>
      <c r="D856" t="s">
        <v>7</v>
      </c>
      <c r="E856" t="s">
        <v>126</v>
      </c>
      <c r="F856" t="s">
        <v>22</v>
      </c>
    </row>
    <row r="857" spans="1:6" hidden="1" outlineLevel="2">
      <c r="A857" t="s">
        <v>6</v>
      </c>
      <c r="B857" s="1">
        <v>45839.762812499997</v>
      </c>
      <c r="C857">
        <v>30002</v>
      </c>
      <c r="D857" t="s">
        <v>7</v>
      </c>
      <c r="E857" t="s">
        <v>126</v>
      </c>
      <c r="F857" t="s">
        <v>22</v>
      </c>
    </row>
    <row r="858" spans="1:6" hidden="1" outlineLevel="2">
      <c r="A858" t="s">
        <v>6</v>
      </c>
      <c r="B858" s="1">
        <v>45839.667962962965</v>
      </c>
      <c r="C858">
        <v>30002</v>
      </c>
      <c r="D858" t="s">
        <v>7</v>
      </c>
      <c r="E858" t="s">
        <v>126</v>
      </c>
      <c r="F858" t="s">
        <v>22</v>
      </c>
    </row>
    <row r="859" spans="1:6" hidden="1" outlineLevel="2">
      <c r="A859" t="s">
        <v>6</v>
      </c>
      <c r="B859" s="1">
        <v>45849.349861111114</v>
      </c>
      <c r="C859">
        <v>30002</v>
      </c>
      <c r="D859" t="s">
        <v>7</v>
      </c>
      <c r="E859" t="s">
        <v>126</v>
      </c>
      <c r="F859" t="s">
        <v>97</v>
      </c>
    </row>
    <row r="860" spans="1:6" outlineLevel="1" collapsed="1">
      <c r="B860" s="1"/>
      <c r="E860" s="2" t="s">
        <v>302</v>
      </c>
      <c r="F860">
        <f>SUBTOTAL(3,F835:F859)</f>
        <v>25</v>
      </c>
    </row>
    <row r="861" spans="1:6" hidden="1" outlineLevel="2">
      <c r="A861" t="s">
        <v>6</v>
      </c>
      <c r="B861" s="1">
        <v>45852.751817129632</v>
      </c>
      <c r="C861">
        <v>30002</v>
      </c>
      <c r="D861" t="s">
        <v>7</v>
      </c>
      <c r="E861" t="s">
        <v>127</v>
      </c>
      <c r="F861" t="s">
        <v>36</v>
      </c>
    </row>
    <row r="862" spans="1:6" hidden="1" outlineLevel="2">
      <c r="A862" t="s">
        <v>6</v>
      </c>
      <c r="B862" s="1">
        <v>45847.430034722223</v>
      </c>
      <c r="C862">
        <v>30002</v>
      </c>
      <c r="D862" t="s">
        <v>7</v>
      </c>
      <c r="E862" t="s">
        <v>127</v>
      </c>
      <c r="F862" t="s">
        <v>36</v>
      </c>
    </row>
    <row r="863" spans="1:6" hidden="1" outlineLevel="2">
      <c r="A863" t="s">
        <v>6</v>
      </c>
      <c r="B863" s="1">
        <v>45845.619745370372</v>
      </c>
      <c r="C863">
        <v>30002</v>
      </c>
      <c r="D863" t="s">
        <v>7</v>
      </c>
      <c r="E863" t="s">
        <v>127</v>
      </c>
      <c r="F863" t="s">
        <v>36</v>
      </c>
    </row>
    <row r="864" spans="1:6" hidden="1" outlineLevel="2">
      <c r="A864" t="s">
        <v>6</v>
      </c>
      <c r="B864" s="1">
        <v>45852.367048611108</v>
      </c>
      <c r="C864">
        <v>30002</v>
      </c>
      <c r="D864" t="s">
        <v>7</v>
      </c>
      <c r="E864" t="s">
        <v>127</v>
      </c>
      <c r="F864" t="s">
        <v>27</v>
      </c>
    </row>
    <row r="865" spans="1:6" hidden="1" outlineLevel="2">
      <c r="A865" t="s">
        <v>6</v>
      </c>
      <c r="B865" s="1">
        <v>45852.36409722222</v>
      </c>
      <c r="C865">
        <v>30002</v>
      </c>
      <c r="D865" t="s">
        <v>7</v>
      </c>
      <c r="E865" t="s">
        <v>127</v>
      </c>
      <c r="F865" t="s">
        <v>27</v>
      </c>
    </row>
    <row r="866" spans="1:6" hidden="1" outlineLevel="2">
      <c r="A866" t="s">
        <v>6</v>
      </c>
      <c r="B866" s="1">
        <v>45852.362916666665</v>
      </c>
      <c r="C866">
        <v>30002</v>
      </c>
      <c r="D866" t="s">
        <v>7</v>
      </c>
      <c r="E866" t="s">
        <v>127</v>
      </c>
      <c r="F866" t="s">
        <v>27</v>
      </c>
    </row>
    <row r="867" spans="1:6" hidden="1" outlineLevel="2">
      <c r="A867" t="s">
        <v>6</v>
      </c>
      <c r="B867" s="1">
        <v>45849.58697916667</v>
      </c>
      <c r="C867">
        <v>30002</v>
      </c>
      <c r="D867" t="s">
        <v>7</v>
      </c>
      <c r="E867" t="s">
        <v>127</v>
      </c>
      <c r="F867" t="s">
        <v>27</v>
      </c>
    </row>
    <row r="868" spans="1:6" hidden="1" outlineLevel="2">
      <c r="A868" t="s">
        <v>6</v>
      </c>
      <c r="B868" s="1">
        <v>45849.52679398148</v>
      </c>
      <c r="C868">
        <v>30002</v>
      </c>
      <c r="D868" t="s">
        <v>7</v>
      </c>
      <c r="E868" t="s">
        <v>127</v>
      </c>
      <c r="F868" t="s">
        <v>27</v>
      </c>
    </row>
    <row r="869" spans="1:6" hidden="1" outlineLevel="2">
      <c r="A869" t="s">
        <v>6</v>
      </c>
      <c r="B869" s="1">
        <v>45840.633680555555</v>
      </c>
      <c r="C869">
        <v>30002</v>
      </c>
      <c r="D869" t="s">
        <v>7</v>
      </c>
      <c r="E869" t="s">
        <v>127</v>
      </c>
      <c r="F869" t="s">
        <v>27</v>
      </c>
    </row>
    <row r="870" spans="1:6" outlineLevel="1" collapsed="1">
      <c r="B870" s="1"/>
      <c r="E870" s="2" t="s">
        <v>303</v>
      </c>
      <c r="F870">
        <f>SUBTOTAL(3,F861:F869)</f>
        <v>9</v>
      </c>
    </row>
    <row r="871" spans="1:6" hidden="1" outlineLevel="2">
      <c r="A871" t="s">
        <v>6</v>
      </c>
      <c r="B871" s="1">
        <v>45852.357881944445</v>
      </c>
      <c r="C871">
        <v>30002</v>
      </c>
      <c r="D871" t="s">
        <v>7</v>
      </c>
      <c r="E871" t="s">
        <v>128</v>
      </c>
      <c r="F871" t="s">
        <v>27</v>
      </c>
    </row>
    <row r="872" spans="1:6" hidden="1" outlineLevel="2">
      <c r="A872" t="s">
        <v>6</v>
      </c>
      <c r="B872" s="1">
        <v>45849.576608796298</v>
      </c>
      <c r="C872">
        <v>30002</v>
      </c>
      <c r="D872" t="s">
        <v>7</v>
      </c>
      <c r="E872" t="s">
        <v>128</v>
      </c>
      <c r="F872" t="s">
        <v>27</v>
      </c>
    </row>
    <row r="873" spans="1:6" outlineLevel="1" collapsed="1">
      <c r="B873" s="1"/>
      <c r="E873" s="2" t="s">
        <v>304</v>
      </c>
      <c r="F873">
        <f>SUBTOTAL(3,F871:F872)</f>
        <v>2</v>
      </c>
    </row>
    <row r="874" spans="1:6" hidden="1" outlineLevel="2">
      <c r="A874" t="s">
        <v>6</v>
      </c>
      <c r="B874" s="1">
        <v>45852.588831018518</v>
      </c>
      <c r="C874">
        <v>30002</v>
      </c>
      <c r="D874" t="s">
        <v>7</v>
      </c>
      <c r="E874" t="s">
        <v>129</v>
      </c>
      <c r="F874" t="s">
        <v>19</v>
      </c>
    </row>
    <row r="875" spans="1:6" hidden="1" outlineLevel="2">
      <c r="A875" t="s">
        <v>6</v>
      </c>
      <c r="B875" s="1">
        <v>45852.583460648151</v>
      </c>
      <c r="C875">
        <v>30002</v>
      </c>
      <c r="D875" t="s">
        <v>7</v>
      </c>
      <c r="E875" t="s">
        <v>129</v>
      </c>
      <c r="F875" t="s">
        <v>19</v>
      </c>
    </row>
    <row r="876" spans="1:6" hidden="1" outlineLevel="2">
      <c r="A876" t="s">
        <v>6</v>
      </c>
      <c r="B876" s="1">
        <v>45852.581516203703</v>
      </c>
      <c r="C876">
        <v>30002</v>
      </c>
      <c r="D876" t="s">
        <v>7</v>
      </c>
      <c r="E876" t="s">
        <v>129</v>
      </c>
      <c r="F876" t="s">
        <v>19</v>
      </c>
    </row>
    <row r="877" spans="1:6" hidden="1" outlineLevel="2">
      <c r="A877" t="s">
        <v>6</v>
      </c>
      <c r="B877" s="1">
        <v>45852.580925925926</v>
      </c>
      <c r="C877">
        <v>30002</v>
      </c>
      <c r="D877" t="s">
        <v>7</v>
      </c>
      <c r="E877" t="s">
        <v>129</v>
      </c>
      <c r="F877" t="s">
        <v>19</v>
      </c>
    </row>
    <row r="878" spans="1:6" hidden="1" outlineLevel="2">
      <c r="A878" t="s">
        <v>6</v>
      </c>
      <c r="B878" s="1">
        <v>45852.58017361111</v>
      </c>
      <c r="C878">
        <v>30002</v>
      </c>
      <c r="D878" t="s">
        <v>7</v>
      </c>
      <c r="E878" t="s">
        <v>129</v>
      </c>
      <c r="F878" t="s">
        <v>19</v>
      </c>
    </row>
    <row r="879" spans="1:6" hidden="1" outlineLevel="2">
      <c r="A879" t="s">
        <v>6</v>
      </c>
      <c r="B879" s="1">
        <v>45852.577719907407</v>
      </c>
      <c r="C879">
        <v>30002</v>
      </c>
      <c r="D879" t="s">
        <v>7</v>
      </c>
      <c r="E879" t="s">
        <v>129</v>
      </c>
      <c r="F879" t="s">
        <v>19</v>
      </c>
    </row>
    <row r="880" spans="1:6" hidden="1" outlineLevel="2">
      <c r="A880" t="s">
        <v>6</v>
      </c>
      <c r="B880" s="1">
        <v>45852.572777777779</v>
      </c>
      <c r="C880">
        <v>30002</v>
      </c>
      <c r="D880" t="s">
        <v>7</v>
      </c>
      <c r="E880" t="s">
        <v>129</v>
      </c>
      <c r="F880" t="s">
        <v>19</v>
      </c>
    </row>
    <row r="881" spans="1:6" hidden="1" outlineLevel="2">
      <c r="A881" t="s">
        <v>6</v>
      </c>
      <c r="B881" s="1">
        <v>45852.64340277778</v>
      </c>
      <c r="C881">
        <v>30002</v>
      </c>
      <c r="D881" t="s">
        <v>7</v>
      </c>
      <c r="E881" t="s">
        <v>129</v>
      </c>
      <c r="F881" t="s">
        <v>36</v>
      </c>
    </row>
    <row r="882" spans="1:6" outlineLevel="1" collapsed="1">
      <c r="B882" s="1"/>
      <c r="E882" s="2" t="s">
        <v>305</v>
      </c>
      <c r="F882">
        <f>SUBTOTAL(3,F874:F881)</f>
        <v>8</v>
      </c>
    </row>
    <row r="883" spans="1:6" hidden="1" outlineLevel="2">
      <c r="A883" t="s">
        <v>6</v>
      </c>
      <c r="B883" s="1">
        <v>45853.327731481484</v>
      </c>
      <c r="C883">
        <v>30002</v>
      </c>
      <c r="D883" t="s">
        <v>7</v>
      </c>
      <c r="E883" t="s">
        <v>130</v>
      </c>
      <c r="F883" t="s">
        <v>19</v>
      </c>
    </row>
    <row r="884" spans="1:6" hidden="1" outlineLevel="2">
      <c r="A884" t="s">
        <v>6</v>
      </c>
      <c r="B884" s="1">
        <v>45852.561597222222</v>
      </c>
      <c r="C884">
        <v>30002</v>
      </c>
      <c r="D884" t="s">
        <v>7</v>
      </c>
      <c r="E884" t="s">
        <v>130</v>
      </c>
      <c r="F884" t="s">
        <v>19</v>
      </c>
    </row>
    <row r="885" spans="1:6" hidden="1" outlineLevel="2">
      <c r="A885" t="s">
        <v>6</v>
      </c>
      <c r="B885" s="1">
        <v>45852.561539351853</v>
      </c>
      <c r="C885">
        <v>30002</v>
      </c>
      <c r="D885" t="s">
        <v>7</v>
      </c>
      <c r="E885" t="s">
        <v>130</v>
      </c>
      <c r="F885" t="s">
        <v>19</v>
      </c>
    </row>
    <row r="886" spans="1:6" hidden="1" outlineLevel="2">
      <c r="A886" t="s">
        <v>6</v>
      </c>
      <c r="B886" s="1">
        <v>45852.56113425926</v>
      </c>
      <c r="C886">
        <v>30002</v>
      </c>
      <c r="D886" t="s">
        <v>7</v>
      </c>
      <c r="E886" t="s">
        <v>130</v>
      </c>
      <c r="F886" t="s">
        <v>19</v>
      </c>
    </row>
    <row r="887" spans="1:6" outlineLevel="1" collapsed="1">
      <c r="B887" s="1"/>
      <c r="E887" s="2" t="s">
        <v>306</v>
      </c>
      <c r="F887">
        <f>SUBTOTAL(3,F883:F886)</f>
        <v>4</v>
      </c>
    </row>
    <row r="888" spans="1:6" hidden="1" outlineLevel="2">
      <c r="A888" t="s">
        <v>6</v>
      </c>
      <c r="B888" s="1">
        <v>45845.912986111114</v>
      </c>
      <c r="C888">
        <v>30002</v>
      </c>
      <c r="D888" t="s">
        <v>7</v>
      </c>
      <c r="E888" t="s">
        <v>131</v>
      </c>
      <c r="F888" t="s">
        <v>102</v>
      </c>
    </row>
    <row r="889" spans="1:6" hidden="1" outlineLevel="2">
      <c r="A889" t="s">
        <v>6</v>
      </c>
      <c r="B889" s="1">
        <v>45845.848611111112</v>
      </c>
      <c r="C889">
        <v>30002</v>
      </c>
      <c r="D889" t="s">
        <v>7</v>
      </c>
      <c r="E889" t="s">
        <v>131</v>
      </c>
      <c r="F889" t="s">
        <v>18</v>
      </c>
    </row>
    <row r="890" spans="1:6" hidden="1" outlineLevel="2">
      <c r="A890" t="s">
        <v>6</v>
      </c>
      <c r="B890" s="1">
        <v>45845.848020833335</v>
      </c>
      <c r="C890">
        <v>30002</v>
      </c>
      <c r="D890" t="s">
        <v>7</v>
      </c>
      <c r="E890" t="s">
        <v>131</v>
      </c>
      <c r="F890" t="s">
        <v>18</v>
      </c>
    </row>
    <row r="891" spans="1:6" hidden="1" outlineLevel="2">
      <c r="A891" t="s">
        <v>6</v>
      </c>
      <c r="B891" s="1">
        <v>45852.564513888887</v>
      </c>
      <c r="C891">
        <v>30002</v>
      </c>
      <c r="D891" t="s">
        <v>7</v>
      </c>
      <c r="E891" t="s">
        <v>131</v>
      </c>
      <c r="F891" t="s">
        <v>19</v>
      </c>
    </row>
    <row r="892" spans="1:6" hidden="1" outlineLevel="2">
      <c r="A892" t="s">
        <v>6</v>
      </c>
      <c r="B892" s="1">
        <v>45852.547500000001</v>
      </c>
      <c r="C892">
        <v>30002</v>
      </c>
      <c r="D892" t="s">
        <v>7</v>
      </c>
      <c r="E892" t="s">
        <v>131</v>
      </c>
      <c r="F892" t="s">
        <v>19</v>
      </c>
    </row>
    <row r="893" spans="1:6" hidden="1" outlineLevel="2">
      <c r="A893" t="s">
        <v>6</v>
      </c>
      <c r="B893" s="1">
        <v>45846.256597222222</v>
      </c>
      <c r="C893">
        <v>30002</v>
      </c>
      <c r="D893" t="s">
        <v>7</v>
      </c>
      <c r="E893" t="s">
        <v>131</v>
      </c>
      <c r="F893" t="s">
        <v>19</v>
      </c>
    </row>
    <row r="894" spans="1:6" hidden="1" outlineLevel="2">
      <c r="A894" t="s">
        <v>6</v>
      </c>
      <c r="B894" s="1">
        <v>45842.630150462966</v>
      </c>
      <c r="C894">
        <v>30002</v>
      </c>
      <c r="D894" t="s">
        <v>7</v>
      </c>
      <c r="E894" t="s">
        <v>131</v>
      </c>
      <c r="F894" t="s">
        <v>19</v>
      </c>
    </row>
    <row r="895" spans="1:6" hidden="1" outlineLevel="2">
      <c r="A895" t="s">
        <v>6</v>
      </c>
      <c r="B895" s="1">
        <v>45842.628344907411</v>
      </c>
      <c r="C895">
        <v>30002</v>
      </c>
      <c r="D895" t="s">
        <v>7</v>
      </c>
      <c r="E895" t="s">
        <v>131</v>
      </c>
      <c r="F895" t="s">
        <v>19</v>
      </c>
    </row>
    <row r="896" spans="1:6" hidden="1" outlineLevel="2">
      <c r="A896" t="s">
        <v>6</v>
      </c>
      <c r="B896" s="1">
        <v>45846.299675925926</v>
      </c>
      <c r="C896">
        <v>30002</v>
      </c>
      <c r="D896" t="s">
        <v>7</v>
      </c>
      <c r="E896" t="s">
        <v>131</v>
      </c>
      <c r="F896" t="s">
        <v>97</v>
      </c>
    </row>
    <row r="897" spans="1:6" hidden="1" outlineLevel="2">
      <c r="A897" t="s">
        <v>6</v>
      </c>
      <c r="B897" s="1">
        <v>45846.296331018515</v>
      </c>
      <c r="C897">
        <v>30002</v>
      </c>
      <c r="D897" t="s">
        <v>7</v>
      </c>
      <c r="E897" t="s">
        <v>131</v>
      </c>
      <c r="F897" t="s">
        <v>97</v>
      </c>
    </row>
    <row r="898" spans="1:6" hidden="1" outlineLevel="2">
      <c r="A898" t="s">
        <v>6</v>
      </c>
      <c r="B898" s="1">
        <v>45846.295324074075</v>
      </c>
      <c r="C898">
        <v>30002</v>
      </c>
      <c r="D898" t="s">
        <v>7</v>
      </c>
      <c r="E898" t="s">
        <v>131</v>
      </c>
      <c r="F898" t="s">
        <v>97</v>
      </c>
    </row>
    <row r="899" spans="1:6" hidden="1" outlineLevel="2">
      <c r="A899" t="s">
        <v>6</v>
      </c>
      <c r="B899" s="1">
        <v>45845.260393518518</v>
      </c>
      <c r="C899">
        <v>30002</v>
      </c>
      <c r="D899" t="s">
        <v>7</v>
      </c>
      <c r="E899" t="s">
        <v>131</v>
      </c>
      <c r="F899" t="s">
        <v>97</v>
      </c>
    </row>
    <row r="900" spans="1:6" outlineLevel="1" collapsed="1">
      <c r="B900" s="1"/>
      <c r="E900" s="2" t="s">
        <v>307</v>
      </c>
      <c r="F900">
        <f>SUBTOTAL(3,F888:F899)</f>
        <v>12</v>
      </c>
    </row>
    <row r="901" spans="1:6" hidden="1" outlineLevel="2">
      <c r="A901" t="s">
        <v>6</v>
      </c>
      <c r="B901" s="1">
        <v>45860.560335648152</v>
      </c>
      <c r="C901">
        <v>30002</v>
      </c>
      <c r="D901" t="s">
        <v>7</v>
      </c>
      <c r="E901" t="s">
        <v>132</v>
      </c>
      <c r="F901" t="s">
        <v>27</v>
      </c>
    </row>
    <row r="902" spans="1:6" hidden="1" outlineLevel="2">
      <c r="A902" t="s">
        <v>6</v>
      </c>
      <c r="B902" s="1">
        <v>45860.559178240743</v>
      </c>
      <c r="C902">
        <v>30002</v>
      </c>
      <c r="D902" t="s">
        <v>7</v>
      </c>
      <c r="E902" t="s">
        <v>132</v>
      </c>
      <c r="F902" t="s">
        <v>27</v>
      </c>
    </row>
    <row r="903" spans="1:6" outlineLevel="1" collapsed="1">
      <c r="B903" s="1"/>
      <c r="E903" s="2" t="s">
        <v>308</v>
      </c>
      <c r="F903">
        <f>SUBTOTAL(3,F901:F902)</f>
        <v>2</v>
      </c>
    </row>
    <row r="904" spans="1:6" hidden="1" outlineLevel="2">
      <c r="A904" t="s">
        <v>6</v>
      </c>
      <c r="B904" s="1">
        <v>45853.381620370368</v>
      </c>
      <c r="C904">
        <v>30002</v>
      </c>
      <c r="D904" t="s">
        <v>7</v>
      </c>
      <c r="E904" t="s">
        <v>133</v>
      </c>
      <c r="F904" t="s">
        <v>134</v>
      </c>
    </row>
    <row r="905" spans="1:6" hidden="1" outlineLevel="2">
      <c r="A905" t="s">
        <v>6</v>
      </c>
      <c r="B905" s="1">
        <v>45862.708831018521</v>
      </c>
      <c r="C905">
        <v>30002</v>
      </c>
      <c r="D905" t="s">
        <v>7</v>
      </c>
      <c r="E905" t="s">
        <v>133</v>
      </c>
      <c r="F905" t="s">
        <v>135</v>
      </c>
    </row>
    <row r="906" spans="1:6" hidden="1" outlineLevel="2">
      <c r="A906" t="s">
        <v>6</v>
      </c>
      <c r="B906" s="1">
        <v>45862.70853009259</v>
      </c>
      <c r="C906">
        <v>30002</v>
      </c>
      <c r="D906" t="s">
        <v>7</v>
      </c>
      <c r="E906" t="s">
        <v>133</v>
      </c>
      <c r="F906" t="s">
        <v>135</v>
      </c>
    </row>
    <row r="907" spans="1:6" outlineLevel="1" collapsed="1">
      <c r="B907" s="1"/>
      <c r="E907" s="2" t="s">
        <v>309</v>
      </c>
      <c r="F907">
        <f>SUBTOTAL(3,F904:F906)</f>
        <v>3</v>
      </c>
    </row>
    <row r="908" spans="1:6" hidden="1" outlineLevel="2">
      <c r="A908" t="s">
        <v>6</v>
      </c>
      <c r="B908" s="1">
        <v>45856.390532407408</v>
      </c>
      <c r="C908">
        <v>30002</v>
      </c>
      <c r="D908" t="s">
        <v>7</v>
      </c>
      <c r="E908" t="s">
        <v>136</v>
      </c>
      <c r="F908" t="s">
        <v>137</v>
      </c>
    </row>
    <row r="909" spans="1:6" hidden="1" outlineLevel="2">
      <c r="A909" t="s">
        <v>6</v>
      </c>
      <c r="B909" s="1">
        <v>45856.385717592595</v>
      </c>
      <c r="C909">
        <v>30002</v>
      </c>
      <c r="D909" t="s">
        <v>7</v>
      </c>
      <c r="E909" t="s">
        <v>136</v>
      </c>
      <c r="F909" t="s">
        <v>137</v>
      </c>
    </row>
    <row r="910" spans="1:6" hidden="1" outlineLevel="2">
      <c r="A910" t="s">
        <v>6</v>
      </c>
      <c r="B910" s="1">
        <v>45856.385462962964</v>
      </c>
      <c r="C910">
        <v>30002</v>
      </c>
      <c r="D910" t="s">
        <v>7</v>
      </c>
      <c r="E910" t="s">
        <v>136</v>
      </c>
      <c r="F910" t="s">
        <v>137</v>
      </c>
    </row>
    <row r="911" spans="1:6" hidden="1" outlineLevel="2">
      <c r="A911" t="s">
        <v>6</v>
      </c>
      <c r="B911" s="1">
        <v>45856.384826388887</v>
      </c>
      <c r="C911">
        <v>30002</v>
      </c>
      <c r="D911" t="s">
        <v>7</v>
      </c>
      <c r="E911" t="s">
        <v>136</v>
      </c>
      <c r="F911" t="s">
        <v>137</v>
      </c>
    </row>
    <row r="912" spans="1:6" hidden="1" outlineLevel="2">
      <c r="A912" t="s">
        <v>6</v>
      </c>
      <c r="B912" s="1">
        <v>45856.384085648147</v>
      </c>
      <c r="C912">
        <v>30002</v>
      </c>
      <c r="D912" t="s">
        <v>7</v>
      </c>
      <c r="E912" t="s">
        <v>136</v>
      </c>
      <c r="F912" t="s">
        <v>137</v>
      </c>
    </row>
    <row r="913" spans="1:6" hidden="1" outlineLevel="2">
      <c r="A913" t="s">
        <v>6</v>
      </c>
      <c r="B913" s="1">
        <v>45859.528587962966</v>
      </c>
      <c r="C913">
        <v>30002</v>
      </c>
      <c r="D913" t="s">
        <v>7</v>
      </c>
      <c r="E913" t="s">
        <v>136</v>
      </c>
      <c r="F913" t="s">
        <v>65</v>
      </c>
    </row>
    <row r="914" spans="1:6" hidden="1" outlineLevel="2">
      <c r="A914" t="s">
        <v>6</v>
      </c>
      <c r="B914" s="1">
        <v>45853.145451388889</v>
      </c>
      <c r="C914">
        <v>30002</v>
      </c>
      <c r="D914" t="s">
        <v>7</v>
      </c>
      <c r="E914" t="s">
        <v>136</v>
      </c>
      <c r="F914" t="s">
        <v>65</v>
      </c>
    </row>
    <row r="915" spans="1:6" hidden="1" outlineLevel="2">
      <c r="A915" t="s">
        <v>6</v>
      </c>
      <c r="B915" s="1">
        <v>45852.631944444445</v>
      </c>
      <c r="C915">
        <v>30002</v>
      </c>
      <c r="D915" t="s">
        <v>7</v>
      </c>
      <c r="E915" t="s">
        <v>136</v>
      </c>
      <c r="F915" t="s">
        <v>105</v>
      </c>
    </row>
    <row r="916" spans="1:6" hidden="1" outlineLevel="2">
      <c r="A916" t="s">
        <v>6</v>
      </c>
      <c r="B916" s="1">
        <v>45852.631724537037</v>
      </c>
      <c r="C916">
        <v>30002</v>
      </c>
      <c r="D916" t="s">
        <v>7</v>
      </c>
      <c r="E916" t="s">
        <v>136</v>
      </c>
      <c r="F916" t="s">
        <v>105</v>
      </c>
    </row>
    <row r="917" spans="1:6" hidden="1" outlineLevel="2">
      <c r="A917" t="s">
        <v>6</v>
      </c>
      <c r="B917" s="1">
        <v>45852.631608796299</v>
      </c>
      <c r="C917">
        <v>30002</v>
      </c>
      <c r="D917" t="s">
        <v>7</v>
      </c>
      <c r="E917" t="s">
        <v>136</v>
      </c>
      <c r="F917" t="s">
        <v>105</v>
      </c>
    </row>
    <row r="918" spans="1:6" hidden="1" outlineLevel="2">
      <c r="A918" t="s">
        <v>6</v>
      </c>
      <c r="B918" s="1">
        <v>45852.631423611114</v>
      </c>
      <c r="C918">
        <v>30002</v>
      </c>
      <c r="D918" t="s">
        <v>7</v>
      </c>
      <c r="E918" t="s">
        <v>136</v>
      </c>
      <c r="F918" t="s">
        <v>105</v>
      </c>
    </row>
    <row r="919" spans="1:6" hidden="1" outlineLevel="2">
      <c r="A919" t="s">
        <v>6</v>
      </c>
      <c r="B919" s="1">
        <v>45852.631030092591</v>
      </c>
      <c r="C919">
        <v>30002</v>
      </c>
      <c r="D919" t="s">
        <v>7</v>
      </c>
      <c r="E919" t="s">
        <v>136</v>
      </c>
      <c r="F919" t="s">
        <v>105</v>
      </c>
    </row>
    <row r="920" spans="1:6" hidden="1" outlineLevel="2">
      <c r="A920" t="s">
        <v>6</v>
      </c>
      <c r="B920" s="1">
        <v>45852.677314814813</v>
      </c>
      <c r="C920">
        <v>30002</v>
      </c>
      <c r="D920" t="s">
        <v>7</v>
      </c>
      <c r="E920" t="s">
        <v>136</v>
      </c>
      <c r="F920" t="s">
        <v>9</v>
      </c>
    </row>
    <row r="921" spans="1:6" hidden="1" outlineLevel="2">
      <c r="A921" t="s">
        <v>6</v>
      </c>
      <c r="B921" s="1">
        <v>45852.66574074074</v>
      </c>
      <c r="C921">
        <v>30002</v>
      </c>
      <c r="D921" t="s">
        <v>7</v>
      </c>
      <c r="E921" t="s">
        <v>136</v>
      </c>
      <c r="F921" t="s">
        <v>9</v>
      </c>
    </row>
    <row r="922" spans="1:6" hidden="1" outlineLevel="2">
      <c r="A922" t="s">
        <v>6</v>
      </c>
      <c r="B922" s="1">
        <v>45852.66547453704</v>
      </c>
      <c r="C922">
        <v>30002</v>
      </c>
      <c r="D922" t="s">
        <v>7</v>
      </c>
      <c r="E922" t="s">
        <v>136</v>
      </c>
      <c r="F922" t="s">
        <v>9</v>
      </c>
    </row>
    <row r="923" spans="1:6" hidden="1" outlineLevel="2">
      <c r="A923" t="s">
        <v>6</v>
      </c>
      <c r="B923" s="1">
        <v>45852.599062499998</v>
      </c>
      <c r="C923">
        <v>30002</v>
      </c>
      <c r="D923" t="s">
        <v>7</v>
      </c>
      <c r="E923" t="s">
        <v>136</v>
      </c>
      <c r="F923" t="s">
        <v>9</v>
      </c>
    </row>
    <row r="924" spans="1:6" hidden="1" outlineLevel="2">
      <c r="A924" t="s">
        <v>6</v>
      </c>
      <c r="B924" s="1">
        <v>45852.370243055557</v>
      </c>
      <c r="C924">
        <v>30002</v>
      </c>
      <c r="D924" t="s">
        <v>7</v>
      </c>
      <c r="E924" t="s">
        <v>136</v>
      </c>
      <c r="F924" t="s">
        <v>9</v>
      </c>
    </row>
    <row r="925" spans="1:6" hidden="1" outlineLevel="2">
      <c r="A925" t="s">
        <v>6</v>
      </c>
      <c r="B925" s="1">
        <v>45852.369687500002</v>
      </c>
      <c r="C925">
        <v>30002</v>
      </c>
      <c r="D925" t="s">
        <v>7</v>
      </c>
      <c r="E925" t="s">
        <v>136</v>
      </c>
      <c r="F925" t="s">
        <v>9</v>
      </c>
    </row>
    <row r="926" spans="1:6" hidden="1" outlineLevel="2">
      <c r="A926" t="s">
        <v>6</v>
      </c>
      <c r="B926" s="1">
        <v>45852.369490740741</v>
      </c>
      <c r="C926">
        <v>30002</v>
      </c>
      <c r="D926" t="s">
        <v>7</v>
      </c>
      <c r="E926" t="s">
        <v>136</v>
      </c>
      <c r="F926" t="s">
        <v>9</v>
      </c>
    </row>
    <row r="927" spans="1:6" hidden="1" outlineLevel="2">
      <c r="A927" t="s">
        <v>6</v>
      </c>
      <c r="B927" s="1">
        <v>45852.369317129633</v>
      </c>
      <c r="C927">
        <v>30002</v>
      </c>
      <c r="D927" t="s">
        <v>7</v>
      </c>
      <c r="E927" t="s">
        <v>136</v>
      </c>
      <c r="F927" t="s">
        <v>9</v>
      </c>
    </row>
    <row r="928" spans="1:6" hidden="1" outlineLevel="2">
      <c r="A928" t="s">
        <v>6</v>
      </c>
      <c r="B928" s="1">
        <v>45852.368750000001</v>
      </c>
      <c r="C928">
        <v>30002</v>
      </c>
      <c r="D928" t="s">
        <v>7</v>
      </c>
      <c r="E928" t="s">
        <v>136</v>
      </c>
      <c r="F928" t="s">
        <v>9</v>
      </c>
    </row>
    <row r="929" spans="1:6" hidden="1" outlineLevel="2">
      <c r="A929" t="s">
        <v>6</v>
      </c>
      <c r="B929" s="1">
        <v>45848.606585648151</v>
      </c>
      <c r="C929">
        <v>30002</v>
      </c>
      <c r="D929" t="s">
        <v>7</v>
      </c>
      <c r="E929" t="s">
        <v>136</v>
      </c>
      <c r="F929" t="s">
        <v>9</v>
      </c>
    </row>
    <row r="930" spans="1:6" hidden="1" outlineLevel="2">
      <c r="A930" t="s">
        <v>6</v>
      </c>
      <c r="B930" s="1">
        <v>45847.408877314818</v>
      </c>
      <c r="C930">
        <v>30002</v>
      </c>
      <c r="D930" t="s">
        <v>7</v>
      </c>
      <c r="E930" t="s">
        <v>136</v>
      </c>
      <c r="F930" t="s">
        <v>9</v>
      </c>
    </row>
    <row r="931" spans="1:6" hidden="1" outlineLevel="2">
      <c r="A931" t="s">
        <v>6</v>
      </c>
      <c r="B931" s="1">
        <v>45859.3512962963</v>
      </c>
      <c r="C931">
        <v>30002</v>
      </c>
      <c r="D931" t="s">
        <v>7</v>
      </c>
      <c r="E931" t="s">
        <v>136</v>
      </c>
      <c r="F931" t="s">
        <v>106</v>
      </c>
    </row>
    <row r="932" spans="1:6" outlineLevel="1" collapsed="1">
      <c r="B932" s="1"/>
      <c r="E932" s="2" t="s">
        <v>310</v>
      </c>
      <c r="F932">
        <f>SUBTOTAL(3,F908:F931)</f>
        <v>24</v>
      </c>
    </row>
    <row r="933" spans="1:6" hidden="1" outlineLevel="2">
      <c r="A933" t="s">
        <v>6</v>
      </c>
      <c r="B933" s="1">
        <v>45841.58258101852</v>
      </c>
      <c r="C933">
        <v>30002</v>
      </c>
      <c r="D933" t="s">
        <v>7</v>
      </c>
      <c r="E933" t="s">
        <v>138</v>
      </c>
      <c r="F933" t="s">
        <v>102</v>
      </c>
    </row>
    <row r="934" spans="1:6" hidden="1" outlineLevel="2">
      <c r="A934" t="s">
        <v>6</v>
      </c>
      <c r="B934" s="1">
        <v>45859.601412037038</v>
      </c>
      <c r="C934">
        <v>30002</v>
      </c>
      <c r="D934" t="s">
        <v>7</v>
      </c>
      <c r="E934" t="s">
        <v>138</v>
      </c>
      <c r="F934" t="s">
        <v>42</v>
      </c>
    </row>
    <row r="935" spans="1:6" hidden="1" outlineLevel="2">
      <c r="A935" t="s">
        <v>6</v>
      </c>
      <c r="B935" s="1">
        <v>45859.599479166667</v>
      </c>
      <c r="C935">
        <v>30002</v>
      </c>
      <c r="D935" t="s">
        <v>7</v>
      </c>
      <c r="E935" t="s">
        <v>138</v>
      </c>
      <c r="F935" t="s">
        <v>42</v>
      </c>
    </row>
    <row r="936" spans="1:6" hidden="1" outlineLevel="2">
      <c r="A936" t="s">
        <v>6</v>
      </c>
      <c r="B936" s="1">
        <v>45859.599409722221</v>
      </c>
      <c r="C936">
        <v>30002</v>
      </c>
      <c r="D936" t="s">
        <v>7</v>
      </c>
      <c r="E936" t="s">
        <v>138</v>
      </c>
      <c r="F936" t="s">
        <v>42</v>
      </c>
    </row>
    <row r="937" spans="1:6" hidden="1" outlineLevel="2">
      <c r="A937" t="s">
        <v>6</v>
      </c>
      <c r="B937" s="1">
        <v>45855.47828703704</v>
      </c>
      <c r="C937">
        <v>30002</v>
      </c>
      <c r="D937" t="s">
        <v>7</v>
      </c>
      <c r="E937" t="s">
        <v>138</v>
      </c>
      <c r="F937" t="s">
        <v>42</v>
      </c>
    </row>
    <row r="938" spans="1:6" hidden="1" outlineLevel="2">
      <c r="A938" t="s">
        <v>6</v>
      </c>
      <c r="B938" s="1">
        <v>45852.690636574072</v>
      </c>
      <c r="C938">
        <v>30002</v>
      </c>
      <c r="D938" t="s">
        <v>7</v>
      </c>
      <c r="E938" t="s">
        <v>138</v>
      </c>
      <c r="F938" t="s">
        <v>42</v>
      </c>
    </row>
    <row r="939" spans="1:6" hidden="1" outlineLevel="2">
      <c r="A939" t="s">
        <v>6</v>
      </c>
      <c r="B939" s="1">
        <v>45852.690474537034</v>
      </c>
      <c r="C939">
        <v>30002</v>
      </c>
      <c r="D939" t="s">
        <v>7</v>
      </c>
      <c r="E939" t="s">
        <v>138</v>
      </c>
      <c r="F939" t="s">
        <v>42</v>
      </c>
    </row>
    <row r="940" spans="1:6" hidden="1" outlineLevel="2">
      <c r="A940" t="s">
        <v>6</v>
      </c>
      <c r="B940" s="1">
        <v>45852.68990740741</v>
      </c>
      <c r="C940">
        <v>30002</v>
      </c>
      <c r="D940" t="s">
        <v>7</v>
      </c>
      <c r="E940" t="s">
        <v>138</v>
      </c>
      <c r="F940" t="s">
        <v>42</v>
      </c>
    </row>
    <row r="941" spans="1:6" hidden="1" outlineLevel="2">
      <c r="A941" t="s">
        <v>6</v>
      </c>
      <c r="B941" s="1">
        <v>45852.689814814818</v>
      </c>
      <c r="C941">
        <v>30002</v>
      </c>
      <c r="D941" t="s">
        <v>7</v>
      </c>
      <c r="E941" t="s">
        <v>138</v>
      </c>
      <c r="F941" t="s">
        <v>42</v>
      </c>
    </row>
    <row r="942" spans="1:6" hidden="1" outlineLevel="2">
      <c r="A942" t="s">
        <v>6</v>
      </c>
      <c r="B942" s="1">
        <v>45852.689745370371</v>
      </c>
      <c r="C942">
        <v>30002</v>
      </c>
      <c r="D942" t="s">
        <v>7</v>
      </c>
      <c r="E942" t="s">
        <v>138</v>
      </c>
      <c r="F942" t="s">
        <v>42</v>
      </c>
    </row>
    <row r="943" spans="1:6" hidden="1" outlineLevel="2">
      <c r="A943" t="s">
        <v>6</v>
      </c>
      <c r="B943" s="1">
        <v>45852.689456018517</v>
      </c>
      <c r="C943">
        <v>30002</v>
      </c>
      <c r="D943" t="s">
        <v>7</v>
      </c>
      <c r="E943" t="s">
        <v>138</v>
      </c>
      <c r="F943" t="s">
        <v>42</v>
      </c>
    </row>
    <row r="944" spans="1:6" hidden="1" outlineLevel="2">
      <c r="A944" t="s">
        <v>6</v>
      </c>
      <c r="B944" s="1">
        <v>45852.689351851855</v>
      </c>
      <c r="C944">
        <v>30002</v>
      </c>
      <c r="D944" t="s">
        <v>7</v>
      </c>
      <c r="E944" t="s">
        <v>138</v>
      </c>
      <c r="F944" t="s">
        <v>42</v>
      </c>
    </row>
    <row r="945" spans="1:6" hidden="1" outlineLevel="2">
      <c r="A945" t="s">
        <v>6</v>
      </c>
      <c r="B945" s="1">
        <v>45852.689212962963</v>
      </c>
      <c r="C945">
        <v>30002</v>
      </c>
      <c r="D945" t="s">
        <v>7</v>
      </c>
      <c r="E945" t="s">
        <v>138</v>
      </c>
      <c r="F945" t="s">
        <v>42</v>
      </c>
    </row>
    <row r="946" spans="1:6" hidden="1" outlineLevel="2">
      <c r="A946" t="s">
        <v>6</v>
      </c>
      <c r="B946" s="1">
        <v>45852.689039351855</v>
      </c>
      <c r="C946">
        <v>30002</v>
      </c>
      <c r="D946" t="s">
        <v>7</v>
      </c>
      <c r="E946" t="s">
        <v>138</v>
      </c>
      <c r="F946" t="s">
        <v>42</v>
      </c>
    </row>
    <row r="947" spans="1:6" hidden="1" outlineLevel="2">
      <c r="A947" t="s">
        <v>6</v>
      </c>
      <c r="B947" s="1">
        <v>45848.379074074073</v>
      </c>
      <c r="C947">
        <v>30002</v>
      </c>
      <c r="D947" t="s">
        <v>7</v>
      </c>
      <c r="E947" t="s">
        <v>138</v>
      </c>
      <c r="F947" t="s">
        <v>42</v>
      </c>
    </row>
    <row r="948" spans="1:6" hidden="1" outlineLevel="2">
      <c r="A948" t="s">
        <v>6</v>
      </c>
      <c r="B948" s="1">
        <v>45848.345775462964</v>
      </c>
      <c r="C948">
        <v>30002</v>
      </c>
      <c r="D948" t="s">
        <v>7</v>
      </c>
      <c r="E948" t="s">
        <v>138</v>
      </c>
      <c r="F948" t="s">
        <v>42</v>
      </c>
    </row>
    <row r="949" spans="1:6" hidden="1" outlineLevel="2">
      <c r="A949" t="s">
        <v>6</v>
      </c>
      <c r="B949" s="1">
        <v>45847.42391203704</v>
      </c>
      <c r="C949">
        <v>30002</v>
      </c>
      <c r="D949" t="s">
        <v>7</v>
      </c>
      <c r="E949" t="s">
        <v>138</v>
      </c>
      <c r="F949" t="s">
        <v>103</v>
      </c>
    </row>
    <row r="950" spans="1:6" hidden="1" outlineLevel="2">
      <c r="A950" t="s">
        <v>6</v>
      </c>
      <c r="B950" s="1">
        <v>45847.421087962961</v>
      </c>
      <c r="C950">
        <v>30002</v>
      </c>
      <c r="D950" t="s">
        <v>7</v>
      </c>
      <c r="E950" t="s">
        <v>138</v>
      </c>
      <c r="F950" t="s">
        <v>103</v>
      </c>
    </row>
    <row r="951" spans="1:6" hidden="1" outlineLevel="2">
      <c r="A951" t="s">
        <v>6</v>
      </c>
      <c r="B951" s="1">
        <v>45855.459583333337</v>
      </c>
      <c r="C951">
        <v>30002</v>
      </c>
      <c r="D951" t="s">
        <v>7</v>
      </c>
      <c r="E951" t="s">
        <v>138</v>
      </c>
      <c r="F951" t="s">
        <v>36</v>
      </c>
    </row>
    <row r="952" spans="1:6" hidden="1" outlineLevel="2">
      <c r="A952" t="s">
        <v>6</v>
      </c>
      <c r="B952" s="1">
        <v>45855.457418981481</v>
      </c>
      <c r="C952">
        <v>30002</v>
      </c>
      <c r="D952" t="s">
        <v>7</v>
      </c>
      <c r="E952" t="s">
        <v>138</v>
      </c>
      <c r="F952" t="s">
        <v>36</v>
      </c>
    </row>
    <row r="953" spans="1:6" hidden="1" outlineLevel="2">
      <c r="A953" t="s">
        <v>6</v>
      </c>
      <c r="B953" s="1">
        <v>45854.616736111115</v>
      </c>
      <c r="C953">
        <v>30002</v>
      </c>
      <c r="D953" t="s">
        <v>7</v>
      </c>
      <c r="E953" t="s">
        <v>138</v>
      </c>
      <c r="F953" t="s">
        <v>36</v>
      </c>
    </row>
    <row r="954" spans="1:6" hidden="1" outlineLevel="2">
      <c r="A954" t="s">
        <v>6</v>
      </c>
      <c r="B954" s="1">
        <v>45853.59003472222</v>
      </c>
      <c r="C954">
        <v>30002</v>
      </c>
      <c r="D954" t="s">
        <v>7</v>
      </c>
      <c r="E954" t="s">
        <v>138</v>
      </c>
      <c r="F954" t="s">
        <v>36</v>
      </c>
    </row>
    <row r="955" spans="1:6" hidden="1" outlineLevel="2">
      <c r="A955" t="s">
        <v>6</v>
      </c>
      <c r="B955" s="1">
        <v>45853.568124999998</v>
      </c>
      <c r="C955">
        <v>30002</v>
      </c>
      <c r="D955" t="s">
        <v>7</v>
      </c>
      <c r="E955" t="s">
        <v>138</v>
      </c>
      <c r="F955" t="s">
        <v>36</v>
      </c>
    </row>
    <row r="956" spans="1:6" hidden="1" outlineLevel="2">
      <c r="A956" t="s">
        <v>6</v>
      </c>
      <c r="B956" s="1">
        <v>45846.684907407405</v>
      </c>
      <c r="C956">
        <v>30002</v>
      </c>
      <c r="D956" t="s">
        <v>7</v>
      </c>
      <c r="E956" t="s">
        <v>138</v>
      </c>
      <c r="F956" t="s">
        <v>23</v>
      </c>
    </row>
    <row r="957" spans="1:6" hidden="1" outlineLevel="2">
      <c r="A957" t="s">
        <v>6</v>
      </c>
      <c r="B957" s="1">
        <v>45846.680810185186</v>
      </c>
      <c r="C957">
        <v>30002</v>
      </c>
      <c r="D957" t="s">
        <v>7</v>
      </c>
      <c r="E957" t="s">
        <v>138</v>
      </c>
      <c r="F957" t="s">
        <v>23</v>
      </c>
    </row>
    <row r="958" spans="1:6" hidden="1" outlineLevel="2">
      <c r="A958" t="s">
        <v>6</v>
      </c>
      <c r="B958" s="1">
        <v>45845.369340277779</v>
      </c>
      <c r="C958">
        <v>30002</v>
      </c>
      <c r="D958" t="s">
        <v>7</v>
      </c>
      <c r="E958" t="s">
        <v>138</v>
      </c>
      <c r="F958" t="s">
        <v>23</v>
      </c>
    </row>
    <row r="959" spans="1:6" hidden="1" outlineLevel="2">
      <c r="A959" t="s">
        <v>6</v>
      </c>
      <c r="B959" s="1">
        <v>45845.367662037039</v>
      </c>
      <c r="C959">
        <v>30002</v>
      </c>
      <c r="D959" t="s">
        <v>7</v>
      </c>
      <c r="E959" t="s">
        <v>138</v>
      </c>
      <c r="F959" t="s">
        <v>23</v>
      </c>
    </row>
    <row r="960" spans="1:6" hidden="1" outlineLevel="2">
      <c r="A960" t="s">
        <v>6</v>
      </c>
      <c r="B960" s="1">
        <v>45844.716539351852</v>
      </c>
      <c r="C960">
        <v>30002</v>
      </c>
      <c r="D960" t="s">
        <v>7</v>
      </c>
      <c r="E960" t="s">
        <v>138</v>
      </c>
      <c r="F960" t="s">
        <v>23</v>
      </c>
    </row>
    <row r="961" spans="1:6" hidden="1" outlineLevel="2">
      <c r="A961" t="s">
        <v>6</v>
      </c>
      <c r="B961" s="1">
        <v>45852.449965277781</v>
      </c>
      <c r="C961">
        <v>30002</v>
      </c>
      <c r="D961" t="s">
        <v>7</v>
      </c>
      <c r="E961" t="s">
        <v>138</v>
      </c>
      <c r="F961" t="s">
        <v>27</v>
      </c>
    </row>
    <row r="962" spans="1:6" hidden="1" outlineLevel="2">
      <c r="A962" t="s">
        <v>6</v>
      </c>
      <c r="B962" s="1">
        <v>45855.401400462964</v>
      </c>
      <c r="C962">
        <v>30002</v>
      </c>
      <c r="D962" t="s">
        <v>7</v>
      </c>
      <c r="E962" t="s">
        <v>138</v>
      </c>
      <c r="F962" t="s">
        <v>114</v>
      </c>
    </row>
    <row r="963" spans="1:6" hidden="1" outlineLevel="2">
      <c r="A963" t="s">
        <v>6</v>
      </c>
      <c r="B963" s="1">
        <v>45855.401226851849</v>
      </c>
      <c r="C963">
        <v>30002</v>
      </c>
      <c r="D963" t="s">
        <v>7</v>
      </c>
      <c r="E963" t="s">
        <v>138</v>
      </c>
      <c r="F963" t="s">
        <v>114</v>
      </c>
    </row>
    <row r="964" spans="1:6" hidden="1" outlineLevel="2">
      <c r="A964" t="s">
        <v>6</v>
      </c>
      <c r="B964" s="1">
        <v>45855.400312500002</v>
      </c>
      <c r="C964">
        <v>30002</v>
      </c>
      <c r="D964" t="s">
        <v>7</v>
      </c>
      <c r="E964" t="s">
        <v>138</v>
      </c>
      <c r="F964" t="s">
        <v>114</v>
      </c>
    </row>
    <row r="965" spans="1:6" hidden="1" outlineLevel="2">
      <c r="A965" t="s">
        <v>6</v>
      </c>
      <c r="B965" s="1">
        <v>45855.399861111109</v>
      </c>
      <c r="C965">
        <v>30002</v>
      </c>
      <c r="D965" t="s">
        <v>7</v>
      </c>
      <c r="E965" t="s">
        <v>138</v>
      </c>
      <c r="F965" t="s">
        <v>114</v>
      </c>
    </row>
    <row r="966" spans="1:6" hidden="1" outlineLevel="2">
      <c r="A966" t="s">
        <v>6</v>
      </c>
      <c r="B966" s="1">
        <v>45855.398993055554</v>
      </c>
      <c r="C966">
        <v>30002</v>
      </c>
      <c r="D966" t="s">
        <v>7</v>
      </c>
      <c r="E966" t="s">
        <v>138</v>
      </c>
      <c r="F966" t="s">
        <v>114</v>
      </c>
    </row>
    <row r="967" spans="1:6" hidden="1" outlineLevel="2">
      <c r="A967" t="s">
        <v>6</v>
      </c>
      <c r="B967" s="1">
        <v>45855.398298611108</v>
      </c>
      <c r="C967">
        <v>30002</v>
      </c>
      <c r="D967" t="s">
        <v>7</v>
      </c>
      <c r="E967" t="s">
        <v>138</v>
      </c>
      <c r="F967" t="s">
        <v>114</v>
      </c>
    </row>
    <row r="968" spans="1:6" hidden="1" outlineLevel="2">
      <c r="A968" t="s">
        <v>6</v>
      </c>
      <c r="B968" s="1">
        <v>45855.397789351853</v>
      </c>
      <c r="C968">
        <v>30002</v>
      </c>
      <c r="D968" t="s">
        <v>7</v>
      </c>
      <c r="E968" t="s">
        <v>138</v>
      </c>
      <c r="F968" t="s">
        <v>114</v>
      </c>
    </row>
    <row r="969" spans="1:6" hidden="1" outlineLevel="2">
      <c r="A969" t="s">
        <v>6</v>
      </c>
      <c r="B969" s="1">
        <v>45855.397476851853</v>
      </c>
      <c r="C969">
        <v>30002</v>
      </c>
      <c r="D969" t="s">
        <v>7</v>
      </c>
      <c r="E969" t="s">
        <v>138</v>
      </c>
      <c r="F969" t="s">
        <v>114</v>
      </c>
    </row>
    <row r="970" spans="1:6" hidden="1" outlineLevel="2">
      <c r="A970" t="s">
        <v>6</v>
      </c>
      <c r="B970" s="1">
        <v>45855.39702546296</v>
      </c>
      <c r="C970">
        <v>30002</v>
      </c>
      <c r="D970" t="s">
        <v>7</v>
      </c>
      <c r="E970" t="s">
        <v>138</v>
      </c>
      <c r="F970" t="s">
        <v>114</v>
      </c>
    </row>
    <row r="971" spans="1:6" hidden="1" outlineLevel="2">
      <c r="A971" t="s">
        <v>6</v>
      </c>
      <c r="B971" s="1">
        <v>45855.396481481483</v>
      </c>
      <c r="C971">
        <v>30002</v>
      </c>
      <c r="D971" t="s">
        <v>7</v>
      </c>
      <c r="E971" t="s">
        <v>138</v>
      </c>
      <c r="F971" t="s">
        <v>114</v>
      </c>
    </row>
    <row r="972" spans="1:6" hidden="1" outlineLevel="2">
      <c r="A972" t="s">
        <v>6</v>
      </c>
      <c r="B972" s="1">
        <v>45855.396041666667</v>
      </c>
      <c r="C972">
        <v>30002</v>
      </c>
      <c r="D972" t="s">
        <v>7</v>
      </c>
      <c r="E972" t="s">
        <v>138</v>
      </c>
      <c r="F972" t="s">
        <v>114</v>
      </c>
    </row>
    <row r="973" spans="1:6" hidden="1" outlineLevel="2">
      <c r="A973" t="s">
        <v>6</v>
      </c>
      <c r="B973" s="1">
        <v>45855.394502314812</v>
      </c>
      <c r="C973">
        <v>30002</v>
      </c>
      <c r="D973" t="s">
        <v>7</v>
      </c>
      <c r="E973" t="s">
        <v>138</v>
      </c>
      <c r="F973" t="s">
        <v>114</v>
      </c>
    </row>
    <row r="974" spans="1:6" hidden="1" outlineLevel="2">
      <c r="A974" t="s">
        <v>6</v>
      </c>
      <c r="B974" s="1">
        <v>45855.394189814811</v>
      </c>
      <c r="C974">
        <v>30002</v>
      </c>
      <c r="D974" t="s">
        <v>7</v>
      </c>
      <c r="E974" t="s">
        <v>138</v>
      </c>
      <c r="F974" t="s">
        <v>114</v>
      </c>
    </row>
    <row r="975" spans="1:6" hidden="1" outlineLevel="2">
      <c r="A975" t="s">
        <v>6</v>
      </c>
      <c r="B975" s="1">
        <v>45852.543680555558</v>
      </c>
      <c r="C975">
        <v>30002</v>
      </c>
      <c r="D975" t="s">
        <v>7</v>
      </c>
      <c r="E975" t="s">
        <v>138</v>
      </c>
      <c r="F975" t="s">
        <v>11</v>
      </c>
    </row>
    <row r="976" spans="1:6" hidden="1" outlineLevel="2">
      <c r="A976" t="s">
        <v>6</v>
      </c>
      <c r="B976" s="1">
        <v>45852.54105324074</v>
      </c>
      <c r="C976">
        <v>30002</v>
      </c>
      <c r="D976" t="s">
        <v>7</v>
      </c>
      <c r="E976" t="s">
        <v>138</v>
      </c>
      <c r="F976" t="s">
        <v>11</v>
      </c>
    </row>
    <row r="977" spans="1:6" hidden="1" outlineLevel="2">
      <c r="A977" t="s">
        <v>6</v>
      </c>
      <c r="B977" s="1">
        <v>45847.328900462962</v>
      </c>
      <c r="C977">
        <v>30002</v>
      </c>
      <c r="D977" t="s">
        <v>7</v>
      </c>
      <c r="E977" t="s">
        <v>138</v>
      </c>
      <c r="F977" t="s">
        <v>11</v>
      </c>
    </row>
    <row r="978" spans="1:6" hidden="1" outlineLevel="2">
      <c r="A978" t="s">
        <v>6</v>
      </c>
      <c r="B978" s="1">
        <v>45847.327928240738</v>
      </c>
      <c r="C978">
        <v>30002</v>
      </c>
      <c r="D978" t="s">
        <v>7</v>
      </c>
      <c r="E978" t="s">
        <v>138</v>
      </c>
      <c r="F978" t="s">
        <v>11</v>
      </c>
    </row>
    <row r="979" spans="1:6" hidden="1" outlineLevel="2">
      <c r="A979" t="s">
        <v>6</v>
      </c>
      <c r="B979" s="1">
        <v>45847.327870370369</v>
      </c>
      <c r="C979">
        <v>30002</v>
      </c>
      <c r="D979" t="s">
        <v>7</v>
      </c>
      <c r="E979" t="s">
        <v>138</v>
      </c>
      <c r="F979" t="s">
        <v>11</v>
      </c>
    </row>
    <row r="980" spans="1:6" hidden="1" outlineLevel="2">
      <c r="A980" t="s">
        <v>6</v>
      </c>
      <c r="B980" s="1">
        <v>45847.327627314815</v>
      </c>
      <c r="C980">
        <v>30002</v>
      </c>
      <c r="D980" t="s">
        <v>7</v>
      </c>
      <c r="E980" t="s">
        <v>138</v>
      </c>
      <c r="F980" t="s">
        <v>11</v>
      </c>
    </row>
    <row r="981" spans="1:6" hidden="1" outlineLevel="2">
      <c r="A981" t="s">
        <v>6</v>
      </c>
      <c r="B981" s="1">
        <v>45847.327546296299</v>
      </c>
      <c r="C981">
        <v>30002</v>
      </c>
      <c r="D981" t="s">
        <v>7</v>
      </c>
      <c r="E981" t="s">
        <v>138</v>
      </c>
      <c r="F981" t="s">
        <v>11</v>
      </c>
    </row>
    <row r="982" spans="1:6" hidden="1" outlineLevel="2">
      <c r="A982" t="s">
        <v>6</v>
      </c>
      <c r="B982" s="1">
        <v>45847.327361111114</v>
      </c>
      <c r="C982">
        <v>30002</v>
      </c>
      <c r="D982" t="s">
        <v>7</v>
      </c>
      <c r="E982" t="s">
        <v>138</v>
      </c>
      <c r="F982" t="s">
        <v>11</v>
      </c>
    </row>
    <row r="983" spans="1:6" hidden="1" outlineLevel="2">
      <c r="A983" t="s">
        <v>6</v>
      </c>
      <c r="B983" s="1">
        <v>45840.646539351852</v>
      </c>
      <c r="C983">
        <v>30002</v>
      </c>
      <c r="D983" t="s">
        <v>7</v>
      </c>
      <c r="E983" t="s">
        <v>138</v>
      </c>
      <c r="F983" t="s">
        <v>11</v>
      </c>
    </row>
    <row r="984" spans="1:6" hidden="1" outlineLevel="2">
      <c r="A984" t="s">
        <v>6</v>
      </c>
      <c r="B984" s="1">
        <v>45840.635428240741</v>
      </c>
      <c r="C984">
        <v>30002</v>
      </c>
      <c r="D984" t="s">
        <v>7</v>
      </c>
      <c r="E984" t="s">
        <v>138</v>
      </c>
      <c r="F984" t="s">
        <v>11</v>
      </c>
    </row>
    <row r="985" spans="1:6" hidden="1" outlineLevel="2">
      <c r="A985" t="s">
        <v>6</v>
      </c>
      <c r="B985" s="1">
        <v>45840.634548611109</v>
      </c>
      <c r="C985">
        <v>30002</v>
      </c>
      <c r="D985" t="s">
        <v>7</v>
      </c>
      <c r="E985" t="s">
        <v>138</v>
      </c>
      <c r="F985" t="s">
        <v>11</v>
      </c>
    </row>
    <row r="986" spans="1:6" hidden="1" outlineLevel="2">
      <c r="A986" t="s">
        <v>6</v>
      </c>
      <c r="B986" s="1">
        <v>45840.633912037039</v>
      </c>
      <c r="C986">
        <v>30002</v>
      </c>
      <c r="D986" t="s">
        <v>7</v>
      </c>
      <c r="E986" t="s">
        <v>138</v>
      </c>
      <c r="F986" t="s">
        <v>11</v>
      </c>
    </row>
    <row r="987" spans="1:6" hidden="1" outlineLevel="2">
      <c r="A987" t="s">
        <v>6</v>
      </c>
      <c r="B987" s="1">
        <v>45840.333449074074</v>
      </c>
      <c r="C987">
        <v>30002</v>
      </c>
      <c r="D987" t="s">
        <v>7</v>
      </c>
      <c r="E987" t="s">
        <v>138</v>
      </c>
      <c r="F987" t="s">
        <v>11</v>
      </c>
    </row>
    <row r="988" spans="1:6" outlineLevel="1" collapsed="1">
      <c r="B988" s="1"/>
      <c r="E988" s="2" t="s">
        <v>311</v>
      </c>
      <c r="F988">
        <f>SUBTOTAL(3,F933:F987)</f>
        <v>55</v>
      </c>
    </row>
    <row r="989" spans="1:6" hidden="1" outlineLevel="2">
      <c r="A989" t="s">
        <v>6</v>
      </c>
      <c r="B989" s="1">
        <v>45840.54278935185</v>
      </c>
      <c r="C989">
        <v>30002</v>
      </c>
      <c r="D989" t="s">
        <v>7</v>
      </c>
      <c r="E989" t="s">
        <v>139</v>
      </c>
      <c r="F989" t="s">
        <v>103</v>
      </c>
    </row>
    <row r="990" spans="1:6" hidden="1" outlineLevel="2">
      <c r="A990" t="s">
        <v>6</v>
      </c>
      <c r="B990" s="1">
        <v>45840.522581018522</v>
      </c>
      <c r="C990">
        <v>30002</v>
      </c>
      <c r="D990" t="s">
        <v>7</v>
      </c>
      <c r="E990" t="s">
        <v>139</v>
      </c>
      <c r="F990" t="s">
        <v>103</v>
      </c>
    </row>
    <row r="991" spans="1:6" hidden="1" outlineLevel="2">
      <c r="A991" t="s">
        <v>6</v>
      </c>
      <c r="B991" s="1">
        <v>45840.518969907411</v>
      </c>
      <c r="C991">
        <v>30002</v>
      </c>
      <c r="D991" t="s">
        <v>7</v>
      </c>
      <c r="E991" t="s">
        <v>139</v>
      </c>
      <c r="F991" t="s">
        <v>103</v>
      </c>
    </row>
    <row r="992" spans="1:6" hidden="1" outlineLevel="2">
      <c r="A992" t="s">
        <v>6</v>
      </c>
      <c r="B992" s="1">
        <v>45840.515844907408</v>
      </c>
      <c r="C992">
        <v>30002</v>
      </c>
      <c r="D992" t="s">
        <v>7</v>
      </c>
      <c r="E992" t="s">
        <v>139</v>
      </c>
      <c r="F992" t="s">
        <v>103</v>
      </c>
    </row>
    <row r="993" spans="1:6" hidden="1" outlineLevel="2">
      <c r="A993" t="s">
        <v>6</v>
      </c>
      <c r="B993" s="1">
        <v>45840.512326388889</v>
      </c>
      <c r="C993">
        <v>30002</v>
      </c>
      <c r="D993" t="s">
        <v>7</v>
      </c>
      <c r="E993" t="s">
        <v>139</v>
      </c>
      <c r="F993" t="s">
        <v>103</v>
      </c>
    </row>
    <row r="994" spans="1:6" hidden="1" outlineLevel="2">
      <c r="A994" t="s">
        <v>6</v>
      </c>
      <c r="B994" s="1">
        <v>45840.511631944442</v>
      </c>
      <c r="C994">
        <v>30002</v>
      </c>
      <c r="D994" t="s">
        <v>7</v>
      </c>
      <c r="E994" t="s">
        <v>139</v>
      </c>
      <c r="F994" t="s">
        <v>103</v>
      </c>
    </row>
    <row r="995" spans="1:6" hidden="1" outlineLevel="2">
      <c r="A995" t="s">
        <v>6</v>
      </c>
      <c r="B995" s="1">
        <v>45840.511493055557</v>
      </c>
      <c r="C995">
        <v>30002</v>
      </c>
      <c r="D995" t="s">
        <v>7</v>
      </c>
      <c r="E995" t="s">
        <v>139</v>
      </c>
      <c r="F995" t="s">
        <v>103</v>
      </c>
    </row>
    <row r="996" spans="1:6" hidden="1" outlineLevel="2">
      <c r="A996" t="s">
        <v>6</v>
      </c>
      <c r="B996" s="1">
        <v>45860.701724537037</v>
      </c>
      <c r="C996">
        <v>30002</v>
      </c>
      <c r="D996" t="s">
        <v>7</v>
      </c>
      <c r="E996" t="s">
        <v>139</v>
      </c>
      <c r="F996" t="s">
        <v>36</v>
      </c>
    </row>
    <row r="997" spans="1:6" hidden="1" outlineLevel="2">
      <c r="A997" t="s">
        <v>6</v>
      </c>
      <c r="B997" s="1">
        <v>45860.421365740738</v>
      </c>
      <c r="C997">
        <v>30002</v>
      </c>
      <c r="D997" t="s">
        <v>7</v>
      </c>
      <c r="E997" t="s">
        <v>139</v>
      </c>
      <c r="F997" t="s">
        <v>36</v>
      </c>
    </row>
    <row r="998" spans="1:6" hidden="1" outlineLevel="2">
      <c r="A998" t="s">
        <v>6</v>
      </c>
      <c r="B998" s="1">
        <v>45859.491574074076</v>
      </c>
      <c r="C998">
        <v>30002</v>
      </c>
      <c r="D998" t="s">
        <v>7</v>
      </c>
      <c r="E998" t="s">
        <v>139</v>
      </c>
      <c r="F998" t="s">
        <v>36</v>
      </c>
    </row>
    <row r="999" spans="1:6" hidden="1" outlineLevel="2">
      <c r="A999" t="s">
        <v>6</v>
      </c>
      <c r="B999" s="1">
        <v>45856.779872685183</v>
      </c>
      <c r="C999">
        <v>30002</v>
      </c>
      <c r="D999" t="s">
        <v>7</v>
      </c>
      <c r="E999" t="s">
        <v>139</v>
      </c>
      <c r="F999" t="s">
        <v>36</v>
      </c>
    </row>
    <row r="1000" spans="1:6" hidden="1" outlineLevel="2">
      <c r="A1000" t="s">
        <v>6</v>
      </c>
      <c r="B1000" s="1">
        <v>45853.589675925927</v>
      </c>
      <c r="C1000">
        <v>30002</v>
      </c>
      <c r="D1000" t="s">
        <v>7</v>
      </c>
      <c r="E1000" t="s">
        <v>139</v>
      </c>
      <c r="F1000" t="s">
        <v>36</v>
      </c>
    </row>
    <row r="1001" spans="1:6" hidden="1" outlineLevel="2">
      <c r="A1001" t="s">
        <v>6</v>
      </c>
      <c r="B1001" s="1">
        <v>45853.570162037038</v>
      </c>
      <c r="C1001">
        <v>30002</v>
      </c>
      <c r="D1001" t="s">
        <v>7</v>
      </c>
      <c r="E1001" t="s">
        <v>139</v>
      </c>
      <c r="F1001" t="s">
        <v>36</v>
      </c>
    </row>
    <row r="1002" spans="1:6" hidden="1" outlineLevel="2">
      <c r="A1002" t="s">
        <v>6</v>
      </c>
      <c r="B1002" s="1">
        <v>45853.569525462961</v>
      </c>
      <c r="C1002">
        <v>30002</v>
      </c>
      <c r="D1002" t="s">
        <v>7</v>
      </c>
      <c r="E1002" t="s">
        <v>139</v>
      </c>
      <c r="F1002" t="s">
        <v>36</v>
      </c>
    </row>
    <row r="1003" spans="1:6" hidden="1" outlineLevel="2">
      <c r="A1003" t="s">
        <v>6</v>
      </c>
      <c r="B1003" s="1">
        <v>45853.568819444445</v>
      </c>
      <c r="C1003">
        <v>30002</v>
      </c>
      <c r="D1003" t="s">
        <v>7</v>
      </c>
      <c r="E1003" t="s">
        <v>139</v>
      </c>
      <c r="F1003" t="s">
        <v>36</v>
      </c>
    </row>
    <row r="1004" spans="1:6" hidden="1" outlineLevel="2">
      <c r="A1004" t="s">
        <v>6</v>
      </c>
      <c r="B1004" s="1">
        <v>45847.774409722224</v>
      </c>
      <c r="C1004">
        <v>30002</v>
      </c>
      <c r="D1004" t="s">
        <v>7</v>
      </c>
      <c r="E1004" t="s">
        <v>139</v>
      </c>
      <c r="F1004" t="s">
        <v>36</v>
      </c>
    </row>
    <row r="1005" spans="1:6" hidden="1" outlineLevel="2">
      <c r="A1005" t="s">
        <v>6</v>
      </c>
      <c r="B1005" s="1">
        <v>45847.757997685185</v>
      </c>
      <c r="C1005">
        <v>30002</v>
      </c>
      <c r="D1005" t="s">
        <v>7</v>
      </c>
      <c r="E1005" t="s">
        <v>139</v>
      </c>
      <c r="F1005" t="s">
        <v>36</v>
      </c>
    </row>
    <row r="1006" spans="1:6" hidden="1" outlineLevel="2">
      <c r="A1006" t="s">
        <v>6</v>
      </c>
      <c r="B1006" s="1">
        <v>45847.430995370371</v>
      </c>
      <c r="C1006">
        <v>30002</v>
      </c>
      <c r="D1006" t="s">
        <v>7</v>
      </c>
      <c r="E1006" t="s">
        <v>139</v>
      </c>
      <c r="F1006" t="s">
        <v>36</v>
      </c>
    </row>
    <row r="1007" spans="1:6" hidden="1" outlineLevel="2">
      <c r="A1007" t="s">
        <v>6</v>
      </c>
      <c r="B1007" s="1">
        <v>45845.621828703705</v>
      </c>
      <c r="C1007">
        <v>30002</v>
      </c>
      <c r="D1007" t="s">
        <v>7</v>
      </c>
      <c r="E1007" t="s">
        <v>139</v>
      </c>
      <c r="F1007" t="s">
        <v>36</v>
      </c>
    </row>
    <row r="1008" spans="1:6" hidden="1" outlineLevel="2">
      <c r="A1008" t="s">
        <v>6</v>
      </c>
      <c r="B1008" s="1">
        <v>45839.495312500003</v>
      </c>
      <c r="C1008">
        <v>30002</v>
      </c>
      <c r="D1008" t="s">
        <v>7</v>
      </c>
      <c r="E1008" t="s">
        <v>139</v>
      </c>
      <c r="F1008" t="s">
        <v>36</v>
      </c>
    </row>
    <row r="1009" spans="1:6" hidden="1" outlineLevel="2">
      <c r="A1009" t="s">
        <v>6</v>
      </c>
      <c r="B1009" s="1">
        <v>45867.341157407405</v>
      </c>
      <c r="C1009">
        <v>30002</v>
      </c>
      <c r="D1009" t="s">
        <v>7</v>
      </c>
      <c r="E1009" t="s">
        <v>139</v>
      </c>
      <c r="F1009" t="s">
        <v>27</v>
      </c>
    </row>
    <row r="1010" spans="1:6" hidden="1" outlineLevel="2">
      <c r="A1010" t="s">
        <v>6</v>
      </c>
      <c r="B1010" s="1">
        <v>45862.663599537038</v>
      </c>
      <c r="C1010">
        <v>30002</v>
      </c>
      <c r="D1010" t="s">
        <v>7</v>
      </c>
      <c r="E1010" t="s">
        <v>139</v>
      </c>
      <c r="F1010" t="s">
        <v>27</v>
      </c>
    </row>
    <row r="1011" spans="1:6" hidden="1" outlineLevel="2">
      <c r="A1011" t="s">
        <v>6</v>
      </c>
      <c r="B1011" s="1">
        <v>45862.662534722222</v>
      </c>
      <c r="C1011">
        <v>30002</v>
      </c>
      <c r="D1011" t="s">
        <v>7</v>
      </c>
      <c r="E1011" t="s">
        <v>139</v>
      </c>
      <c r="F1011" t="s">
        <v>27</v>
      </c>
    </row>
    <row r="1012" spans="1:6" hidden="1" outlineLevel="2">
      <c r="A1012" t="s">
        <v>6</v>
      </c>
      <c r="B1012" s="1">
        <v>45862.53733796296</v>
      </c>
      <c r="C1012">
        <v>30002</v>
      </c>
      <c r="D1012" t="s">
        <v>7</v>
      </c>
      <c r="E1012" t="s">
        <v>139</v>
      </c>
      <c r="F1012" t="s">
        <v>27</v>
      </c>
    </row>
    <row r="1013" spans="1:6" hidden="1" outlineLevel="2">
      <c r="A1013" t="s">
        <v>6</v>
      </c>
      <c r="B1013" s="1">
        <v>45852.403726851851</v>
      </c>
      <c r="C1013">
        <v>30002</v>
      </c>
      <c r="D1013" t="s">
        <v>7</v>
      </c>
      <c r="E1013" t="s">
        <v>139</v>
      </c>
      <c r="F1013" t="s">
        <v>27</v>
      </c>
    </row>
    <row r="1014" spans="1:6" hidden="1" outlineLevel="2">
      <c r="A1014" t="s">
        <v>6</v>
      </c>
      <c r="B1014" s="1">
        <v>45852.388333333336</v>
      </c>
      <c r="C1014">
        <v>30002</v>
      </c>
      <c r="D1014" t="s">
        <v>7</v>
      </c>
      <c r="E1014" t="s">
        <v>139</v>
      </c>
      <c r="F1014" t="s">
        <v>27</v>
      </c>
    </row>
    <row r="1015" spans="1:6" hidden="1" outlineLevel="2">
      <c r="A1015" t="s">
        <v>6</v>
      </c>
      <c r="B1015" s="1">
        <v>45852.341585648152</v>
      </c>
      <c r="C1015">
        <v>30002</v>
      </c>
      <c r="D1015" t="s">
        <v>7</v>
      </c>
      <c r="E1015" t="s">
        <v>139</v>
      </c>
      <c r="F1015" t="s">
        <v>27</v>
      </c>
    </row>
    <row r="1016" spans="1:6" hidden="1" outlineLevel="2">
      <c r="A1016" t="s">
        <v>6</v>
      </c>
      <c r="B1016" s="1">
        <v>45852.33525462963</v>
      </c>
      <c r="C1016">
        <v>30002</v>
      </c>
      <c r="D1016" t="s">
        <v>7</v>
      </c>
      <c r="E1016" t="s">
        <v>139</v>
      </c>
      <c r="F1016" t="s">
        <v>27</v>
      </c>
    </row>
    <row r="1017" spans="1:6" hidden="1" outlineLevel="2">
      <c r="A1017" t="s">
        <v>6</v>
      </c>
      <c r="B1017" s="1">
        <v>45849.448807870373</v>
      </c>
      <c r="C1017">
        <v>30002</v>
      </c>
      <c r="D1017" t="s">
        <v>7</v>
      </c>
      <c r="E1017" t="s">
        <v>139</v>
      </c>
      <c r="F1017" t="s">
        <v>27</v>
      </c>
    </row>
    <row r="1018" spans="1:6" hidden="1" outlineLevel="2">
      <c r="A1018" t="s">
        <v>6</v>
      </c>
      <c r="B1018" s="1">
        <v>45849.447766203702</v>
      </c>
      <c r="C1018">
        <v>30002</v>
      </c>
      <c r="D1018" t="s">
        <v>7</v>
      </c>
      <c r="E1018" t="s">
        <v>139</v>
      </c>
      <c r="F1018" t="s">
        <v>27</v>
      </c>
    </row>
    <row r="1019" spans="1:6" hidden="1" outlineLevel="2">
      <c r="A1019" t="s">
        <v>6</v>
      </c>
      <c r="B1019" s="1">
        <v>45849.429363425923</v>
      </c>
      <c r="C1019">
        <v>30002</v>
      </c>
      <c r="D1019" t="s">
        <v>7</v>
      </c>
      <c r="E1019" t="s">
        <v>139</v>
      </c>
      <c r="F1019" t="s">
        <v>27</v>
      </c>
    </row>
    <row r="1020" spans="1:6" hidden="1" outlineLevel="2">
      <c r="A1020" t="s">
        <v>6</v>
      </c>
      <c r="B1020" s="1">
        <v>45849.428935185184</v>
      </c>
      <c r="C1020">
        <v>30002</v>
      </c>
      <c r="D1020" t="s">
        <v>7</v>
      </c>
      <c r="E1020" t="s">
        <v>139</v>
      </c>
      <c r="F1020" t="s">
        <v>27</v>
      </c>
    </row>
    <row r="1021" spans="1:6" hidden="1" outlineLevel="2">
      <c r="A1021" t="s">
        <v>6</v>
      </c>
      <c r="B1021" s="1">
        <v>45840.407500000001</v>
      </c>
      <c r="C1021">
        <v>30002</v>
      </c>
      <c r="D1021" t="s">
        <v>7</v>
      </c>
      <c r="E1021" t="s">
        <v>139</v>
      </c>
      <c r="F1021" t="s">
        <v>27</v>
      </c>
    </row>
    <row r="1022" spans="1:6" hidden="1" outlineLevel="2">
      <c r="A1022" t="s">
        <v>6</v>
      </c>
      <c r="B1022" s="1">
        <v>45840.406354166669</v>
      </c>
      <c r="C1022">
        <v>30002</v>
      </c>
      <c r="D1022" t="s">
        <v>7</v>
      </c>
      <c r="E1022" t="s">
        <v>139</v>
      </c>
      <c r="F1022" t="s">
        <v>27</v>
      </c>
    </row>
    <row r="1023" spans="1:6" hidden="1" outlineLevel="2">
      <c r="A1023" t="s">
        <v>6</v>
      </c>
      <c r="B1023" s="1">
        <v>45853.318402777775</v>
      </c>
      <c r="C1023">
        <v>30002</v>
      </c>
      <c r="D1023" t="s">
        <v>7</v>
      </c>
      <c r="E1023" t="s">
        <v>139</v>
      </c>
      <c r="F1023" t="s">
        <v>11</v>
      </c>
    </row>
    <row r="1024" spans="1:6" hidden="1" outlineLevel="2">
      <c r="A1024" t="s">
        <v>6</v>
      </c>
      <c r="B1024" s="1">
        <v>45853.318182870367</v>
      </c>
      <c r="C1024">
        <v>30002</v>
      </c>
      <c r="D1024" t="s">
        <v>7</v>
      </c>
      <c r="E1024" t="s">
        <v>139</v>
      </c>
      <c r="F1024" t="s">
        <v>11</v>
      </c>
    </row>
    <row r="1025" spans="1:6" hidden="1" outlineLevel="2">
      <c r="A1025" t="s">
        <v>6</v>
      </c>
      <c r="B1025" s="1">
        <v>45840.367476851854</v>
      </c>
      <c r="C1025">
        <v>30002</v>
      </c>
      <c r="D1025" t="s">
        <v>7</v>
      </c>
      <c r="E1025" t="s">
        <v>139</v>
      </c>
      <c r="F1025" t="s">
        <v>11</v>
      </c>
    </row>
    <row r="1026" spans="1:6" hidden="1" outlineLevel="2">
      <c r="A1026" t="s">
        <v>6</v>
      </c>
      <c r="B1026" s="1">
        <v>45840.359988425924</v>
      </c>
      <c r="C1026">
        <v>30002</v>
      </c>
      <c r="D1026" t="s">
        <v>7</v>
      </c>
      <c r="E1026" t="s">
        <v>139</v>
      </c>
      <c r="F1026" t="s">
        <v>11</v>
      </c>
    </row>
    <row r="1027" spans="1:6" hidden="1" outlineLevel="2">
      <c r="A1027" t="s">
        <v>6</v>
      </c>
      <c r="B1027" s="1">
        <v>45840.359884259262</v>
      </c>
      <c r="C1027">
        <v>30002</v>
      </c>
      <c r="D1027" t="s">
        <v>7</v>
      </c>
      <c r="E1027" t="s">
        <v>139</v>
      </c>
      <c r="F1027" t="s">
        <v>11</v>
      </c>
    </row>
    <row r="1028" spans="1:6" hidden="1" outlineLevel="2">
      <c r="A1028" t="s">
        <v>6</v>
      </c>
      <c r="B1028" s="1">
        <v>45840.359317129631</v>
      </c>
      <c r="C1028">
        <v>30002</v>
      </c>
      <c r="D1028" t="s">
        <v>7</v>
      </c>
      <c r="E1028" t="s">
        <v>139</v>
      </c>
      <c r="F1028" t="s">
        <v>11</v>
      </c>
    </row>
    <row r="1029" spans="1:6" outlineLevel="1" collapsed="1">
      <c r="B1029" s="1"/>
      <c r="E1029" s="2" t="s">
        <v>312</v>
      </c>
      <c r="F1029">
        <f>SUBTOTAL(3,F989:F1028)</f>
        <v>40</v>
      </c>
    </row>
    <row r="1030" spans="1:6" hidden="1" outlineLevel="2">
      <c r="A1030" t="s">
        <v>6</v>
      </c>
      <c r="B1030" s="1">
        <v>45840.51152777778</v>
      </c>
      <c r="C1030">
        <v>30002</v>
      </c>
      <c r="D1030" t="s">
        <v>7</v>
      </c>
      <c r="E1030" t="s">
        <v>140</v>
      </c>
      <c r="F1030" t="s">
        <v>101</v>
      </c>
    </row>
    <row r="1031" spans="1:6" hidden="1" outlineLevel="2">
      <c r="A1031" t="s">
        <v>6</v>
      </c>
      <c r="B1031" s="1">
        <v>45840.499768518515</v>
      </c>
      <c r="C1031">
        <v>30002</v>
      </c>
      <c r="D1031" t="s">
        <v>7</v>
      </c>
      <c r="E1031" t="s">
        <v>140</v>
      </c>
      <c r="F1031" t="s">
        <v>101</v>
      </c>
    </row>
    <row r="1032" spans="1:6" hidden="1" outlineLevel="2">
      <c r="A1032" t="s">
        <v>6</v>
      </c>
      <c r="B1032" s="1">
        <v>45840.499479166669</v>
      </c>
      <c r="C1032">
        <v>30002</v>
      </c>
      <c r="D1032" t="s">
        <v>7</v>
      </c>
      <c r="E1032" t="s">
        <v>140</v>
      </c>
      <c r="F1032" t="s">
        <v>101</v>
      </c>
    </row>
    <row r="1033" spans="1:6" hidden="1" outlineLevel="2">
      <c r="A1033" t="s">
        <v>6</v>
      </c>
      <c r="B1033" s="1">
        <v>45840.489421296297</v>
      </c>
      <c r="C1033">
        <v>30002</v>
      </c>
      <c r="D1033" t="s">
        <v>7</v>
      </c>
      <c r="E1033" t="s">
        <v>140</v>
      </c>
      <c r="F1033" t="s">
        <v>101</v>
      </c>
    </row>
    <row r="1034" spans="1:6" hidden="1" outlineLevel="2">
      <c r="A1034" t="s">
        <v>6</v>
      </c>
      <c r="B1034" s="1">
        <v>45840.488807870373</v>
      </c>
      <c r="C1034">
        <v>30002</v>
      </c>
      <c r="D1034" t="s">
        <v>7</v>
      </c>
      <c r="E1034" t="s">
        <v>140</v>
      </c>
      <c r="F1034" t="s">
        <v>101</v>
      </c>
    </row>
    <row r="1035" spans="1:6" hidden="1" outlineLevel="2">
      <c r="A1035" t="s">
        <v>6</v>
      </c>
      <c r="B1035" s="1">
        <v>45840.488680555558</v>
      </c>
      <c r="C1035">
        <v>30002</v>
      </c>
      <c r="D1035" t="s">
        <v>7</v>
      </c>
      <c r="E1035" t="s">
        <v>140</v>
      </c>
      <c r="F1035" t="s">
        <v>101</v>
      </c>
    </row>
    <row r="1036" spans="1:6" hidden="1" outlineLevel="2">
      <c r="A1036" t="s">
        <v>6</v>
      </c>
      <c r="B1036" s="1">
        <v>45840.488344907404</v>
      </c>
      <c r="C1036">
        <v>30002</v>
      </c>
      <c r="D1036" t="s">
        <v>7</v>
      </c>
      <c r="E1036" t="s">
        <v>140</v>
      </c>
      <c r="F1036" t="s">
        <v>101</v>
      </c>
    </row>
    <row r="1037" spans="1:6" hidden="1" outlineLevel="2">
      <c r="A1037" t="s">
        <v>6</v>
      </c>
      <c r="B1037" s="1">
        <v>45840.487314814818</v>
      </c>
      <c r="C1037">
        <v>30002</v>
      </c>
      <c r="D1037" t="s">
        <v>7</v>
      </c>
      <c r="E1037" t="s">
        <v>140</v>
      </c>
      <c r="F1037" t="s">
        <v>101</v>
      </c>
    </row>
    <row r="1038" spans="1:6" hidden="1" outlineLevel="2">
      <c r="A1038" t="s">
        <v>6</v>
      </c>
      <c r="B1038" s="1">
        <v>45840.486979166664</v>
      </c>
      <c r="C1038">
        <v>30002</v>
      </c>
      <c r="D1038" t="s">
        <v>7</v>
      </c>
      <c r="E1038" t="s">
        <v>140</v>
      </c>
      <c r="F1038" t="s">
        <v>101</v>
      </c>
    </row>
    <row r="1039" spans="1:6" hidden="1" outlineLevel="2">
      <c r="A1039" t="s">
        <v>6</v>
      </c>
      <c r="B1039" s="1">
        <v>45840.486168981479</v>
      </c>
      <c r="C1039">
        <v>30002</v>
      </c>
      <c r="D1039" t="s">
        <v>7</v>
      </c>
      <c r="E1039" t="s">
        <v>140</v>
      </c>
      <c r="F1039" t="s">
        <v>101</v>
      </c>
    </row>
    <row r="1040" spans="1:6" hidden="1" outlineLevel="2">
      <c r="A1040" t="s">
        <v>6</v>
      </c>
      <c r="B1040" s="1">
        <v>45867.428611111114</v>
      </c>
      <c r="C1040">
        <v>30002</v>
      </c>
      <c r="D1040" t="s">
        <v>7</v>
      </c>
      <c r="E1040" t="s">
        <v>140</v>
      </c>
      <c r="F1040" t="s">
        <v>13</v>
      </c>
    </row>
    <row r="1041" spans="1:6" hidden="1" outlineLevel="2">
      <c r="A1041" t="s">
        <v>6</v>
      </c>
      <c r="B1041" s="1">
        <v>45848.454629629632</v>
      </c>
      <c r="C1041">
        <v>30002</v>
      </c>
      <c r="D1041" t="s">
        <v>7</v>
      </c>
      <c r="E1041" t="s">
        <v>140</v>
      </c>
      <c r="F1041" t="s">
        <v>13</v>
      </c>
    </row>
    <row r="1042" spans="1:6" hidden="1" outlineLevel="2">
      <c r="A1042" t="s">
        <v>6</v>
      </c>
      <c r="B1042" s="1">
        <v>45848.449236111112</v>
      </c>
      <c r="C1042">
        <v>30002</v>
      </c>
      <c r="D1042" t="s">
        <v>7</v>
      </c>
      <c r="E1042" t="s">
        <v>140</v>
      </c>
      <c r="F1042" t="s">
        <v>13</v>
      </c>
    </row>
    <row r="1043" spans="1:6" hidden="1" outlineLevel="2">
      <c r="A1043" t="s">
        <v>6</v>
      </c>
      <c r="B1043" s="1">
        <v>45848.443865740737</v>
      </c>
      <c r="C1043">
        <v>30002</v>
      </c>
      <c r="D1043" t="s">
        <v>7</v>
      </c>
      <c r="E1043" t="s">
        <v>140</v>
      </c>
      <c r="F1043" t="s">
        <v>13</v>
      </c>
    </row>
    <row r="1044" spans="1:6" hidden="1" outlineLevel="2">
      <c r="A1044" t="s">
        <v>6</v>
      </c>
      <c r="B1044" s="1">
        <v>45839.400196759256</v>
      </c>
      <c r="C1044">
        <v>30002</v>
      </c>
      <c r="D1044" t="s">
        <v>7</v>
      </c>
      <c r="E1044" t="s">
        <v>140</v>
      </c>
      <c r="F1044" t="s">
        <v>13</v>
      </c>
    </row>
    <row r="1045" spans="1:6" hidden="1" outlineLevel="2">
      <c r="A1045" t="s">
        <v>6</v>
      </c>
      <c r="B1045" s="1">
        <v>45869.609710648147</v>
      </c>
      <c r="C1045">
        <v>30002</v>
      </c>
      <c r="D1045" t="s">
        <v>7</v>
      </c>
      <c r="E1045" t="s">
        <v>140</v>
      </c>
      <c r="F1045" t="s">
        <v>141</v>
      </c>
    </row>
    <row r="1046" spans="1:6" hidden="1" outlineLevel="2">
      <c r="A1046" t="s">
        <v>6</v>
      </c>
      <c r="B1046" s="1">
        <v>45851.531458333331</v>
      </c>
      <c r="C1046">
        <v>30002</v>
      </c>
      <c r="D1046" t="s">
        <v>7</v>
      </c>
      <c r="E1046" t="s">
        <v>140</v>
      </c>
      <c r="F1046" t="s">
        <v>18</v>
      </c>
    </row>
    <row r="1047" spans="1:6" hidden="1" outlineLevel="2">
      <c r="A1047" t="s">
        <v>6</v>
      </c>
      <c r="B1047" s="1">
        <v>45869.750300925924</v>
      </c>
      <c r="C1047">
        <v>30002</v>
      </c>
      <c r="D1047" t="s">
        <v>7</v>
      </c>
      <c r="E1047" t="s">
        <v>140</v>
      </c>
      <c r="F1047" t="s">
        <v>103</v>
      </c>
    </row>
    <row r="1048" spans="1:6" hidden="1" outlineLevel="2">
      <c r="A1048" t="s">
        <v>6</v>
      </c>
      <c r="B1048" s="1">
        <v>45861.224305555559</v>
      </c>
      <c r="C1048">
        <v>30002</v>
      </c>
      <c r="D1048" t="s">
        <v>7</v>
      </c>
      <c r="E1048" t="s">
        <v>140</v>
      </c>
      <c r="F1048" t="s">
        <v>103</v>
      </c>
    </row>
    <row r="1049" spans="1:6" hidden="1" outlineLevel="2">
      <c r="A1049" t="s">
        <v>6</v>
      </c>
      <c r="B1049" s="1">
        <v>45859.231412037036</v>
      </c>
      <c r="C1049">
        <v>30002</v>
      </c>
      <c r="D1049" t="s">
        <v>7</v>
      </c>
      <c r="E1049" t="s">
        <v>140</v>
      </c>
      <c r="F1049" t="s">
        <v>103</v>
      </c>
    </row>
    <row r="1050" spans="1:6" hidden="1" outlineLevel="2">
      <c r="A1050" t="s">
        <v>6</v>
      </c>
      <c r="B1050" s="1">
        <v>45841.360543981478</v>
      </c>
      <c r="C1050">
        <v>30002</v>
      </c>
      <c r="D1050" t="s">
        <v>7</v>
      </c>
      <c r="E1050" t="s">
        <v>140</v>
      </c>
      <c r="F1050" t="s">
        <v>103</v>
      </c>
    </row>
    <row r="1051" spans="1:6" hidden="1" outlineLevel="2">
      <c r="A1051" t="s">
        <v>6</v>
      </c>
      <c r="B1051" s="1">
        <v>45840.547106481485</v>
      </c>
      <c r="C1051">
        <v>30002</v>
      </c>
      <c r="D1051" t="s">
        <v>7</v>
      </c>
      <c r="E1051" t="s">
        <v>140</v>
      </c>
      <c r="F1051" t="s">
        <v>103</v>
      </c>
    </row>
    <row r="1052" spans="1:6" hidden="1" outlineLevel="2">
      <c r="A1052" t="s">
        <v>6</v>
      </c>
      <c r="B1052" s="1">
        <v>45839.533587962964</v>
      </c>
      <c r="C1052">
        <v>30002</v>
      </c>
      <c r="D1052" t="s">
        <v>7</v>
      </c>
      <c r="E1052" t="s">
        <v>140</v>
      </c>
      <c r="F1052" t="s">
        <v>103</v>
      </c>
    </row>
    <row r="1053" spans="1:6" hidden="1" outlineLevel="2">
      <c r="A1053" t="s">
        <v>6</v>
      </c>
      <c r="B1053" s="1">
        <v>45839.52003472222</v>
      </c>
      <c r="C1053">
        <v>30002</v>
      </c>
      <c r="D1053" t="s">
        <v>7</v>
      </c>
      <c r="E1053" t="s">
        <v>140</v>
      </c>
      <c r="F1053" t="s">
        <v>103</v>
      </c>
    </row>
    <row r="1054" spans="1:6" hidden="1" outlineLevel="2">
      <c r="A1054" t="s">
        <v>6</v>
      </c>
      <c r="B1054" s="1">
        <v>45839.51116898148</v>
      </c>
      <c r="C1054">
        <v>30002</v>
      </c>
      <c r="D1054" t="s">
        <v>7</v>
      </c>
      <c r="E1054" t="s">
        <v>140</v>
      </c>
      <c r="F1054" t="s">
        <v>103</v>
      </c>
    </row>
    <row r="1055" spans="1:6" hidden="1" outlineLevel="2">
      <c r="A1055" t="s">
        <v>6</v>
      </c>
      <c r="B1055" s="1">
        <v>45839.508125</v>
      </c>
      <c r="C1055">
        <v>30002</v>
      </c>
      <c r="D1055" t="s">
        <v>7</v>
      </c>
      <c r="E1055" t="s">
        <v>140</v>
      </c>
      <c r="F1055" t="s">
        <v>103</v>
      </c>
    </row>
    <row r="1056" spans="1:6" hidden="1" outlineLevel="2">
      <c r="A1056" t="s">
        <v>6</v>
      </c>
      <c r="B1056" s="1">
        <v>45839.49417824074</v>
      </c>
      <c r="C1056">
        <v>30002</v>
      </c>
      <c r="D1056" t="s">
        <v>7</v>
      </c>
      <c r="E1056" t="s">
        <v>140</v>
      </c>
      <c r="F1056" t="s">
        <v>103</v>
      </c>
    </row>
    <row r="1057" spans="1:6" hidden="1" outlineLevel="2">
      <c r="A1057" t="s">
        <v>6</v>
      </c>
      <c r="B1057" s="1">
        <v>45862.268067129633</v>
      </c>
      <c r="C1057">
        <v>30002</v>
      </c>
      <c r="D1057" t="s">
        <v>7</v>
      </c>
      <c r="E1057" t="s">
        <v>140</v>
      </c>
      <c r="F1057" t="s">
        <v>19</v>
      </c>
    </row>
    <row r="1058" spans="1:6" hidden="1" outlineLevel="2">
      <c r="A1058" t="s">
        <v>6</v>
      </c>
      <c r="B1058" s="1">
        <v>45841.290497685186</v>
      </c>
      <c r="C1058">
        <v>30002</v>
      </c>
      <c r="D1058" t="s">
        <v>7</v>
      </c>
      <c r="E1058" t="s">
        <v>140</v>
      </c>
      <c r="F1058" t="s">
        <v>19</v>
      </c>
    </row>
    <row r="1059" spans="1:6" hidden="1" outlineLevel="2">
      <c r="A1059" t="s">
        <v>6</v>
      </c>
      <c r="B1059" s="1">
        <v>45841.290289351855</v>
      </c>
      <c r="C1059">
        <v>30002</v>
      </c>
      <c r="D1059" t="s">
        <v>7</v>
      </c>
      <c r="E1059" t="s">
        <v>140</v>
      </c>
      <c r="F1059" t="s">
        <v>19</v>
      </c>
    </row>
    <row r="1060" spans="1:6" hidden="1" outlineLevel="2">
      <c r="A1060" t="s">
        <v>6</v>
      </c>
      <c r="B1060" s="1">
        <v>45841.285277777781</v>
      </c>
      <c r="C1060">
        <v>30002</v>
      </c>
      <c r="D1060" t="s">
        <v>7</v>
      </c>
      <c r="E1060" t="s">
        <v>140</v>
      </c>
      <c r="F1060" t="s">
        <v>19</v>
      </c>
    </row>
    <row r="1061" spans="1:6" hidden="1" outlineLevel="2">
      <c r="A1061" t="s">
        <v>6</v>
      </c>
      <c r="B1061" s="1">
        <v>45841.26766203704</v>
      </c>
      <c r="C1061">
        <v>30002</v>
      </c>
      <c r="D1061" t="s">
        <v>7</v>
      </c>
      <c r="E1061" t="s">
        <v>140</v>
      </c>
      <c r="F1061" t="s">
        <v>19</v>
      </c>
    </row>
    <row r="1062" spans="1:6" hidden="1" outlineLevel="2">
      <c r="A1062" t="s">
        <v>6</v>
      </c>
      <c r="B1062" s="1">
        <v>45860.718368055554</v>
      </c>
      <c r="C1062">
        <v>30002</v>
      </c>
      <c r="D1062" t="s">
        <v>7</v>
      </c>
      <c r="E1062" t="s">
        <v>140</v>
      </c>
      <c r="F1062" t="s">
        <v>142</v>
      </c>
    </row>
    <row r="1063" spans="1:6" hidden="1" outlineLevel="2">
      <c r="A1063" t="s">
        <v>6</v>
      </c>
      <c r="B1063" s="1">
        <v>45853.566782407404</v>
      </c>
      <c r="C1063">
        <v>30002</v>
      </c>
      <c r="D1063" t="s">
        <v>7</v>
      </c>
      <c r="E1063" t="s">
        <v>140</v>
      </c>
      <c r="F1063" t="s">
        <v>24</v>
      </c>
    </row>
    <row r="1064" spans="1:6" hidden="1" outlineLevel="2">
      <c r="A1064" t="s">
        <v>6</v>
      </c>
      <c r="B1064" s="1">
        <v>45853.563425925924</v>
      </c>
      <c r="C1064">
        <v>30002</v>
      </c>
      <c r="D1064" t="s">
        <v>7</v>
      </c>
      <c r="E1064" t="s">
        <v>140</v>
      </c>
      <c r="F1064" t="s">
        <v>24</v>
      </c>
    </row>
    <row r="1065" spans="1:6" hidden="1" outlineLevel="2">
      <c r="A1065" t="s">
        <v>6</v>
      </c>
      <c r="B1065" s="1">
        <v>45859.427384259259</v>
      </c>
      <c r="C1065">
        <v>30002</v>
      </c>
      <c r="D1065" t="s">
        <v>7</v>
      </c>
      <c r="E1065" t="s">
        <v>140</v>
      </c>
      <c r="F1065" t="s">
        <v>25</v>
      </c>
    </row>
    <row r="1066" spans="1:6" hidden="1" outlineLevel="2">
      <c r="A1066" t="s">
        <v>6</v>
      </c>
      <c r="B1066" s="1">
        <v>45859.422349537039</v>
      </c>
      <c r="C1066">
        <v>30002</v>
      </c>
      <c r="D1066" t="s">
        <v>7</v>
      </c>
      <c r="E1066" t="s">
        <v>140</v>
      </c>
      <c r="F1066" t="s">
        <v>25</v>
      </c>
    </row>
    <row r="1067" spans="1:6" hidden="1" outlineLevel="2">
      <c r="A1067" t="s">
        <v>6</v>
      </c>
      <c r="B1067" s="1">
        <v>45859.421053240738</v>
      </c>
      <c r="C1067">
        <v>30002</v>
      </c>
      <c r="D1067" t="s">
        <v>7</v>
      </c>
      <c r="E1067" t="s">
        <v>140</v>
      </c>
      <c r="F1067" t="s">
        <v>25</v>
      </c>
    </row>
    <row r="1068" spans="1:6" hidden="1" outlineLevel="2">
      <c r="A1068" t="s">
        <v>6</v>
      </c>
      <c r="B1068" s="1">
        <v>45859.420983796299</v>
      </c>
      <c r="C1068">
        <v>30002</v>
      </c>
      <c r="D1068" t="s">
        <v>7</v>
      </c>
      <c r="E1068" t="s">
        <v>140</v>
      </c>
      <c r="F1068" t="s">
        <v>25</v>
      </c>
    </row>
    <row r="1069" spans="1:6" hidden="1" outlineLevel="2">
      <c r="A1069" t="s">
        <v>6</v>
      </c>
      <c r="B1069" s="1">
        <v>45859.420925925922</v>
      </c>
      <c r="C1069">
        <v>30002</v>
      </c>
      <c r="D1069" t="s">
        <v>7</v>
      </c>
      <c r="E1069" t="s">
        <v>140</v>
      </c>
      <c r="F1069" t="s">
        <v>25</v>
      </c>
    </row>
    <row r="1070" spans="1:6" hidden="1" outlineLevel="2">
      <c r="A1070" t="s">
        <v>6</v>
      </c>
      <c r="B1070" s="1">
        <v>45859.420752314814</v>
      </c>
      <c r="C1070">
        <v>30002</v>
      </c>
      <c r="D1070" t="s">
        <v>7</v>
      </c>
      <c r="E1070" t="s">
        <v>140</v>
      </c>
      <c r="F1070" t="s">
        <v>25</v>
      </c>
    </row>
    <row r="1071" spans="1:6" hidden="1" outlineLevel="2">
      <c r="A1071" t="s">
        <v>6</v>
      </c>
      <c r="B1071" s="1">
        <v>45859.420624999999</v>
      </c>
      <c r="C1071">
        <v>30002</v>
      </c>
      <c r="D1071" t="s">
        <v>7</v>
      </c>
      <c r="E1071" t="s">
        <v>140</v>
      </c>
      <c r="F1071" t="s">
        <v>25</v>
      </c>
    </row>
    <row r="1072" spans="1:6" outlineLevel="1" collapsed="1">
      <c r="B1072" s="1"/>
      <c r="E1072" s="2" t="s">
        <v>313</v>
      </c>
      <c r="F1072">
        <f>SUBTOTAL(3,F1030:F1071)</f>
        <v>42</v>
      </c>
    </row>
    <row r="1073" spans="1:6" hidden="1" outlineLevel="2">
      <c r="A1073" t="s">
        <v>6</v>
      </c>
      <c r="B1073" s="1">
        <v>45853.574861111112</v>
      </c>
      <c r="C1073">
        <v>30002</v>
      </c>
      <c r="D1073" t="s">
        <v>7</v>
      </c>
      <c r="E1073" t="s">
        <v>143</v>
      </c>
      <c r="F1073" t="s">
        <v>137</v>
      </c>
    </row>
    <row r="1074" spans="1:6" hidden="1" outlineLevel="2">
      <c r="A1074" t="s">
        <v>6</v>
      </c>
      <c r="B1074" s="1">
        <v>45863.63380787037</v>
      </c>
      <c r="C1074">
        <v>30002</v>
      </c>
      <c r="D1074" t="s">
        <v>7</v>
      </c>
      <c r="E1074" t="s">
        <v>143</v>
      </c>
      <c r="F1074" t="s">
        <v>102</v>
      </c>
    </row>
    <row r="1075" spans="1:6" hidden="1" outlineLevel="2">
      <c r="A1075" t="s">
        <v>6</v>
      </c>
      <c r="B1075" s="1">
        <v>45863.617476851854</v>
      </c>
      <c r="C1075">
        <v>30002</v>
      </c>
      <c r="D1075" t="s">
        <v>7</v>
      </c>
      <c r="E1075" t="s">
        <v>143</v>
      </c>
      <c r="F1075" t="s">
        <v>102</v>
      </c>
    </row>
    <row r="1076" spans="1:6" hidden="1" outlineLevel="2">
      <c r="A1076" t="s">
        <v>6</v>
      </c>
      <c r="B1076" s="1">
        <v>45856.602511574078</v>
      </c>
      <c r="C1076">
        <v>30002</v>
      </c>
      <c r="D1076" t="s">
        <v>7</v>
      </c>
      <c r="E1076" t="s">
        <v>143</v>
      </c>
      <c r="F1076" t="s">
        <v>102</v>
      </c>
    </row>
    <row r="1077" spans="1:6" hidden="1" outlineLevel="2">
      <c r="A1077" t="s">
        <v>6</v>
      </c>
      <c r="B1077" s="1">
        <v>45853.386319444442</v>
      </c>
      <c r="C1077">
        <v>30002</v>
      </c>
      <c r="D1077" t="s">
        <v>7</v>
      </c>
      <c r="E1077" t="s">
        <v>143</v>
      </c>
      <c r="F1077" t="s">
        <v>144</v>
      </c>
    </row>
    <row r="1078" spans="1:6" hidden="1" outlineLevel="2">
      <c r="A1078" t="s">
        <v>6</v>
      </c>
      <c r="B1078" s="1">
        <v>45853.383668981478</v>
      </c>
      <c r="C1078">
        <v>30002</v>
      </c>
      <c r="D1078" t="s">
        <v>7</v>
      </c>
      <c r="E1078" t="s">
        <v>143</v>
      </c>
      <c r="F1078" t="s">
        <v>144</v>
      </c>
    </row>
    <row r="1079" spans="1:6" hidden="1" outlineLevel="2">
      <c r="A1079" t="s">
        <v>6</v>
      </c>
      <c r="B1079" s="1">
        <v>45853.381886574076</v>
      </c>
      <c r="C1079">
        <v>30002</v>
      </c>
      <c r="D1079" t="s">
        <v>7</v>
      </c>
      <c r="E1079" t="s">
        <v>143</v>
      </c>
      <c r="F1079" t="s">
        <v>144</v>
      </c>
    </row>
    <row r="1080" spans="1:6" hidden="1" outlineLevel="2">
      <c r="A1080" t="s">
        <v>6</v>
      </c>
      <c r="B1080" s="1">
        <v>45853.38177083333</v>
      </c>
      <c r="C1080">
        <v>30002</v>
      </c>
      <c r="D1080" t="s">
        <v>7</v>
      </c>
      <c r="E1080" t="s">
        <v>143</v>
      </c>
      <c r="F1080" t="s">
        <v>144</v>
      </c>
    </row>
    <row r="1081" spans="1:6" hidden="1" outlineLevel="2">
      <c r="A1081" t="s">
        <v>6</v>
      </c>
      <c r="B1081" s="1">
        <v>45853.373923611114</v>
      </c>
      <c r="C1081">
        <v>30002</v>
      </c>
      <c r="D1081" t="s">
        <v>7</v>
      </c>
      <c r="E1081" t="s">
        <v>143</v>
      </c>
      <c r="F1081" t="s">
        <v>144</v>
      </c>
    </row>
    <row r="1082" spans="1:6" hidden="1" outlineLevel="2">
      <c r="A1082" t="s">
        <v>6</v>
      </c>
      <c r="B1082" s="1">
        <v>45859.601944444446</v>
      </c>
      <c r="C1082">
        <v>30002</v>
      </c>
      <c r="D1082" t="s">
        <v>7</v>
      </c>
      <c r="E1082" t="s">
        <v>143</v>
      </c>
      <c r="F1082" t="s">
        <v>42</v>
      </c>
    </row>
    <row r="1083" spans="1:6" hidden="1" outlineLevel="2">
      <c r="A1083" t="s">
        <v>6</v>
      </c>
      <c r="B1083" s="1">
        <v>45859.601875</v>
      </c>
      <c r="C1083">
        <v>30002</v>
      </c>
      <c r="D1083" t="s">
        <v>7</v>
      </c>
      <c r="E1083" t="s">
        <v>143</v>
      </c>
      <c r="F1083" t="s">
        <v>42</v>
      </c>
    </row>
    <row r="1084" spans="1:6" hidden="1" outlineLevel="2">
      <c r="A1084" t="s">
        <v>6</v>
      </c>
      <c r="B1084" s="1">
        <v>45855.783159722225</v>
      </c>
      <c r="C1084">
        <v>30002</v>
      </c>
      <c r="D1084" t="s">
        <v>7</v>
      </c>
      <c r="E1084" t="s">
        <v>143</v>
      </c>
      <c r="F1084" t="s">
        <v>42</v>
      </c>
    </row>
    <row r="1085" spans="1:6" hidden="1" outlineLevel="2">
      <c r="A1085" t="s">
        <v>6</v>
      </c>
      <c r="B1085" s="1">
        <v>45855.782905092594</v>
      </c>
      <c r="C1085">
        <v>30002</v>
      </c>
      <c r="D1085" t="s">
        <v>7</v>
      </c>
      <c r="E1085" t="s">
        <v>143</v>
      </c>
      <c r="F1085" t="s">
        <v>42</v>
      </c>
    </row>
    <row r="1086" spans="1:6" hidden="1" outlineLevel="2">
      <c r="A1086" t="s">
        <v>6</v>
      </c>
      <c r="B1086" s="1">
        <v>45854.423379629632</v>
      </c>
      <c r="C1086">
        <v>30002</v>
      </c>
      <c r="D1086" t="s">
        <v>7</v>
      </c>
      <c r="E1086" t="s">
        <v>143</v>
      </c>
      <c r="F1086" t="s">
        <v>42</v>
      </c>
    </row>
    <row r="1087" spans="1:6" hidden="1" outlineLevel="2">
      <c r="A1087" t="s">
        <v>6</v>
      </c>
      <c r="B1087" s="1">
        <v>45848.361678240741</v>
      </c>
      <c r="C1087">
        <v>30002</v>
      </c>
      <c r="D1087" t="s">
        <v>7</v>
      </c>
      <c r="E1087" t="s">
        <v>143</v>
      </c>
      <c r="F1087" t="s">
        <v>42</v>
      </c>
    </row>
    <row r="1088" spans="1:6" hidden="1" outlineLevel="2">
      <c r="A1088" t="s">
        <v>6</v>
      </c>
      <c r="B1088" s="1">
        <v>45848.345092592594</v>
      </c>
      <c r="C1088">
        <v>30002</v>
      </c>
      <c r="D1088" t="s">
        <v>7</v>
      </c>
      <c r="E1088" t="s">
        <v>143</v>
      </c>
      <c r="F1088" t="s">
        <v>42</v>
      </c>
    </row>
    <row r="1089" spans="1:6" hidden="1" outlineLevel="2">
      <c r="A1089" t="s">
        <v>6</v>
      </c>
      <c r="B1089" s="1">
        <v>45846.444467592592</v>
      </c>
      <c r="C1089">
        <v>30002</v>
      </c>
      <c r="D1089" t="s">
        <v>7</v>
      </c>
      <c r="E1089" t="s">
        <v>143</v>
      </c>
      <c r="F1089" t="s">
        <v>42</v>
      </c>
    </row>
    <row r="1090" spans="1:6" hidden="1" outlineLevel="2">
      <c r="A1090" t="s">
        <v>6</v>
      </c>
      <c r="B1090" s="1">
        <v>45867.551388888889</v>
      </c>
      <c r="C1090">
        <v>30002</v>
      </c>
      <c r="D1090" t="s">
        <v>7</v>
      </c>
      <c r="E1090" t="s">
        <v>143</v>
      </c>
      <c r="F1090" t="s">
        <v>13</v>
      </c>
    </row>
    <row r="1091" spans="1:6" hidden="1" outlineLevel="2">
      <c r="A1091" t="s">
        <v>6</v>
      </c>
      <c r="B1091" s="1">
        <v>45867.47079861111</v>
      </c>
      <c r="C1091">
        <v>30002</v>
      </c>
      <c r="D1091" t="s">
        <v>7</v>
      </c>
      <c r="E1091" t="s">
        <v>143</v>
      </c>
      <c r="F1091" t="s">
        <v>13</v>
      </c>
    </row>
    <row r="1092" spans="1:6" hidden="1" outlineLevel="2">
      <c r="A1092" t="s">
        <v>6</v>
      </c>
      <c r="B1092" s="1">
        <v>45861.450555555559</v>
      </c>
      <c r="C1092">
        <v>30002</v>
      </c>
      <c r="D1092" t="s">
        <v>7</v>
      </c>
      <c r="E1092" t="s">
        <v>143</v>
      </c>
      <c r="F1092" t="s">
        <v>13</v>
      </c>
    </row>
    <row r="1093" spans="1:6" hidden="1" outlineLevel="2">
      <c r="A1093" t="s">
        <v>6</v>
      </c>
      <c r="B1093" s="1">
        <v>45852.626527777778</v>
      </c>
      <c r="C1093">
        <v>30002</v>
      </c>
      <c r="D1093" t="s">
        <v>7</v>
      </c>
      <c r="E1093" t="s">
        <v>143</v>
      </c>
      <c r="F1093" t="s">
        <v>13</v>
      </c>
    </row>
    <row r="1094" spans="1:6" hidden="1" outlineLevel="2">
      <c r="A1094" t="s">
        <v>6</v>
      </c>
      <c r="B1094" s="1">
        <v>45848.527071759258</v>
      </c>
      <c r="C1094">
        <v>30002</v>
      </c>
      <c r="D1094" t="s">
        <v>7</v>
      </c>
      <c r="E1094" t="s">
        <v>143</v>
      </c>
      <c r="F1094" t="s">
        <v>13</v>
      </c>
    </row>
    <row r="1095" spans="1:6" hidden="1" outlineLevel="2">
      <c r="A1095" t="s">
        <v>6</v>
      </c>
      <c r="B1095" s="1">
        <v>45848.522245370368</v>
      </c>
      <c r="C1095">
        <v>30002</v>
      </c>
      <c r="D1095" t="s">
        <v>7</v>
      </c>
      <c r="E1095" t="s">
        <v>143</v>
      </c>
      <c r="F1095" t="s">
        <v>13</v>
      </c>
    </row>
    <row r="1096" spans="1:6" hidden="1" outlineLevel="2">
      <c r="A1096" t="s">
        <v>6</v>
      </c>
      <c r="B1096" s="1">
        <v>45848.520208333335</v>
      </c>
      <c r="C1096">
        <v>30002</v>
      </c>
      <c r="D1096" t="s">
        <v>7</v>
      </c>
      <c r="E1096" t="s">
        <v>143</v>
      </c>
      <c r="F1096" t="s">
        <v>13</v>
      </c>
    </row>
    <row r="1097" spans="1:6" hidden="1" outlineLevel="2">
      <c r="A1097" t="s">
        <v>6</v>
      </c>
      <c r="B1097" s="1">
        <v>45848.516562500001</v>
      </c>
      <c r="C1097">
        <v>30002</v>
      </c>
      <c r="D1097" t="s">
        <v>7</v>
      </c>
      <c r="E1097" t="s">
        <v>143</v>
      </c>
      <c r="F1097" t="s">
        <v>13</v>
      </c>
    </row>
    <row r="1098" spans="1:6" hidden="1" outlineLevel="2">
      <c r="A1098" t="s">
        <v>6</v>
      </c>
      <c r="B1098" s="1">
        <v>45848.513912037037</v>
      </c>
      <c r="C1098">
        <v>30002</v>
      </c>
      <c r="D1098" t="s">
        <v>7</v>
      </c>
      <c r="E1098" t="s">
        <v>143</v>
      </c>
      <c r="F1098" t="s">
        <v>13</v>
      </c>
    </row>
    <row r="1099" spans="1:6" hidden="1" outlineLevel="2">
      <c r="A1099" t="s">
        <v>6</v>
      </c>
      <c r="B1099" s="1">
        <v>45848.508194444446</v>
      </c>
      <c r="C1099">
        <v>30002</v>
      </c>
      <c r="D1099" t="s">
        <v>7</v>
      </c>
      <c r="E1099" t="s">
        <v>143</v>
      </c>
      <c r="F1099" t="s">
        <v>13</v>
      </c>
    </row>
    <row r="1100" spans="1:6" hidden="1" outlineLevel="2">
      <c r="A1100" t="s">
        <v>6</v>
      </c>
      <c r="B1100" s="1">
        <v>45859.38082175926</v>
      </c>
      <c r="C1100">
        <v>30002</v>
      </c>
      <c r="D1100" t="s">
        <v>7</v>
      </c>
      <c r="E1100" t="s">
        <v>143</v>
      </c>
      <c r="F1100" t="s">
        <v>18</v>
      </c>
    </row>
    <row r="1101" spans="1:6" hidden="1" outlineLevel="2">
      <c r="A1101" t="s">
        <v>6</v>
      </c>
      <c r="B1101" s="1">
        <v>45859.369305555556</v>
      </c>
      <c r="C1101">
        <v>30002</v>
      </c>
      <c r="D1101" t="s">
        <v>7</v>
      </c>
      <c r="E1101" t="s">
        <v>143</v>
      </c>
      <c r="F1101" t="s">
        <v>18</v>
      </c>
    </row>
    <row r="1102" spans="1:6" hidden="1" outlineLevel="2">
      <c r="A1102" t="s">
        <v>6</v>
      </c>
      <c r="B1102" s="1">
        <v>45853.370937500003</v>
      </c>
      <c r="C1102">
        <v>30002</v>
      </c>
      <c r="D1102" t="s">
        <v>7</v>
      </c>
      <c r="E1102" t="s">
        <v>143</v>
      </c>
      <c r="F1102" t="s">
        <v>18</v>
      </c>
    </row>
    <row r="1103" spans="1:6" hidden="1" outlineLevel="2">
      <c r="A1103" t="s">
        <v>6</v>
      </c>
      <c r="B1103" s="1">
        <v>45852.356180555558</v>
      </c>
      <c r="C1103">
        <v>30002</v>
      </c>
      <c r="D1103" t="s">
        <v>7</v>
      </c>
      <c r="E1103" t="s">
        <v>143</v>
      </c>
      <c r="F1103" t="s">
        <v>18</v>
      </c>
    </row>
    <row r="1104" spans="1:6" hidden="1" outlineLevel="2">
      <c r="A1104" t="s">
        <v>6</v>
      </c>
      <c r="B1104" s="1">
        <v>45852.348344907405</v>
      </c>
      <c r="C1104">
        <v>30002</v>
      </c>
      <c r="D1104" t="s">
        <v>7</v>
      </c>
      <c r="E1104" t="s">
        <v>143</v>
      </c>
      <c r="F1104" t="s">
        <v>18</v>
      </c>
    </row>
    <row r="1105" spans="1:6" hidden="1" outlineLevel="2">
      <c r="A1105" t="s">
        <v>6</v>
      </c>
      <c r="B1105" s="1">
        <v>45852.3437962963</v>
      </c>
      <c r="C1105">
        <v>30002</v>
      </c>
      <c r="D1105" t="s">
        <v>7</v>
      </c>
      <c r="E1105" t="s">
        <v>143</v>
      </c>
      <c r="F1105" t="s">
        <v>18</v>
      </c>
    </row>
    <row r="1106" spans="1:6" hidden="1" outlineLevel="2">
      <c r="A1106" t="s">
        <v>6</v>
      </c>
      <c r="B1106" s="1">
        <v>45848.379629629628</v>
      </c>
      <c r="C1106">
        <v>30002</v>
      </c>
      <c r="D1106" t="s">
        <v>7</v>
      </c>
      <c r="E1106" t="s">
        <v>143</v>
      </c>
      <c r="F1106" t="s">
        <v>18</v>
      </c>
    </row>
    <row r="1107" spans="1:6" hidden="1" outlineLevel="2">
      <c r="A1107" t="s">
        <v>6</v>
      </c>
      <c r="B1107" s="1">
        <v>45848.378240740742</v>
      </c>
      <c r="C1107">
        <v>30002</v>
      </c>
      <c r="D1107" t="s">
        <v>7</v>
      </c>
      <c r="E1107" t="s">
        <v>143</v>
      </c>
      <c r="F1107" t="s">
        <v>18</v>
      </c>
    </row>
    <row r="1108" spans="1:6" hidden="1" outlineLevel="2">
      <c r="A1108" t="s">
        <v>6</v>
      </c>
      <c r="B1108" s="1">
        <v>45848.375833333332</v>
      </c>
      <c r="C1108">
        <v>30002</v>
      </c>
      <c r="D1108" t="s">
        <v>7</v>
      </c>
      <c r="E1108" t="s">
        <v>143</v>
      </c>
      <c r="F1108" t="s">
        <v>18</v>
      </c>
    </row>
    <row r="1109" spans="1:6" hidden="1" outlineLevel="2">
      <c r="A1109" t="s">
        <v>6</v>
      </c>
      <c r="B1109" s="1">
        <v>45848.374606481484</v>
      </c>
      <c r="C1109">
        <v>30002</v>
      </c>
      <c r="D1109" t="s">
        <v>7</v>
      </c>
      <c r="E1109" t="s">
        <v>143</v>
      </c>
      <c r="F1109" t="s">
        <v>18</v>
      </c>
    </row>
    <row r="1110" spans="1:6" hidden="1" outlineLevel="2">
      <c r="A1110" t="s">
        <v>6</v>
      </c>
      <c r="B1110" s="1">
        <v>45848.371828703705</v>
      </c>
      <c r="C1110">
        <v>30002</v>
      </c>
      <c r="D1110" t="s">
        <v>7</v>
      </c>
      <c r="E1110" t="s">
        <v>143</v>
      </c>
      <c r="F1110" t="s">
        <v>18</v>
      </c>
    </row>
    <row r="1111" spans="1:6" hidden="1" outlineLevel="2">
      <c r="A1111" t="s">
        <v>6</v>
      </c>
      <c r="B1111" s="1">
        <v>45848.371377314812</v>
      </c>
      <c r="C1111">
        <v>30002</v>
      </c>
      <c r="D1111" t="s">
        <v>7</v>
      </c>
      <c r="E1111" t="s">
        <v>143</v>
      </c>
      <c r="F1111" t="s">
        <v>18</v>
      </c>
    </row>
    <row r="1112" spans="1:6" hidden="1" outlineLevel="2">
      <c r="A1112" t="s">
        <v>6</v>
      </c>
      <c r="B1112" s="1">
        <v>45845.469004629631</v>
      </c>
      <c r="C1112">
        <v>30002</v>
      </c>
      <c r="D1112" t="s">
        <v>7</v>
      </c>
      <c r="E1112" t="s">
        <v>143</v>
      </c>
      <c r="F1112" t="s">
        <v>18</v>
      </c>
    </row>
    <row r="1113" spans="1:6" hidden="1" outlineLevel="2">
      <c r="A1113" t="s">
        <v>6</v>
      </c>
      <c r="B1113" s="1">
        <v>45845.456365740742</v>
      </c>
      <c r="C1113">
        <v>30002</v>
      </c>
      <c r="D1113" t="s">
        <v>7</v>
      </c>
      <c r="E1113" t="s">
        <v>143</v>
      </c>
      <c r="F1113" t="s">
        <v>18</v>
      </c>
    </row>
    <row r="1114" spans="1:6" hidden="1" outlineLevel="2">
      <c r="A1114" t="s">
        <v>6</v>
      </c>
      <c r="B1114" s="1">
        <v>45844.385057870371</v>
      </c>
      <c r="C1114">
        <v>30002</v>
      </c>
      <c r="D1114" t="s">
        <v>7</v>
      </c>
      <c r="E1114" t="s">
        <v>143</v>
      </c>
      <c r="F1114" t="s">
        <v>18</v>
      </c>
    </row>
    <row r="1115" spans="1:6" hidden="1" outlineLevel="2">
      <c r="A1115" t="s">
        <v>6</v>
      </c>
      <c r="B1115" s="1">
        <v>45844.381898148145</v>
      </c>
      <c r="C1115">
        <v>30002</v>
      </c>
      <c r="D1115" t="s">
        <v>7</v>
      </c>
      <c r="E1115" t="s">
        <v>143</v>
      </c>
      <c r="F1115" t="s">
        <v>18</v>
      </c>
    </row>
    <row r="1116" spans="1:6" hidden="1" outlineLevel="2">
      <c r="A1116" t="s">
        <v>6</v>
      </c>
      <c r="B1116" s="1">
        <v>45839.629513888889</v>
      </c>
      <c r="C1116">
        <v>30002</v>
      </c>
      <c r="D1116" t="s">
        <v>7</v>
      </c>
      <c r="E1116" t="s">
        <v>143</v>
      </c>
      <c r="F1116" t="s">
        <v>145</v>
      </c>
    </row>
    <row r="1117" spans="1:6" hidden="1" outlineLevel="2">
      <c r="A1117" t="s">
        <v>6</v>
      </c>
      <c r="B1117" s="1">
        <v>45839.620578703703</v>
      </c>
      <c r="C1117">
        <v>30002</v>
      </c>
      <c r="D1117" t="s">
        <v>7</v>
      </c>
      <c r="E1117" t="s">
        <v>143</v>
      </c>
      <c r="F1117" t="s">
        <v>145</v>
      </c>
    </row>
    <row r="1118" spans="1:6" hidden="1" outlineLevel="2">
      <c r="A1118" t="s">
        <v>6</v>
      </c>
      <c r="B1118" s="1">
        <v>45839.360081018516</v>
      </c>
      <c r="C1118">
        <v>30002</v>
      </c>
      <c r="D1118" t="s">
        <v>7</v>
      </c>
      <c r="E1118" t="s">
        <v>143</v>
      </c>
      <c r="F1118" t="s">
        <v>121</v>
      </c>
    </row>
    <row r="1119" spans="1:6" hidden="1" outlineLevel="2">
      <c r="A1119" t="s">
        <v>6</v>
      </c>
      <c r="B1119" s="1">
        <v>45847.425509259258</v>
      </c>
      <c r="C1119">
        <v>30002</v>
      </c>
      <c r="D1119" t="s">
        <v>7</v>
      </c>
      <c r="E1119" t="s">
        <v>143</v>
      </c>
      <c r="F1119" t="s">
        <v>103</v>
      </c>
    </row>
    <row r="1120" spans="1:6" hidden="1" outlineLevel="2">
      <c r="A1120" t="s">
        <v>6</v>
      </c>
      <c r="B1120" s="1">
        <v>45844.428414351853</v>
      </c>
      <c r="C1120">
        <v>30002</v>
      </c>
      <c r="D1120" t="s">
        <v>7</v>
      </c>
      <c r="E1120" t="s">
        <v>143</v>
      </c>
      <c r="F1120" t="s">
        <v>103</v>
      </c>
    </row>
    <row r="1121" spans="1:6" hidden="1" outlineLevel="2">
      <c r="A1121" t="s">
        <v>6</v>
      </c>
      <c r="B1121" s="1">
        <v>45839.480717592596</v>
      </c>
      <c r="C1121">
        <v>30002</v>
      </c>
      <c r="D1121" t="s">
        <v>7</v>
      </c>
      <c r="E1121" t="s">
        <v>143</v>
      </c>
      <c r="F1121" t="s">
        <v>103</v>
      </c>
    </row>
    <row r="1122" spans="1:6" hidden="1" outlineLevel="2">
      <c r="A1122" t="s">
        <v>6</v>
      </c>
      <c r="B1122" s="1">
        <v>45839.477199074077</v>
      </c>
      <c r="C1122">
        <v>30002</v>
      </c>
      <c r="D1122" t="s">
        <v>7</v>
      </c>
      <c r="E1122" t="s">
        <v>143</v>
      </c>
      <c r="F1122" t="s">
        <v>103</v>
      </c>
    </row>
    <row r="1123" spans="1:6" hidden="1" outlineLevel="2">
      <c r="A1123" t="s">
        <v>6</v>
      </c>
      <c r="B1123" s="1">
        <v>45839.469085648147</v>
      </c>
      <c r="C1123">
        <v>30002</v>
      </c>
      <c r="D1123" t="s">
        <v>7</v>
      </c>
      <c r="E1123" t="s">
        <v>143</v>
      </c>
      <c r="F1123" t="s">
        <v>103</v>
      </c>
    </row>
    <row r="1124" spans="1:6" hidden="1" outlineLevel="2">
      <c r="A1124" t="s">
        <v>6</v>
      </c>
      <c r="B1124" s="1">
        <v>45839.467916666668</v>
      </c>
      <c r="C1124">
        <v>30002</v>
      </c>
      <c r="D1124" t="s">
        <v>7</v>
      </c>
      <c r="E1124" t="s">
        <v>143</v>
      </c>
      <c r="F1124" t="s">
        <v>103</v>
      </c>
    </row>
    <row r="1125" spans="1:6" hidden="1" outlineLevel="2">
      <c r="A1125" t="s">
        <v>6</v>
      </c>
      <c r="B1125" s="1">
        <v>45839.466377314813</v>
      </c>
      <c r="C1125">
        <v>30002</v>
      </c>
      <c r="D1125" t="s">
        <v>7</v>
      </c>
      <c r="E1125" t="s">
        <v>143</v>
      </c>
      <c r="F1125" t="s">
        <v>103</v>
      </c>
    </row>
    <row r="1126" spans="1:6" hidden="1" outlineLevel="2">
      <c r="A1126" t="s">
        <v>6</v>
      </c>
      <c r="B1126" s="1">
        <v>45839.465879629628</v>
      </c>
      <c r="C1126">
        <v>30002</v>
      </c>
      <c r="D1126" t="s">
        <v>7</v>
      </c>
      <c r="E1126" t="s">
        <v>143</v>
      </c>
      <c r="F1126" t="s">
        <v>103</v>
      </c>
    </row>
    <row r="1127" spans="1:6" hidden="1" outlineLevel="2">
      <c r="A1127" t="s">
        <v>6</v>
      </c>
      <c r="B1127" s="1">
        <v>45839.465567129628</v>
      </c>
      <c r="C1127">
        <v>30002</v>
      </c>
      <c r="D1127" t="s">
        <v>7</v>
      </c>
      <c r="E1127" t="s">
        <v>143</v>
      </c>
      <c r="F1127" t="s">
        <v>103</v>
      </c>
    </row>
    <row r="1128" spans="1:6" hidden="1" outlineLevel="2">
      <c r="A1128" t="s">
        <v>6</v>
      </c>
      <c r="B1128" s="1">
        <v>45865.469872685186</v>
      </c>
      <c r="C1128">
        <v>30002</v>
      </c>
      <c r="D1128" t="s">
        <v>7</v>
      </c>
      <c r="E1128" t="s">
        <v>143</v>
      </c>
      <c r="F1128" t="s">
        <v>19</v>
      </c>
    </row>
    <row r="1129" spans="1:6" hidden="1" outlineLevel="2">
      <c r="A1129" t="s">
        <v>6</v>
      </c>
      <c r="B1129" s="1">
        <v>45860.267916666664</v>
      </c>
      <c r="C1129">
        <v>30002</v>
      </c>
      <c r="D1129" t="s">
        <v>7</v>
      </c>
      <c r="E1129" t="s">
        <v>143</v>
      </c>
      <c r="F1129" t="s">
        <v>19</v>
      </c>
    </row>
    <row r="1130" spans="1:6" hidden="1" outlineLevel="2">
      <c r="A1130" t="s">
        <v>6</v>
      </c>
      <c r="B1130" s="1">
        <v>45855.341249999998</v>
      </c>
      <c r="C1130">
        <v>30002</v>
      </c>
      <c r="D1130" t="s">
        <v>7</v>
      </c>
      <c r="E1130" t="s">
        <v>143</v>
      </c>
      <c r="F1130" t="s">
        <v>19</v>
      </c>
    </row>
    <row r="1131" spans="1:6" hidden="1" outlineLevel="2">
      <c r="A1131" t="s">
        <v>6</v>
      </c>
      <c r="B1131" s="1">
        <v>45855.336840277778</v>
      </c>
      <c r="C1131">
        <v>30002</v>
      </c>
      <c r="D1131" t="s">
        <v>7</v>
      </c>
      <c r="E1131" t="s">
        <v>143</v>
      </c>
      <c r="F1131" t="s">
        <v>19</v>
      </c>
    </row>
    <row r="1132" spans="1:6" hidden="1" outlineLevel="2">
      <c r="A1132" t="s">
        <v>6</v>
      </c>
      <c r="B1132" s="1">
        <v>45855.328553240739</v>
      </c>
      <c r="C1132">
        <v>30002</v>
      </c>
      <c r="D1132" t="s">
        <v>7</v>
      </c>
      <c r="E1132" t="s">
        <v>143</v>
      </c>
      <c r="F1132" t="s">
        <v>19</v>
      </c>
    </row>
    <row r="1133" spans="1:6" hidden="1" outlineLevel="2">
      <c r="A1133" t="s">
        <v>6</v>
      </c>
      <c r="B1133" s="1">
        <v>45853.309363425928</v>
      </c>
      <c r="C1133">
        <v>30002</v>
      </c>
      <c r="D1133" t="s">
        <v>7</v>
      </c>
      <c r="E1133" t="s">
        <v>143</v>
      </c>
      <c r="F1133" t="s">
        <v>19</v>
      </c>
    </row>
    <row r="1134" spans="1:6" hidden="1" outlineLevel="2">
      <c r="A1134" t="s">
        <v>6</v>
      </c>
      <c r="B1134" s="1">
        <v>45853.296261574076</v>
      </c>
      <c r="C1134">
        <v>30002</v>
      </c>
      <c r="D1134" t="s">
        <v>7</v>
      </c>
      <c r="E1134" t="s">
        <v>143</v>
      </c>
      <c r="F1134" t="s">
        <v>19</v>
      </c>
    </row>
    <row r="1135" spans="1:6" hidden="1" outlineLevel="2">
      <c r="A1135" t="s">
        <v>6</v>
      </c>
      <c r="B1135" s="1">
        <v>45846.321493055555</v>
      </c>
      <c r="C1135">
        <v>30002</v>
      </c>
      <c r="D1135" t="s">
        <v>7</v>
      </c>
      <c r="E1135" t="s">
        <v>143</v>
      </c>
      <c r="F1135" t="s">
        <v>19</v>
      </c>
    </row>
    <row r="1136" spans="1:6" hidden="1" outlineLevel="2">
      <c r="A1136" t="s">
        <v>6</v>
      </c>
      <c r="B1136" s="1">
        <v>45841.577569444446</v>
      </c>
      <c r="C1136">
        <v>30002</v>
      </c>
      <c r="D1136" t="s">
        <v>7</v>
      </c>
      <c r="E1136" t="s">
        <v>143</v>
      </c>
      <c r="F1136" t="s">
        <v>19</v>
      </c>
    </row>
    <row r="1137" spans="1:6" hidden="1" outlineLevel="2">
      <c r="A1137" t="s">
        <v>6</v>
      </c>
      <c r="B1137" s="1">
        <v>45841.575578703705</v>
      </c>
      <c r="C1137">
        <v>30002</v>
      </c>
      <c r="D1137" t="s">
        <v>7</v>
      </c>
      <c r="E1137" t="s">
        <v>143</v>
      </c>
      <c r="F1137" t="s">
        <v>19</v>
      </c>
    </row>
    <row r="1138" spans="1:6" hidden="1" outlineLevel="2">
      <c r="A1138" t="s">
        <v>6</v>
      </c>
      <c r="B1138" s="1">
        <v>45840.299583333333</v>
      </c>
      <c r="C1138">
        <v>30002</v>
      </c>
      <c r="D1138" t="s">
        <v>7</v>
      </c>
      <c r="E1138" t="s">
        <v>143</v>
      </c>
      <c r="F1138" t="s">
        <v>19</v>
      </c>
    </row>
    <row r="1139" spans="1:6" hidden="1" outlineLevel="2">
      <c r="A1139" t="s">
        <v>6</v>
      </c>
      <c r="B1139" s="1">
        <v>45840.285914351851</v>
      </c>
      <c r="C1139">
        <v>30002</v>
      </c>
      <c r="D1139" t="s">
        <v>7</v>
      </c>
      <c r="E1139" t="s">
        <v>143</v>
      </c>
      <c r="F1139" t="s">
        <v>19</v>
      </c>
    </row>
    <row r="1140" spans="1:6" hidden="1" outlineLevel="2">
      <c r="A1140" t="s">
        <v>6</v>
      </c>
      <c r="B1140" s="1">
        <v>45840.285636574074</v>
      </c>
      <c r="C1140">
        <v>30002</v>
      </c>
      <c r="D1140" t="s">
        <v>7</v>
      </c>
      <c r="E1140" t="s">
        <v>143</v>
      </c>
      <c r="F1140" t="s">
        <v>19</v>
      </c>
    </row>
    <row r="1141" spans="1:6" hidden="1" outlineLevel="2">
      <c r="A1141" t="s">
        <v>6</v>
      </c>
      <c r="B1141" s="1">
        <v>45840.285520833335</v>
      </c>
      <c r="C1141">
        <v>30002</v>
      </c>
      <c r="D1141" t="s">
        <v>7</v>
      </c>
      <c r="E1141" t="s">
        <v>143</v>
      </c>
      <c r="F1141" t="s">
        <v>19</v>
      </c>
    </row>
    <row r="1142" spans="1:6" hidden="1" outlineLevel="2">
      <c r="A1142" t="s">
        <v>6</v>
      </c>
      <c r="B1142" s="1">
        <v>45840.285370370373</v>
      </c>
      <c r="C1142">
        <v>30002</v>
      </c>
      <c r="D1142" t="s">
        <v>7</v>
      </c>
      <c r="E1142" t="s">
        <v>143</v>
      </c>
      <c r="F1142" t="s">
        <v>19</v>
      </c>
    </row>
    <row r="1143" spans="1:6" hidden="1" outlineLevel="2">
      <c r="A1143" t="s">
        <v>6</v>
      </c>
      <c r="B1143" s="1">
        <v>45849.414467592593</v>
      </c>
      <c r="C1143">
        <v>30002</v>
      </c>
      <c r="D1143" t="s">
        <v>7</v>
      </c>
      <c r="E1143" t="s">
        <v>143</v>
      </c>
      <c r="F1143" t="s">
        <v>15</v>
      </c>
    </row>
    <row r="1144" spans="1:6" hidden="1" outlineLevel="2">
      <c r="A1144" t="s">
        <v>6</v>
      </c>
      <c r="B1144" s="1">
        <v>45847.495740740742</v>
      </c>
      <c r="C1144">
        <v>30002</v>
      </c>
      <c r="D1144" t="s">
        <v>7</v>
      </c>
      <c r="E1144" t="s">
        <v>143</v>
      </c>
      <c r="F1144" t="s">
        <v>15</v>
      </c>
    </row>
    <row r="1145" spans="1:6" hidden="1" outlineLevel="2">
      <c r="A1145" t="s">
        <v>6</v>
      </c>
      <c r="B1145" s="1">
        <v>45847.426689814813</v>
      </c>
      <c r="C1145">
        <v>30002</v>
      </c>
      <c r="D1145" t="s">
        <v>7</v>
      </c>
      <c r="E1145" t="s">
        <v>143</v>
      </c>
      <c r="F1145" t="s">
        <v>15</v>
      </c>
    </row>
    <row r="1146" spans="1:6" hidden="1" outlineLevel="2">
      <c r="A1146" t="s">
        <v>6</v>
      </c>
      <c r="B1146" s="1">
        <v>45847.419594907406</v>
      </c>
      <c r="C1146">
        <v>30002</v>
      </c>
      <c r="D1146" t="s">
        <v>7</v>
      </c>
      <c r="E1146" t="s">
        <v>143</v>
      </c>
      <c r="F1146" t="s">
        <v>15</v>
      </c>
    </row>
    <row r="1147" spans="1:6" hidden="1" outlineLevel="2">
      <c r="A1147" t="s">
        <v>6</v>
      </c>
      <c r="B1147" s="1">
        <v>45845.555555555555</v>
      </c>
      <c r="C1147">
        <v>30002</v>
      </c>
      <c r="D1147" t="s">
        <v>7</v>
      </c>
      <c r="E1147" t="s">
        <v>143</v>
      </c>
      <c r="F1147" t="s">
        <v>15</v>
      </c>
    </row>
    <row r="1148" spans="1:6" hidden="1" outlineLevel="2">
      <c r="A1148" t="s">
        <v>6</v>
      </c>
      <c r="B1148" s="1">
        <v>45845.380844907406</v>
      </c>
      <c r="C1148">
        <v>30002</v>
      </c>
      <c r="D1148" t="s">
        <v>7</v>
      </c>
      <c r="E1148" t="s">
        <v>143</v>
      </c>
      <c r="F1148" t="s">
        <v>15</v>
      </c>
    </row>
    <row r="1149" spans="1:6" hidden="1" outlineLevel="2">
      <c r="A1149" t="s">
        <v>6</v>
      </c>
      <c r="B1149" s="1">
        <v>45845.37232638889</v>
      </c>
      <c r="C1149">
        <v>30002</v>
      </c>
      <c r="D1149" t="s">
        <v>7</v>
      </c>
      <c r="E1149" t="s">
        <v>143</v>
      </c>
      <c r="F1149" t="s">
        <v>15</v>
      </c>
    </row>
    <row r="1150" spans="1:6" hidden="1" outlineLevel="2">
      <c r="A1150" t="s">
        <v>6</v>
      </c>
      <c r="B1150" s="1">
        <v>45840.590509259258</v>
      </c>
      <c r="C1150">
        <v>30002</v>
      </c>
      <c r="D1150" t="s">
        <v>7</v>
      </c>
      <c r="E1150" t="s">
        <v>143</v>
      </c>
      <c r="F1150" t="s">
        <v>15</v>
      </c>
    </row>
    <row r="1151" spans="1:6" hidden="1" outlineLevel="2">
      <c r="A1151" t="s">
        <v>6</v>
      </c>
      <c r="B1151" s="1">
        <v>45862.651516203703</v>
      </c>
      <c r="C1151">
        <v>30002</v>
      </c>
      <c r="D1151" t="s">
        <v>7</v>
      </c>
      <c r="E1151" t="s">
        <v>143</v>
      </c>
      <c r="F1151" t="s">
        <v>36</v>
      </c>
    </row>
    <row r="1152" spans="1:6" hidden="1" outlineLevel="2">
      <c r="A1152" t="s">
        <v>6</v>
      </c>
      <c r="B1152" s="1">
        <v>45862.64770833333</v>
      </c>
      <c r="C1152">
        <v>30002</v>
      </c>
      <c r="D1152" t="s">
        <v>7</v>
      </c>
      <c r="E1152" t="s">
        <v>143</v>
      </c>
      <c r="F1152" t="s">
        <v>36</v>
      </c>
    </row>
    <row r="1153" spans="1:6" hidden="1" outlineLevel="2">
      <c r="A1153" t="s">
        <v>6</v>
      </c>
      <c r="B1153" s="1">
        <v>45862.642442129632</v>
      </c>
      <c r="C1153">
        <v>30002</v>
      </c>
      <c r="D1153" t="s">
        <v>7</v>
      </c>
      <c r="E1153" t="s">
        <v>143</v>
      </c>
      <c r="F1153" t="s">
        <v>36</v>
      </c>
    </row>
    <row r="1154" spans="1:6" hidden="1" outlineLevel="2">
      <c r="A1154" t="s">
        <v>6</v>
      </c>
      <c r="B1154" s="1">
        <v>45856.438506944447</v>
      </c>
      <c r="C1154">
        <v>30002</v>
      </c>
      <c r="D1154" t="s">
        <v>7</v>
      </c>
      <c r="E1154" t="s">
        <v>143</v>
      </c>
      <c r="F1154" t="s">
        <v>36</v>
      </c>
    </row>
    <row r="1155" spans="1:6" hidden="1" outlineLevel="2">
      <c r="A1155" t="s">
        <v>6</v>
      </c>
      <c r="B1155" s="1">
        <v>45853.548750000002</v>
      </c>
      <c r="C1155">
        <v>30002</v>
      </c>
      <c r="D1155" t="s">
        <v>7</v>
      </c>
      <c r="E1155" t="s">
        <v>143</v>
      </c>
      <c r="F1155" t="s">
        <v>36</v>
      </c>
    </row>
    <row r="1156" spans="1:6" hidden="1" outlineLevel="2">
      <c r="A1156" t="s">
        <v>6</v>
      </c>
      <c r="B1156" s="1">
        <v>45847.793900462966</v>
      </c>
      <c r="C1156">
        <v>30002</v>
      </c>
      <c r="D1156" t="s">
        <v>7</v>
      </c>
      <c r="E1156" t="s">
        <v>143</v>
      </c>
      <c r="F1156" t="s">
        <v>36</v>
      </c>
    </row>
    <row r="1157" spans="1:6" hidden="1" outlineLevel="2">
      <c r="A1157" t="s">
        <v>6</v>
      </c>
      <c r="B1157" s="1">
        <v>45847.786435185182</v>
      </c>
      <c r="C1157">
        <v>30002</v>
      </c>
      <c r="D1157" t="s">
        <v>7</v>
      </c>
      <c r="E1157" t="s">
        <v>143</v>
      </c>
      <c r="F1157" t="s">
        <v>36</v>
      </c>
    </row>
    <row r="1158" spans="1:6" hidden="1" outlineLevel="2">
      <c r="A1158" t="s">
        <v>6</v>
      </c>
      <c r="B1158" s="1">
        <v>45847.772499999999</v>
      </c>
      <c r="C1158">
        <v>30002</v>
      </c>
      <c r="D1158" t="s">
        <v>7</v>
      </c>
      <c r="E1158" t="s">
        <v>143</v>
      </c>
      <c r="F1158" t="s">
        <v>36</v>
      </c>
    </row>
    <row r="1159" spans="1:6" hidden="1" outlineLevel="2">
      <c r="A1159" t="s">
        <v>6</v>
      </c>
      <c r="B1159" s="1">
        <v>45847.445937500001</v>
      </c>
      <c r="C1159">
        <v>30002</v>
      </c>
      <c r="D1159" t="s">
        <v>7</v>
      </c>
      <c r="E1159" t="s">
        <v>143</v>
      </c>
      <c r="F1159" t="s">
        <v>36</v>
      </c>
    </row>
    <row r="1160" spans="1:6" hidden="1" outlineLevel="2">
      <c r="A1160" t="s">
        <v>6</v>
      </c>
      <c r="B1160" s="1">
        <v>45847.431273148148</v>
      </c>
      <c r="C1160">
        <v>30002</v>
      </c>
      <c r="D1160" t="s">
        <v>7</v>
      </c>
      <c r="E1160" t="s">
        <v>143</v>
      </c>
      <c r="F1160" t="s">
        <v>36</v>
      </c>
    </row>
    <row r="1161" spans="1:6" hidden="1" outlineLevel="2">
      <c r="A1161" t="s">
        <v>6</v>
      </c>
      <c r="B1161" s="1">
        <v>45845.623356481483</v>
      </c>
      <c r="C1161">
        <v>30002</v>
      </c>
      <c r="D1161" t="s">
        <v>7</v>
      </c>
      <c r="E1161" t="s">
        <v>143</v>
      </c>
      <c r="F1161" t="s">
        <v>36</v>
      </c>
    </row>
    <row r="1162" spans="1:6" hidden="1" outlineLevel="2">
      <c r="A1162" t="s">
        <v>6</v>
      </c>
      <c r="B1162" s="1">
        <v>45841.480254629627</v>
      </c>
      <c r="C1162">
        <v>30002</v>
      </c>
      <c r="D1162" t="s">
        <v>7</v>
      </c>
      <c r="E1162" t="s">
        <v>143</v>
      </c>
      <c r="F1162" t="s">
        <v>36</v>
      </c>
    </row>
    <row r="1163" spans="1:6" hidden="1" outlineLevel="2">
      <c r="A1163" t="s">
        <v>6</v>
      </c>
      <c r="B1163" s="1">
        <v>45841.4768287037</v>
      </c>
      <c r="C1163">
        <v>30002</v>
      </c>
      <c r="D1163" t="s">
        <v>7</v>
      </c>
      <c r="E1163" t="s">
        <v>143</v>
      </c>
      <c r="F1163" t="s">
        <v>36</v>
      </c>
    </row>
    <row r="1164" spans="1:6" hidden="1" outlineLevel="2">
      <c r="A1164" t="s">
        <v>6</v>
      </c>
      <c r="B1164" s="1">
        <v>45866.540543981479</v>
      </c>
      <c r="C1164">
        <v>30002</v>
      </c>
      <c r="D1164" t="s">
        <v>7</v>
      </c>
      <c r="E1164" t="s">
        <v>143</v>
      </c>
      <c r="F1164" t="s">
        <v>9</v>
      </c>
    </row>
    <row r="1165" spans="1:6" hidden="1" outlineLevel="2">
      <c r="A1165" t="s">
        <v>6</v>
      </c>
      <c r="B1165" s="1">
        <v>45864.760057870371</v>
      </c>
      <c r="C1165">
        <v>30002</v>
      </c>
      <c r="D1165" t="s">
        <v>7</v>
      </c>
      <c r="E1165" t="s">
        <v>143</v>
      </c>
      <c r="F1165" t="s">
        <v>9</v>
      </c>
    </row>
    <row r="1166" spans="1:6" hidden="1" outlineLevel="2">
      <c r="A1166" t="s">
        <v>6</v>
      </c>
      <c r="B1166" s="1">
        <v>45864.756643518522</v>
      </c>
      <c r="C1166">
        <v>30002</v>
      </c>
      <c r="D1166" t="s">
        <v>7</v>
      </c>
      <c r="E1166" t="s">
        <v>143</v>
      </c>
      <c r="F1166" t="s">
        <v>9</v>
      </c>
    </row>
    <row r="1167" spans="1:6" hidden="1" outlineLevel="2">
      <c r="A1167" t="s">
        <v>6</v>
      </c>
      <c r="B1167" s="1">
        <v>45862.397048611114</v>
      </c>
      <c r="C1167">
        <v>30002</v>
      </c>
      <c r="D1167" t="s">
        <v>7</v>
      </c>
      <c r="E1167" t="s">
        <v>143</v>
      </c>
      <c r="F1167" t="s">
        <v>9</v>
      </c>
    </row>
    <row r="1168" spans="1:6" hidden="1" outlineLevel="2">
      <c r="A1168" t="s">
        <v>6</v>
      </c>
      <c r="B1168" s="1">
        <v>45862.391261574077</v>
      </c>
      <c r="C1168">
        <v>30002</v>
      </c>
      <c r="D1168" t="s">
        <v>7</v>
      </c>
      <c r="E1168" t="s">
        <v>143</v>
      </c>
      <c r="F1168" t="s">
        <v>9</v>
      </c>
    </row>
    <row r="1169" spans="1:6" hidden="1" outlineLevel="2">
      <c r="A1169" t="s">
        <v>6</v>
      </c>
      <c r="B1169" s="1">
        <v>45862.385891203703</v>
      </c>
      <c r="C1169">
        <v>30002</v>
      </c>
      <c r="D1169" t="s">
        <v>7</v>
      </c>
      <c r="E1169" t="s">
        <v>143</v>
      </c>
      <c r="F1169" t="s">
        <v>9</v>
      </c>
    </row>
    <row r="1170" spans="1:6" hidden="1" outlineLevel="2">
      <c r="A1170" t="s">
        <v>6</v>
      </c>
      <c r="B1170" s="1">
        <v>45862.38559027778</v>
      </c>
      <c r="C1170">
        <v>30002</v>
      </c>
      <c r="D1170" t="s">
        <v>7</v>
      </c>
      <c r="E1170" t="s">
        <v>143</v>
      </c>
      <c r="F1170" t="s">
        <v>9</v>
      </c>
    </row>
    <row r="1171" spans="1:6" hidden="1" outlineLevel="2">
      <c r="A1171" t="s">
        <v>6</v>
      </c>
      <c r="B1171" s="1">
        <v>45862.381354166668</v>
      </c>
      <c r="C1171">
        <v>30002</v>
      </c>
      <c r="D1171" t="s">
        <v>7</v>
      </c>
      <c r="E1171" t="s">
        <v>143</v>
      </c>
      <c r="F1171" t="s">
        <v>9</v>
      </c>
    </row>
    <row r="1172" spans="1:6" hidden="1" outlineLevel="2">
      <c r="A1172" t="s">
        <v>6</v>
      </c>
      <c r="B1172" s="1">
        <v>45862.374432870369</v>
      </c>
      <c r="C1172">
        <v>30002</v>
      </c>
      <c r="D1172" t="s">
        <v>7</v>
      </c>
      <c r="E1172" t="s">
        <v>143</v>
      </c>
      <c r="F1172" t="s">
        <v>9</v>
      </c>
    </row>
    <row r="1173" spans="1:6" hidden="1" outlineLevel="2">
      <c r="A1173" t="s">
        <v>6</v>
      </c>
      <c r="B1173" s="1">
        <v>45862.370682870373</v>
      </c>
      <c r="C1173">
        <v>30002</v>
      </c>
      <c r="D1173" t="s">
        <v>7</v>
      </c>
      <c r="E1173" t="s">
        <v>143</v>
      </c>
      <c r="F1173" t="s">
        <v>9</v>
      </c>
    </row>
    <row r="1174" spans="1:6" hidden="1" outlineLevel="2">
      <c r="A1174" t="s">
        <v>6</v>
      </c>
      <c r="B1174" s="1">
        <v>45862.368032407408</v>
      </c>
      <c r="C1174">
        <v>30002</v>
      </c>
      <c r="D1174" t="s">
        <v>7</v>
      </c>
      <c r="E1174" t="s">
        <v>143</v>
      </c>
      <c r="F1174" t="s">
        <v>9</v>
      </c>
    </row>
    <row r="1175" spans="1:6" hidden="1" outlineLevel="2">
      <c r="A1175" t="s">
        <v>6</v>
      </c>
      <c r="B1175" s="1">
        <v>45862.366249999999</v>
      </c>
      <c r="C1175">
        <v>30002</v>
      </c>
      <c r="D1175" t="s">
        <v>7</v>
      </c>
      <c r="E1175" t="s">
        <v>143</v>
      </c>
      <c r="F1175" t="s">
        <v>9</v>
      </c>
    </row>
    <row r="1176" spans="1:6" hidden="1" outlineLevel="2">
      <c r="A1176" t="s">
        <v>6</v>
      </c>
      <c r="B1176" s="1">
        <v>45862.364664351851</v>
      </c>
      <c r="C1176">
        <v>30002</v>
      </c>
      <c r="D1176" t="s">
        <v>7</v>
      </c>
      <c r="E1176" t="s">
        <v>143</v>
      </c>
      <c r="F1176" t="s">
        <v>9</v>
      </c>
    </row>
    <row r="1177" spans="1:6" hidden="1" outlineLevel="2">
      <c r="A1177" t="s">
        <v>6</v>
      </c>
      <c r="B1177" s="1">
        <v>45862.364212962966</v>
      </c>
      <c r="C1177">
        <v>30002</v>
      </c>
      <c r="D1177" t="s">
        <v>7</v>
      </c>
      <c r="E1177" t="s">
        <v>143</v>
      </c>
      <c r="F1177" t="s">
        <v>9</v>
      </c>
    </row>
    <row r="1178" spans="1:6" hidden="1" outlineLevel="2">
      <c r="A1178" t="s">
        <v>6</v>
      </c>
      <c r="B1178" s="1">
        <v>45862.363518518519</v>
      </c>
      <c r="C1178">
        <v>30002</v>
      </c>
      <c r="D1178" t="s">
        <v>7</v>
      </c>
      <c r="E1178" t="s">
        <v>143</v>
      </c>
      <c r="F1178" t="s">
        <v>9</v>
      </c>
    </row>
    <row r="1179" spans="1:6" hidden="1" outlineLevel="2">
      <c r="A1179" t="s">
        <v>6</v>
      </c>
      <c r="B1179" s="1">
        <v>45860.677025462966</v>
      </c>
      <c r="C1179">
        <v>30002</v>
      </c>
      <c r="D1179" t="s">
        <v>7</v>
      </c>
      <c r="E1179" t="s">
        <v>143</v>
      </c>
      <c r="F1179" t="s">
        <v>9</v>
      </c>
    </row>
    <row r="1180" spans="1:6" hidden="1" outlineLevel="2">
      <c r="A1180" t="s">
        <v>6</v>
      </c>
      <c r="B1180" s="1">
        <v>45860.676655092589</v>
      </c>
      <c r="C1180">
        <v>30002</v>
      </c>
      <c r="D1180" t="s">
        <v>7</v>
      </c>
      <c r="E1180" t="s">
        <v>143</v>
      </c>
      <c r="F1180" t="s">
        <v>9</v>
      </c>
    </row>
    <row r="1181" spans="1:6" hidden="1" outlineLevel="2">
      <c r="A1181" t="s">
        <v>6</v>
      </c>
      <c r="B1181" s="1">
        <v>45860.672048611108</v>
      </c>
      <c r="C1181">
        <v>30002</v>
      </c>
      <c r="D1181" t="s">
        <v>7</v>
      </c>
      <c r="E1181" t="s">
        <v>143</v>
      </c>
      <c r="F1181" t="s">
        <v>9</v>
      </c>
    </row>
    <row r="1182" spans="1:6" hidden="1" outlineLevel="2">
      <c r="A1182" t="s">
        <v>6</v>
      </c>
      <c r="B1182" s="1">
        <v>45860.669606481482</v>
      </c>
      <c r="C1182">
        <v>30002</v>
      </c>
      <c r="D1182" t="s">
        <v>7</v>
      </c>
      <c r="E1182" t="s">
        <v>143</v>
      </c>
      <c r="F1182" t="s">
        <v>9</v>
      </c>
    </row>
    <row r="1183" spans="1:6" hidden="1" outlineLevel="2">
      <c r="A1183" t="s">
        <v>6</v>
      </c>
      <c r="B1183" s="1">
        <v>45860.667372685188</v>
      </c>
      <c r="C1183">
        <v>30002</v>
      </c>
      <c r="D1183" t="s">
        <v>7</v>
      </c>
      <c r="E1183" t="s">
        <v>143</v>
      </c>
      <c r="F1183" t="s">
        <v>9</v>
      </c>
    </row>
    <row r="1184" spans="1:6" hidden="1" outlineLevel="2">
      <c r="A1184" t="s">
        <v>6</v>
      </c>
      <c r="B1184" s="1">
        <v>45860.664814814816</v>
      </c>
      <c r="C1184">
        <v>30002</v>
      </c>
      <c r="D1184" t="s">
        <v>7</v>
      </c>
      <c r="E1184" t="s">
        <v>143</v>
      </c>
      <c r="F1184" t="s">
        <v>9</v>
      </c>
    </row>
    <row r="1185" spans="1:6" hidden="1" outlineLevel="2">
      <c r="A1185" t="s">
        <v>6</v>
      </c>
      <c r="B1185" s="1">
        <v>45860.660960648151</v>
      </c>
      <c r="C1185">
        <v>30002</v>
      </c>
      <c r="D1185" t="s">
        <v>7</v>
      </c>
      <c r="E1185" t="s">
        <v>143</v>
      </c>
      <c r="F1185" t="s">
        <v>9</v>
      </c>
    </row>
    <row r="1186" spans="1:6" hidden="1" outlineLevel="2">
      <c r="A1186" t="s">
        <v>6</v>
      </c>
      <c r="B1186" s="1">
        <v>45860.65996527778</v>
      </c>
      <c r="C1186">
        <v>30002</v>
      </c>
      <c r="D1186" t="s">
        <v>7</v>
      </c>
      <c r="E1186" t="s">
        <v>143</v>
      </c>
      <c r="F1186" t="s">
        <v>9</v>
      </c>
    </row>
    <row r="1187" spans="1:6" hidden="1" outlineLevel="2">
      <c r="A1187" t="s">
        <v>6</v>
      </c>
      <c r="B1187" s="1">
        <v>45860.659050925926</v>
      </c>
      <c r="C1187">
        <v>30002</v>
      </c>
      <c r="D1187" t="s">
        <v>7</v>
      </c>
      <c r="E1187" t="s">
        <v>143</v>
      </c>
      <c r="F1187" t="s">
        <v>9</v>
      </c>
    </row>
    <row r="1188" spans="1:6" hidden="1" outlineLevel="2">
      <c r="A1188" t="s">
        <v>6</v>
      </c>
      <c r="B1188" s="1">
        <v>45860.658888888887</v>
      </c>
      <c r="C1188">
        <v>30002</v>
      </c>
      <c r="D1188" t="s">
        <v>7</v>
      </c>
      <c r="E1188" t="s">
        <v>143</v>
      </c>
      <c r="F1188" t="s">
        <v>9</v>
      </c>
    </row>
    <row r="1189" spans="1:6" hidden="1" outlineLevel="2">
      <c r="A1189" t="s">
        <v>6</v>
      </c>
      <c r="B1189" s="1">
        <v>45860.35564814815</v>
      </c>
      <c r="C1189">
        <v>30002</v>
      </c>
      <c r="D1189" t="s">
        <v>7</v>
      </c>
      <c r="E1189" t="s">
        <v>143</v>
      </c>
      <c r="F1189" t="s">
        <v>9</v>
      </c>
    </row>
    <row r="1190" spans="1:6" hidden="1" outlineLevel="2">
      <c r="A1190" t="s">
        <v>6</v>
      </c>
      <c r="B1190" s="1">
        <v>45860.331956018519</v>
      </c>
      <c r="C1190">
        <v>30002</v>
      </c>
      <c r="D1190" t="s">
        <v>7</v>
      </c>
      <c r="E1190" t="s">
        <v>143</v>
      </c>
      <c r="F1190" t="s">
        <v>9</v>
      </c>
    </row>
    <row r="1191" spans="1:6" hidden="1" outlineLevel="2">
      <c r="A1191" t="s">
        <v>6</v>
      </c>
      <c r="B1191" s="1">
        <v>45860.331655092596</v>
      </c>
      <c r="C1191">
        <v>30002</v>
      </c>
      <c r="D1191" t="s">
        <v>7</v>
      </c>
      <c r="E1191" t="s">
        <v>143</v>
      </c>
      <c r="F1191" t="s">
        <v>9</v>
      </c>
    </row>
    <row r="1192" spans="1:6" hidden="1" outlineLevel="2">
      <c r="A1192" t="s">
        <v>6</v>
      </c>
      <c r="B1192" s="1">
        <v>45860.331099537034</v>
      </c>
      <c r="C1192">
        <v>30002</v>
      </c>
      <c r="D1192" t="s">
        <v>7</v>
      </c>
      <c r="E1192" t="s">
        <v>143</v>
      </c>
      <c r="F1192" t="s">
        <v>9</v>
      </c>
    </row>
    <row r="1193" spans="1:6" hidden="1" outlineLevel="2">
      <c r="A1193" t="s">
        <v>6</v>
      </c>
      <c r="B1193" s="1">
        <v>45868.396249999998</v>
      </c>
      <c r="C1193">
        <v>30002</v>
      </c>
      <c r="D1193" t="s">
        <v>7</v>
      </c>
      <c r="E1193" t="s">
        <v>143</v>
      </c>
      <c r="F1193" t="s">
        <v>66</v>
      </c>
    </row>
    <row r="1194" spans="1:6" hidden="1" outlineLevel="2">
      <c r="A1194" t="s">
        <v>6</v>
      </c>
      <c r="B1194" s="1">
        <v>45868.393761574072</v>
      </c>
      <c r="C1194">
        <v>30002</v>
      </c>
      <c r="D1194" t="s">
        <v>7</v>
      </c>
      <c r="E1194" t="s">
        <v>143</v>
      </c>
      <c r="F1194" t="s">
        <v>66</v>
      </c>
    </row>
    <row r="1195" spans="1:6" hidden="1" outlineLevel="2">
      <c r="A1195" t="s">
        <v>6</v>
      </c>
      <c r="B1195" s="1">
        <v>45868.383125</v>
      </c>
      <c r="C1195">
        <v>30002</v>
      </c>
      <c r="D1195" t="s">
        <v>7</v>
      </c>
      <c r="E1195" t="s">
        <v>143</v>
      </c>
      <c r="F1195" t="s">
        <v>66</v>
      </c>
    </row>
    <row r="1196" spans="1:6" hidden="1" outlineLevel="2">
      <c r="A1196" t="s">
        <v>6</v>
      </c>
      <c r="B1196" s="1">
        <v>45868.377974537034</v>
      </c>
      <c r="C1196">
        <v>30002</v>
      </c>
      <c r="D1196" t="s">
        <v>7</v>
      </c>
      <c r="E1196" t="s">
        <v>143</v>
      </c>
      <c r="F1196" t="s">
        <v>66</v>
      </c>
    </row>
    <row r="1197" spans="1:6" hidden="1" outlineLevel="2">
      <c r="A1197" t="s">
        <v>6</v>
      </c>
      <c r="B1197" s="1">
        <v>45868.377581018518</v>
      </c>
      <c r="C1197">
        <v>30002</v>
      </c>
      <c r="D1197" t="s">
        <v>7</v>
      </c>
      <c r="E1197" t="s">
        <v>143</v>
      </c>
      <c r="F1197" t="s">
        <v>66</v>
      </c>
    </row>
    <row r="1198" spans="1:6" hidden="1" outlineLevel="2">
      <c r="A1198" t="s">
        <v>6</v>
      </c>
      <c r="B1198" s="1">
        <v>45868.377175925925</v>
      </c>
      <c r="C1198">
        <v>30002</v>
      </c>
      <c r="D1198" t="s">
        <v>7</v>
      </c>
      <c r="E1198" t="s">
        <v>143</v>
      </c>
      <c r="F1198" t="s">
        <v>66</v>
      </c>
    </row>
    <row r="1199" spans="1:6" hidden="1" outlineLevel="2">
      <c r="A1199" t="s">
        <v>6</v>
      </c>
      <c r="B1199" s="1">
        <v>45868.377025462964</v>
      </c>
      <c r="C1199">
        <v>30002</v>
      </c>
      <c r="D1199" t="s">
        <v>7</v>
      </c>
      <c r="E1199" t="s">
        <v>143</v>
      </c>
      <c r="F1199" t="s">
        <v>66</v>
      </c>
    </row>
    <row r="1200" spans="1:6" hidden="1" outlineLevel="2">
      <c r="A1200" t="s">
        <v>6</v>
      </c>
      <c r="B1200" s="1">
        <v>45868.376921296294</v>
      </c>
      <c r="C1200">
        <v>30002</v>
      </c>
      <c r="D1200" t="s">
        <v>7</v>
      </c>
      <c r="E1200" t="s">
        <v>143</v>
      </c>
      <c r="F1200" t="s">
        <v>66</v>
      </c>
    </row>
    <row r="1201" spans="1:6" hidden="1" outlineLevel="2">
      <c r="A1201" t="s">
        <v>6</v>
      </c>
      <c r="B1201" s="1">
        <v>45868.376168981478</v>
      </c>
      <c r="C1201">
        <v>30002</v>
      </c>
      <c r="D1201" t="s">
        <v>7</v>
      </c>
      <c r="E1201" t="s">
        <v>143</v>
      </c>
      <c r="F1201" t="s">
        <v>66</v>
      </c>
    </row>
    <row r="1202" spans="1:6" hidden="1" outlineLevel="2">
      <c r="A1202" t="s">
        <v>6</v>
      </c>
      <c r="B1202" s="1">
        <v>45868.375555555554</v>
      </c>
      <c r="C1202">
        <v>30002</v>
      </c>
      <c r="D1202" t="s">
        <v>7</v>
      </c>
      <c r="E1202" t="s">
        <v>143</v>
      </c>
      <c r="F1202" t="s">
        <v>66</v>
      </c>
    </row>
    <row r="1203" spans="1:6" hidden="1" outlineLevel="2">
      <c r="A1203" t="s">
        <v>6</v>
      </c>
      <c r="B1203" s="1">
        <v>45868.375439814816</v>
      </c>
      <c r="C1203">
        <v>30002</v>
      </c>
      <c r="D1203" t="s">
        <v>7</v>
      </c>
      <c r="E1203" t="s">
        <v>143</v>
      </c>
      <c r="F1203" t="s">
        <v>66</v>
      </c>
    </row>
    <row r="1204" spans="1:6" hidden="1" outlineLevel="2">
      <c r="A1204" t="s">
        <v>6</v>
      </c>
      <c r="B1204" s="1">
        <v>45868.375289351854</v>
      </c>
      <c r="C1204">
        <v>30002</v>
      </c>
      <c r="D1204" t="s">
        <v>7</v>
      </c>
      <c r="E1204" t="s">
        <v>143</v>
      </c>
      <c r="F1204" t="s">
        <v>66</v>
      </c>
    </row>
    <row r="1205" spans="1:6" hidden="1" outlineLevel="2">
      <c r="A1205" t="s">
        <v>6</v>
      </c>
      <c r="B1205" s="1">
        <v>45863.579513888886</v>
      </c>
      <c r="C1205">
        <v>30002</v>
      </c>
      <c r="D1205" t="s">
        <v>7</v>
      </c>
      <c r="E1205" t="s">
        <v>143</v>
      </c>
      <c r="F1205" t="s">
        <v>66</v>
      </c>
    </row>
    <row r="1206" spans="1:6" hidden="1" outlineLevel="2">
      <c r="A1206" t="s">
        <v>6</v>
      </c>
      <c r="B1206" s="1">
        <v>45863.579432870371</v>
      </c>
      <c r="C1206">
        <v>30002</v>
      </c>
      <c r="D1206" t="s">
        <v>7</v>
      </c>
      <c r="E1206" t="s">
        <v>143</v>
      </c>
      <c r="F1206" t="s">
        <v>66</v>
      </c>
    </row>
    <row r="1207" spans="1:6" hidden="1" outlineLevel="2">
      <c r="A1207" t="s">
        <v>6</v>
      </c>
      <c r="B1207" s="1">
        <v>45863.579212962963</v>
      </c>
      <c r="C1207">
        <v>30002</v>
      </c>
      <c r="D1207" t="s">
        <v>7</v>
      </c>
      <c r="E1207" t="s">
        <v>143</v>
      </c>
      <c r="F1207" t="s">
        <v>66</v>
      </c>
    </row>
    <row r="1208" spans="1:6" hidden="1" outlineLevel="2">
      <c r="A1208" t="s">
        <v>6</v>
      </c>
      <c r="B1208" s="1">
        <v>45863.578055555554</v>
      </c>
      <c r="C1208">
        <v>30002</v>
      </c>
      <c r="D1208" t="s">
        <v>7</v>
      </c>
      <c r="E1208" t="s">
        <v>143</v>
      </c>
      <c r="F1208" t="s">
        <v>66</v>
      </c>
    </row>
    <row r="1209" spans="1:6" hidden="1" outlineLevel="2">
      <c r="A1209" t="s">
        <v>6</v>
      </c>
      <c r="B1209" s="1">
        <v>45862.45721064815</v>
      </c>
      <c r="C1209">
        <v>30002</v>
      </c>
      <c r="D1209" t="s">
        <v>7</v>
      </c>
      <c r="E1209" t="s">
        <v>143</v>
      </c>
      <c r="F1209" t="s">
        <v>23</v>
      </c>
    </row>
    <row r="1210" spans="1:6" hidden="1" outlineLevel="2">
      <c r="A1210" t="s">
        <v>6</v>
      </c>
      <c r="B1210" s="1">
        <v>45862.455347222225</v>
      </c>
      <c r="C1210">
        <v>30002</v>
      </c>
      <c r="D1210" t="s">
        <v>7</v>
      </c>
      <c r="E1210" t="s">
        <v>143</v>
      </c>
      <c r="F1210" t="s">
        <v>23</v>
      </c>
    </row>
    <row r="1211" spans="1:6" hidden="1" outlineLevel="2">
      <c r="A1211" t="s">
        <v>6</v>
      </c>
      <c r="B1211" s="1">
        <v>45860.327141203707</v>
      </c>
      <c r="C1211">
        <v>30002</v>
      </c>
      <c r="D1211" t="s">
        <v>7</v>
      </c>
      <c r="E1211" t="s">
        <v>143</v>
      </c>
      <c r="F1211" t="s">
        <v>23</v>
      </c>
    </row>
    <row r="1212" spans="1:6" hidden="1" outlineLevel="2">
      <c r="A1212" t="s">
        <v>6</v>
      </c>
      <c r="B1212" s="1">
        <v>45859.395324074074</v>
      </c>
      <c r="C1212">
        <v>30002</v>
      </c>
      <c r="D1212" t="s">
        <v>7</v>
      </c>
      <c r="E1212" t="s">
        <v>143</v>
      </c>
      <c r="F1212" t="s">
        <v>23</v>
      </c>
    </row>
    <row r="1213" spans="1:6" hidden="1" outlineLevel="2">
      <c r="A1213" t="s">
        <v>6</v>
      </c>
      <c r="B1213" s="1">
        <v>45849.626805555556</v>
      </c>
      <c r="C1213">
        <v>30002</v>
      </c>
      <c r="D1213" t="s">
        <v>7</v>
      </c>
      <c r="E1213" t="s">
        <v>143</v>
      </c>
      <c r="F1213" t="s">
        <v>23</v>
      </c>
    </row>
    <row r="1214" spans="1:6" hidden="1" outlineLevel="2">
      <c r="A1214" t="s">
        <v>6</v>
      </c>
      <c r="B1214" s="1">
        <v>45849.615243055552</v>
      </c>
      <c r="C1214">
        <v>30002</v>
      </c>
      <c r="D1214" t="s">
        <v>7</v>
      </c>
      <c r="E1214" t="s">
        <v>143</v>
      </c>
      <c r="F1214" t="s">
        <v>23</v>
      </c>
    </row>
    <row r="1215" spans="1:6" hidden="1" outlineLevel="2">
      <c r="A1215" t="s">
        <v>6</v>
      </c>
      <c r="B1215" s="1">
        <v>45845.367407407408</v>
      </c>
      <c r="C1215">
        <v>30002</v>
      </c>
      <c r="D1215" t="s">
        <v>7</v>
      </c>
      <c r="E1215" t="s">
        <v>143</v>
      </c>
      <c r="F1215" t="s">
        <v>23</v>
      </c>
    </row>
    <row r="1216" spans="1:6" hidden="1" outlineLevel="2">
      <c r="A1216" t="s">
        <v>6</v>
      </c>
      <c r="B1216" s="1">
        <v>45844.685706018521</v>
      </c>
      <c r="C1216">
        <v>30002</v>
      </c>
      <c r="D1216" t="s">
        <v>7</v>
      </c>
      <c r="E1216" t="s">
        <v>143</v>
      </c>
      <c r="F1216" t="s">
        <v>23</v>
      </c>
    </row>
    <row r="1217" spans="1:6" hidden="1" outlineLevel="2">
      <c r="A1217" t="s">
        <v>6</v>
      </c>
      <c r="B1217" s="1">
        <v>45868.674861111111</v>
      </c>
      <c r="C1217">
        <v>30002</v>
      </c>
      <c r="D1217" t="s">
        <v>7</v>
      </c>
      <c r="E1217" t="s">
        <v>143</v>
      </c>
      <c r="F1217" t="s">
        <v>27</v>
      </c>
    </row>
    <row r="1218" spans="1:6" hidden="1" outlineLevel="2">
      <c r="A1218" t="s">
        <v>6</v>
      </c>
      <c r="B1218" s="1">
        <v>45868.672314814816</v>
      </c>
      <c r="C1218">
        <v>30002</v>
      </c>
      <c r="D1218" t="s">
        <v>7</v>
      </c>
      <c r="E1218" t="s">
        <v>143</v>
      </c>
      <c r="F1218" t="s">
        <v>27</v>
      </c>
    </row>
    <row r="1219" spans="1:6" hidden="1" outlineLevel="2">
      <c r="A1219" t="s">
        <v>6</v>
      </c>
      <c r="B1219" s="1">
        <v>45867.407314814816</v>
      </c>
      <c r="C1219">
        <v>30002</v>
      </c>
      <c r="D1219" t="s">
        <v>7</v>
      </c>
      <c r="E1219" t="s">
        <v>143</v>
      </c>
      <c r="F1219" t="s">
        <v>27</v>
      </c>
    </row>
    <row r="1220" spans="1:6" hidden="1" outlineLevel="2">
      <c r="A1220" t="s">
        <v>6</v>
      </c>
      <c r="B1220" s="1">
        <v>45867.341666666667</v>
      </c>
      <c r="C1220">
        <v>30002</v>
      </c>
      <c r="D1220" t="s">
        <v>7</v>
      </c>
      <c r="E1220" t="s">
        <v>143</v>
      </c>
      <c r="F1220" t="s">
        <v>27</v>
      </c>
    </row>
    <row r="1221" spans="1:6" hidden="1" outlineLevel="2">
      <c r="A1221" t="s">
        <v>6</v>
      </c>
      <c r="B1221" s="1">
        <v>45862.664317129631</v>
      </c>
      <c r="C1221">
        <v>30002</v>
      </c>
      <c r="D1221" t="s">
        <v>7</v>
      </c>
      <c r="E1221" t="s">
        <v>143</v>
      </c>
      <c r="F1221" t="s">
        <v>27</v>
      </c>
    </row>
    <row r="1222" spans="1:6" hidden="1" outlineLevel="2">
      <c r="A1222" t="s">
        <v>6</v>
      </c>
      <c r="B1222" s="1">
        <v>45862.618449074071</v>
      </c>
      <c r="C1222">
        <v>30002</v>
      </c>
      <c r="D1222" t="s">
        <v>7</v>
      </c>
      <c r="E1222" t="s">
        <v>143</v>
      </c>
      <c r="F1222" t="s">
        <v>27</v>
      </c>
    </row>
    <row r="1223" spans="1:6" hidden="1" outlineLevel="2">
      <c r="A1223" t="s">
        <v>6</v>
      </c>
      <c r="B1223" s="1">
        <v>45862.615787037037</v>
      </c>
      <c r="C1223">
        <v>30002</v>
      </c>
      <c r="D1223" t="s">
        <v>7</v>
      </c>
      <c r="E1223" t="s">
        <v>143</v>
      </c>
      <c r="F1223" t="s">
        <v>27</v>
      </c>
    </row>
    <row r="1224" spans="1:6" hidden="1" outlineLevel="2">
      <c r="A1224" t="s">
        <v>6</v>
      </c>
      <c r="B1224" s="1">
        <v>45862.615590277775</v>
      </c>
      <c r="C1224">
        <v>30002</v>
      </c>
      <c r="D1224" t="s">
        <v>7</v>
      </c>
      <c r="E1224" t="s">
        <v>143</v>
      </c>
      <c r="F1224" t="s">
        <v>27</v>
      </c>
    </row>
    <row r="1225" spans="1:6" hidden="1" outlineLevel="2">
      <c r="A1225" t="s">
        <v>6</v>
      </c>
      <c r="B1225" s="1">
        <v>45862.377118055556</v>
      </c>
      <c r="C1225">
        <v>30002</v>
      </c>
      <c r="D1225" t="s">
        <v>7</v>
      </c>
      <c r="E1225" t="s">
        <v>143</v>
      </c>
      <c r="F1225" t="s">
        <v>27</v>
      </c>
    </row>
    <row r="1226" spans="1:6" hidden="1" outlineLevel="2">
      <c r="A1226" t="s">
        <v>6</v>
      </c>
      <c r="B1226" s="1">
        <v>45862.370474537034</v>
      </c>
      <c r="C1226">
        <v>30002</v>
      </c>
      <c r="D1226" t="s">
        <v>7</v>
      </c>
      <c r="E1226" t="s">
        <v>143</v>
      </c>
      <c r="F1226" t="s">
        <v>27</v>
      </c>
    </row>
    <row r="1227" spans="1:6" hidden="1" outlineLevel="2">
      <c r="A1227" t="s">
        <v>6</v>
      </c>
      <c r="B1227" s="1">
        <v>45862.370347222219</v>
      </c>
      <c r="C1227">
        <v>30002</v>
      </c>
      <c r="D1227" t="s">
        <v>7</v>
      </c>
      <c r="E1227" t="s">
        <v>143</v>
      </c>
      <c r="F1227" t="s">
        <v>27</v>
      </c>
    </row>
    <row r="1228" spans="1:6" hidden="1" outlineLevel="2">
      <c r="A1228" t="s">
        <v>6</v>
      </c>
      <c r="B1228" s="1">
        <v>45862.370289351849</v>
      </c>
      <c r="C1228">
        <v>30002</v>
      </c>
      <c r="D1228" t="s">
        <v>7</v>
      </c>
      <c r="E1228" t="s">
        <v>143</v>
      </c>
      <c r="F1228" t="s">
        <v>27</v>
      </c>
    </row>
    <row r="1229" spans="1:6" hidden="1" outlineLevel="2">
      <c r="A1229" t="s">
        <v>6</v>
      </c>
      <c r="B1229" s="1">
        <v>45862.367986111109</v>
      </c>
      <c r="C1229">
        <v>30002</v>
      </c>
      <c r="D1229" t="s">
        <v>7</v>
      </c>
      <c r="E1229" t="s">
        <v>143</v>
      </c>
      <c r="F1229" t="s">
        <v>27</v>
      </c>
    </row>
    <row r="1230" spans="1:6" hidden="1" outlineLevel="2">
      <c r="A1230" t="s">
        <v>6</v>
      </c>
      <c r="B1230" s="1">
        <v>45862.367256944446</v>
      </c>
      <c r="C1230">
        <v>30002</v>
      </c>
      <c r="D1230" t="s">
        <v>7</v>
      </c>
      <c r="E1230" t="s">
        <v>143</v>
      </c>
      <c r="F1230" t="s">
        <v>27</v>
      </c>
    </row>
    <row r="1231" spans="1:6" hidden="1" outlineLevel="2">
      <c r="A1231" t="s">
        <v>6</v>
      </c>
      <c r="B1231" s="1">
        <v>45862.364444444444</v>
      </c>
      <c r="C1231">
        <v>30002</v>
      </c>
      <c r="D1231" t="s">
        <v>7</v>
      </c>
      <c r="E1231" t="s">
        <v>143</v>
      </c>
      <c r="F1231" t="s">
        <v>27</v>
      </c>
    </row>
    <row r="1232" spans="1:6" hidden="1" outlineLevel="2">
      <c r="A1232" t="s">
        <v>6</v>
      </c>
      <c r="B1232" s="1">
        <v>45862.363587962966</v>
      </c>
      <c r="C1232">
        <v>30002</v>
      </c>
      <c r="D1232" t="s">
        <v>7</v>
      </c>
      <c r="E1232" t="s">
        <v>143</v>
      </c>
      <c r="F1232" t="s">
        <v>27</v>
      </c>
    </row>
    <row r="1233" spans="1:6" hidden="1" outlineLevel="2">
      <c r="A1233" t="s">
        <v>6</v>
      </c>
      <c r="B1233" s="1">
        <v>45862.348124999997</v>
      </c>
      <c r="C1233">
        <v>30002</v>
      </c>
      <c r="D1233" t="s">
        <v>7</v>
      </c>
      <c r="E1233" t="s">
        <v>143</v>
      </c>
      <c r="F1233" t="s">
        <v>27</v>
      </c>
    </row>
    <row r="1234" spans="1:6" hidden="1" outlineLevel="2">
      <c r="A1234" t="s">
        <v>6</v>
      </c>
      <c r="B1234" s="1">
        <v>45862.32984953704</v>
      </c>
      <c r="C1234">
        <v>30002</v>
      </c>
      <c r="D1234" t="s">
        <v>7</v>
      </c>
      <c r="E1234" t="s">
        <v>143</v>
      </c>
      <c r="F1234" t="s">
        <v>27</v>
      </c>
    </row>
    <row r="1235" spans="1:6" hidden="1" outlineLevel="2">
      <c r="A1235" t="s">
        <v>6</v>
      </c>
      <c r="B1235" s="1">
        <v>45862.329143518517</v>
      </c>
      <c r="C1235">
        <v>30002</v>
      </c>
      <c r="D1235" t="s">
        <v>7</v>
      </c>
      <c r="E1235" t="s">
        <v>143</v>
      </c>
      <c r="F1235" t="s">
        <v>27</v>
      </c>
    </row>
    <row r="1236" spans="1:6" hidden="1" outlineLevel="2">
      <c r="A1236" t="s">
        <v>6</v>
      </c>
      <c r="B1236" s="1">
        <v>45862.328657407408</v>
      </c>
      <c r="C1236">
        <v>30002</v>
      </c>
      <c r="D1236" t="s">
        <v>7</v>
      </c>
      <c r="E1236" t="s">
        <v>143</v>
      </c>
      <c r="F1236" t="s">
        <v>27</v>
      </c>
    </row>
    <row r="1237" spans="1:6" hidden="1" outlineLevel="2">
      <c r="A1237" t="s">
        <v>6</v>
      </c>
      <c r="B1237" s="1">
        <v>45862.328356481485</v>
      </c>
      <c r="C1237">
        <v>30002</v>
      </c>
      <c r="D1237" t="s">
        <v>7</v>
      </c>
      <c r="E1237" t="s">
        <v>143</v>
      </c>
      <c r="F1237" t="s">
        <v>27</v>
      </c>
    </row>
    <row r="1238" spans="1:6" hidden="1" outlineLevel="2">
      <c r="A1238" t="s">
        <v>6</v>
      </c>
      <c r="B1238" s="1">
        <v>45862.327245370368</v>
      </c>
      <c r="C1238">
        <v>30002</v>
      </c>
      <c r="D1238" t="s">
        <v>7</v>
      </c>
      <c r="E1238" t="s">
        <v>143</v>
      </c>
      <c r="F1238" t="s">
        <v>27</v>
      </c>
    </row>
    <row r="1239" spans="1:6" hidden="1" outlineLevel="2">
      <c r="A1239" t="s">
        <v>6</v>
      </c>
      <c r="B1239" s="1">
        <v>45860.655243055553</v>
      </c>
      <c r="C1239">
        <v>30002</v>
      </c>
      <c r="D1239" t="s">
        <v>7</v>
      </c>
      <c r="E1239" t="s">
        <v>143</v>
      </c>
      <c r="F1239" t="s">
        <v>27</v>
      </c>
    </row>
    <row r="1240" spans="1:6" hidden="1" outlineLevel="2">
      <c r="A1240" t="s">
        <v>6</v>
      </c>
      <c r="B1240" s="1">
        <v>45860.655034722222</v>
      </c>
      <c r="C1240">
        <v>30002</v>
      </c>
      <c r="D1240" t="s">
        <v>7</v>
      </c>
      <c r="E1240" t="s">
        <v>143</v>
      </c>
      <c r="F1240" t="s">
        <v>27</v>
      </c>
    </row>
    <row r="1241" spans="1:6" hidden="1" outlineLevel="2">
      <c r="A1241" t="s">
        <v>6</v>
      </c>
      <c r="B1241" s="1">
        <v>45860.644756944443</v>
      </c>
      <c r="C1241">
        <v>30002</v>
      </c>
      <c r="D1241" t="s">
        <v>7</v>
      </c>
      <c r="E1241" t="s">
        <v>143</v>
      </c>
      <c r="F1241" t="s">
        <v>27</v>
      </c>
    </row>
    <row r="1242" spans="1:6" hidden="1" outlineLevel="2">
      <c r="A1242" t="s">
        <v>6</v>
      </c>
      <c r="B1242" s="1">
        <v>45860.558078703703</v>
      </c>
      <c r="C1242">
        <v>30002</v>
      </c>
      <c r="D1242" t="s">
        <v>7</v>
      </c>
      <c r="E1242" t="s">
        <v>143</v>
      </c>
      <c r="F1242" t="s">
        <v>27</v>
      </c>
    </row>
    <row r="1243" spans="1:6" hidden="1" outlineLevel="2">
      <c r="A1243" t="s">
        <v>6</v>
      </c>
      <c r="B1243" s="1">
        <v>45860.541898148149</v>
      </c>
      <c r="C1243">
        <v>30002</v>
      </c>
      <c r="D1243" t="s">
        <v>7</v>
      </c>
      <c r="E1243" t="s">
        <v>143</v>
      </c>
      <c r="F1243" t="s">
        <v>27</v>
      </c>
    </row>
    <row r="1244" spans="1:6" hidden="1" outlineLevel="2">
      <c r="A1244" t="s">
        <v>6</v>
      </c>
      <c r="B1244" s="1">
        <v>45860.522789351853</v>
      </c>
      <c r="C1244">
        <v>30002</v>
      </c>
      <c r="D1244" t="s">
        <v>7</v>
      </c>
      <c r="E1244" t="s">
        <v>143</v>
      </c>
      <c r="F1244" t="s">
        <v>27</v>
      </c>
    </row>
    <row r="1245" spans="1:6" hidden="1" outlineLevel="2">
      <c r="A1245" t="s">
        <v>6</v>
      </c>
      <c r="B1245" s="1">
        <v>45860.522511574076</v>
      </c>
      <c r="C1245">
        <v>30002</v>
      </c>
      <c r="D1245" t="s">
        <v>7</v>
      </c>
      <c r="E1245" t="s">
        <v>143</v>
      </c>
      <c r="F1245" t="s">
        <v>27</v>
      </c>
    </row>
    <row r="1246" spans="1:6" hidden="1" outlineLevel="2">
      <c r="A1246" t="s">
        <v>6</v>
      </c>
      <c r="B1246" s="1">
        <v>45860.522141203706</v>
      </c>
      <c r="C1246">
        <v>30002</v>
      </c>
      <c r="D1246" t="s">
        <v>7</v>
      </c>
      <c r="E1246" t="s">
        <v>143</v>
      </c>
      <c r="F1246" t="s">
        <v>27</v>
      </c>
    </row>
    <row r="1247" spans="1:6" hidden="1" outlineLevel="2">
      <c r="A1247" t="s">
        <v>6</v>
      </c>
      <c r="B1247" s="1">
        <v>45852.387384259258</v>
      </c>
      <c r="C1247">
        <v>30002</v>
      </c>
      <c r="D1247" t="s">
        <v>7</v>
      </c>
      <c r="E1247" t="s">
        <v>143</v>
      </c>
      <c r="F1247" t="s">
        <v>27</v>
      </c>
    </row>
    <row r="1248" spans="1:6" hidden="1" outlineLevel="2">
      <c r="A1248" t="s">
        <v>6</v>
      </c>
      <c r="B1248" s="1">
        <v>45852.351979166669</v>
      </c>
      <c r="C1248">
        <v>30002</v>
      </c>
      <c r="D1248" t="s">
        <v>7</v>
      </c>
      <c r="E1248" t="s">
        <v>143</v>
      </c>
      <c r="F1248" t="s">
        <v>27</v>
      </c>
    </row>
    <row r="1249" spans="1:6" hidden="1" outlineLevel="2">
      <c r="A1249" t="s">
        <v>6</v>
      </c>
      <c r="B1249" s="1">
        <v>45852.342488425929</v>
      </c>
      <c r="C1249">
        <v>30002</v>
      </c>
      <c r="D1249" t="s">
        <v>7</v>
      </c>
      <c r="E1249" t="s">
        <v>143</v>
      </c>
      <c r="F1249" t="s">
        <v>27</v>
      </c>
    </row>
    <row r="1250" spans="1:6" hidden="1" outlineLevel="2">
      <c r="A1250" t="s">
        <v>6</v>
      </c>
      <c r="B1250" s="1">
        <v>45848.489247685182</v>
      </c>
      <c r="C1250">
        <v>30002</v>
      </c>
      <c r="D1250" t="s">
        <v>7</v>
      </c>
      <c r="E1250" t="s">
        <v>143</v>
      </c>
      <c r="F1250" t="s">
        <v>27</v>
      </c>
    </row>
    <row r="1251" spans="1:6" hidden="1" outlineLevel="2">
      <c r="A1251" t="s">
        <v>6</v>
      </c>
      <c r="B1251" s="1">
        <v>45848.458043981482</v>
      </c>
      <c r="C1251">
        <v>30002</v>
      </c>
      <c r="D1251" t="s">
        <v>7</v>
      </c>
      <c r="E1251" t="s">
        <v>143</v>
      </c>
      <c r="F1251" t="s">
        <v>27</v>
      </c>
    </row>
    <row r="1252" spans="1:6" hidden="1" outlineLevel="2">
      <c r="A1252" t="s">
        <v>6</v>
      </c>
      <c r="B1252" s="1">
        <v>45848.45385416667</v>
      </c>
      <c r="C1252">
        <v>30002</v>
      </c>
      <c r="D1252" t="s">
        <v>7</v>
      </c>
      <c r="E1252" t="s">
        <v>143</v>
      </c>
      <c r="F1252" t="s">
        <v>27</v>
      </c>
    </row>
    <row r="1253" spans="1:6" hidden="1" outlineLevel="2">
      <c r="A1253" t="s">
        <v>6</v>
      </c>
      <c r="B1253" s="1">
        <v>45848.452974537038</v>
      </c>
      <c r="C1253">
        <v>30002</v>
      </c>
      <c r="D1253" t="s">
        <v>7</v>
      </c>
      <c r="E1253" t="s">
        <v>143</v>
      </c>
      <c r="F1253" t="s">
        <v>27</v>
      </c>
    </row>
    <row r="1254" spans="1:6" hidden="1" outlineLevel="2">
      <c r="A1254" t="s">
        <v>6</v>
      </c>
      <c r="B1254" s="1">
        <v>45848.452939814815</v>
      </c>
      <c r="C1254">
        <v>30002</v>
      </c>
      <c r="D1254" t="s">
        <v>7</v>
      </c>
      <c r="E1254" t="s">
        <v>143</v>
      </c>
      <c r="F1254" t="s">
        <v>27</v>
      </c>
    </row>
    <row r="1255" spans="1:6" hidden="1" outlineLevel="2">
      <c r="A1255" t="s">
        <v>6</v>
      </c>
      <c r="B1255" s="1">
        <v>45848.449780092589</v>
      </c>
      <c r="C1255">
        <v>30002</v>
      </c>
      <c r="D1255" t="s">
        <v>7</v>
      </c>
      <c r="E1255" t="s">
        <v>143</v>
      </c>
      <c r="F1255" t="s">
        <v>27</v>
      </c>
    </row>
    <row r="1256" spans="1:6" hidden="1" outlineLevel="2">
      <c r="A1256" t="s">
        <v>6</v>
      </c>
      <c r="B1256" s="1">
        <v>45841.42255787037</v>
      </c>
      <c r="C1256">
        <v>30002</v>
      </c>
      <c r="D1256" t="s">
        <v>7</v>
      </c>
      <c r="E1256" t="s">
        <v>143</v>
      </c>
      <c r="F1256" t="s">
        <v>27</v>
      </c>
    </row>
    <row r="1257" spans="1:6" hidden="1" outlineLevel="2">
      <c r="A1257" t="s">
        <v>6</v>
      </c>
      <c r="B1257" s="1">
        <v>45841.422407407408</v>
      </c>
      <c r="C1257">
        <v>30002</v>
      </c>
      <c r="D1257" t="s">
        <v>7</v>
      </c>
      <c r="E1257" t="s">
        <v>143</v>
      </c>
      <c r="F1257" t="s">
        <v>27</v>
      </c>
    </row>
    <row r="1258" spans="1:6" hidden="1" outlineLevel="2">
      <c r="A1258" t="s">
        <v>6</v>
      </c>
      <c r="B1258" s="1">
        <v>45840.631469907406</v>
      </c>
      <c r="C1258">
        <v>30002</v>
      </c>
      <c r="D1258" t="s">
        <v>7</v>
      </c>
      <c r="E1258" t="s">
        <v>143</v>
      </c>
      <c r="F1258" t="s">
        <v>27</v>
      </c>
    </row>
    <row r="1259" spans="1:6" hidden="1" outlineLevel="2">
      <c r="A1259" t="s">
        <v>6</v>
      </c>
      <c r="B1259" s="1">
        <v>45840.628888888888</v>
      </c>
      <c r="C1259">
        <v>30002</v>
      </c>
      <c r="D1259" t="s">
        <v>7</v>
      </c>
      <c r="E1259" t="s">
        <v>143</v>
      </c>
      <c r="F1259" t="s">
        <v>27</v>
      </c>
    </row>
    <row r="1260" spans="1:6" hidden="1" outlineLevel="2">
      <c r="A1260" t="s">
        <v>6</v>
      </c>
      <c r="B1260" s="1">
        <v>45840.61277777778</v>
      </c>
      <c r="C1260">
        <v>30002</v>
      </c>
      <c r="D1260" t="s">
        <v>7</v>
      </c>
      <c r="E1260" t="s">
        <v>143</v>
      </c>
      <c r="F1260" t="s">
        <v>27</v>
      </c>
    </row>
    <row r="1261" spans="1:6" hidden="1" outlineLevel="2">
      <c r="A1261" t="s">
        <v>6</v>
      </c>
      <c r="B1261" s="1">
        <v>45840.405266203707</v>
      </c>
      <c r="C1261">
        <v>30002</v>
      </c>
      <c r="D1261" t="s">
        <v>7</v>
      </c>
      <c r="E1261" t="s">
        <v>143</v>
      </c>
      <c r="F1261" t="s">
        <v>27</v>
      </c>
    </row>
    <row r="1262" spans="1:6" hidden="1" outlineLevel="2">
      <c r="A1262" t="s">
        <v>6</v>
      </c>
      <c r="B1262" s="1">
        <v>45840.383263888885</v>
      </c>
      <c r="C1262">
        <v>30002</v>
      </c>
      <c r="D1262" t="s">
        <v>7</v>
      </c>
      <c r="E1262" t="s">
        <v>143</v>
      </c>
      <c r="F1262" t="s">
        <v>27</v>
      </c>
    </row>
    <row r="1263" spans="1:6" hidden="1" outlineLevel="2">
      <c r="A1263" t="s">
        <v>6</v>
      </c>
      <c r="B1263" s="1">
        <v>45840.371678240743</v>
      </c>
      <c r="C1263">
        <v>30002</v>
      </c>
      <c r="D1263" t="s">
        <v>7</v>
      </c>
      <c r="E1263" t="s">
        <v>143</v>
      </c>
      <c r="F1263" t="s">
        <v>27</v>
      </c>
    </row>
    <row r="1264" spans="1:6" hidden="1" outlineLevel="2">
      <c r="A1264" t="s">
        <v>6</v>
      </c>
      <c r="B1264" s="1">
        <v>45840.37122685185</v>
      </c>
      <c r="C1264">
        <v>30002</v>
      </c>
      <c r="D1264" t="s">
        <v>7</v>
      </c>
      <c r="E1264" t="s">
        <v>143</v>
      </c>
      <c r="F1264" t="s">
        <v>27</v>
      </c>
    </row>
    <row r="1265" spans="1:6" hidden="1" outlineLevel="2">
      <c r="A1265" t="s">
        <v>6</v>
      </c>
      <c r="B1265" s="1">
        <v>45840.371157407404</v>
      </c>
      <c r="C1265">
        <v>30002</v>
      </c>
      <c r="D1265" t="s">
        <v>7</v>
      </c>
      <c r="E1265" t="s">
        <v>143</v>
      </c>
      <c r="F1265" t="s">
        <v>27</v>
      </c>
    </row>
    <row r="1266" spans="1:6" hidden="1" outlineLevel="2">
      <c r="A1266" t="s">
        <v>6</v>
      </c>
      <c r="B1266" s="1">
        <v>45839.656793981485</v>
      </c>
      <c r="C1266">
        <v>30002</v>
      </c>
      <c r="D1266" t="s">
        <v>7</v>
      </c>
      <c r="E1266" t="s">
        <v>143</v>
      </c>
      <c r="F1266" t="s">
        <v>27</v>
      </c>
    </row>
    <row r="1267" spans="1:6" hidden="1" outlineLevel="2">
      <c r="A1267" t="s">
        <v>6</v>
      </c>
      <c r="B1267" s="1">
        <v>45839.652511574073</v>
      </c>
      <c r="C1267">
        <v>30002</v>
      </c>
      <c r="D1267" t="s">
        <v>7</v>
      </c>
      <c r="E1267" t="s">
        <v>143</v>
      </c>
      <c r="F1267" t="s">
        <v>27</v>
      </c>
    </row>
    <row r="1268" spans="1:6" hidden="1" outlineLevel="2">
      <c r="A1268" t="s">
        <v>6</v>
      </c>
      <c r="B1268" s="1">
        <v>45839.650104166663</v>
      </c>
      <c r="C1268">
        <v>30002</v>
      </c>
      <c r="D1268" t="s">
        <v>7</v>
      </c>
      <c r="E1268" t="s">
        <v>143</v>
      </c>
      <c r="F1268" t="s">
        <v>27</v>
      </c>
    </row>
    <row r="1269" spans="1:6" hidden="1" outlineLevel="2">
      <c r="A1269" t="s">
        <v>6</v>
      </c>
      <c r="B1269" s="1">
        <v>45839.418229166666</v>
      </c>
      <c r="C1269">
        <v>30002</v>
      </c>
      <c r="D1269" t="s">
        <v>7</v>
      </c>
      <c r="E1269" t="s">
        <v>143</v>
      </c>
      <c r="F1269" t="s">
        <v>27</v>
      </c>
    </row>
    <row r="1270" spans="1:6" hidden="1" outlineLevel="2">
      <c r="A1270" t="s">
        <v>6</v>
      </c>
      <c r="B1270" s="1">
        <v>45839.417928240742</v>
      </c>
      <c r="C1270">
        <v>30002</v>
      </c>
      <c r="D1270" t="s">
        <v>7</v>
      </c>
      <c r="E1270" t="s">
        <v>143</v>
      </c>
      <c r="F1270" t="s">
        <v>27</v>
      </c>
    </row>
    <row r="1271" spans="1:6" hidden="1" outlineLevel="2">
      <c r="A1271" t="s">
        <v>6</v>
      </c>
      <c r="B1271" s="1">
        <v>45839.412187499998</v>
      </c>
      <c r="C1271">
        <v>30002</v>
      </c>
      <c r="D1271" t="s">
        <v>7</v>
      </c>
      <c r="E1271" t="s">
        <v>143</v>
      </c>
      <c r="F1271" t="s">
        <v>27</v>
      </c>
    </row>
    <row r="1272" spans="1:6" hidden="1" outlineLevel="2">
      <c r="A1272" t="s">
        <v>6</v>
      </c>
      <c r="B1272" s="1">
        <v>45860.506886574076</v>
      </c>
      <c r="C1272">
        <v>30002</v>
      </c>
      <c r="D1272" t="s">
        <v>7</v>
      </c>
      <c r="E1272" t="s">
        <v>143</v>
      </c>
      <c r="F1272" t="s">
        <v>135</v>
      </c>
    </row>
    <row r="1273" spans="1:6" hidden="1" outlineLevel="2">
      <c r="A1273" t="s">
        <v>6</v>
      </c>
      <c r="B1273" s="1">
        <v>45860.497418981482</v>
      </c>
      <c r="C1273">
        <v>30002</v>
      </c>
      <c r="D1273" t="s">
        <v>7</v>
      </c>
      <c r="E1273" t="s">
        <v>143</v>
      </c>
      <c r="F1273" t="s">
        <v>135</v>
      </c>
    </row>
    <row r="1274" spans="1:6" hidden="1" outlineLevel="2">
      <c r="A1274" t="s">
        <v>6</v>
      </c>
      <c r="B1274" s="1">
        <v>45860.495995370373</v>
      </c>
      <c r="C1274">
        <v>30002</v>
      </c>
      <c r="D1274" t="s">
        <v>7</v>
      </c>
      <c r="E1274" t="s">
        <v>143</v>
      </c>
      <c r="F1274" t="s">
        <v>135</v>
      </c>
    </row>
    <row r="1275" spans="1:6" hidden="1" outlineLevel="2">
      <c r="A1275" t="s">
        <v>6</v>
      </c>
      <c r="B1275" s="1">
        <v>45860.495763888888</v>
      </c>
      <c r="C1275">
        <v>30002</v>
      </c>
      <c r="D1275" t="s">
        <v>7</v>
      </c>
      <c r="E1275" t="s">
        <v>143</v>
      </c>
      <c r="F1275" t="s">
        <v>135</v>
      </c>
    </row>
    <row r="1276" spans="1:6" hidden="1" outlineLevel="2">
      <c r="A1276" t="s">
        <v>6</v>
      </c>
      <c r="B1276" s="1">
        <v>45860.495358796295</v>
      </c>
      <c r="C1276">
        <v>30002</v>
      </c>
      <c r="D1276" t="s">
        <v>7</v>
      </c>
      <c r="E1276" t="s">
        <v>143</v>
      </c>
      <c r="F1276" t="s">
        <v>135</v>
      </c>
    </row>
    <row r="1277" spans="1:6" hidden="1" outlineLevel="2">
      <c r="A1277" t="s">
        <v>6</v>
      </c>
      <c r="B1277" s="1">
        <v>45860.494988425926</v>
      </c>
      <c r="C1277">
        <v>30002</v>
      </c>
      <c r="D1277" t="s">
        <v>7</v>
      </c>
      <c r="E1277" t="s">
        <v>143</v>
      </c>
      <c r="F1277" t="s">
        <v>135</v>
      </c>
    </row>
    <row r="1278" spans="1:6" hidden="1" outlineLevel="2">
      <c r="A1278" t="s">
        <v>6</v>
      </c>
      <c r="B1278" s="1">
        <v>45860.48710648148</v>
      </c>
      <c r="C1278">
        <v>30002</v>
      </c>
      <c r="D1278" t="s">
        <v>7</v>
      </c>
      <c r="E1278" t="s">
        <v>143</v>
      </c>
      <c r="F1278" t="s">
        <v>135</v>
      </c>
    </row>
    <row r="1279" spans="1:6" hidden="1" outlineLevel="2">
      <c r="A1279" t="s">
        <v>6</v>
      </c>
      <c r="B1279" s="1">
        <v>45853.327511574076</v>
      </c>
      <c r="C1279">
        <v>30002</v>
      </c>
      <c r="D1279" t="s">
        <v>7</v>
      </c>
      <c r="E1279" t="s">
        <v>143</v>
      </c>
      <c r="F1279" t="s">
        <v>114</v>
      </c>
    </row>
    <row r="1280" spans="1:6" hidden="1" outlineLevel="2">
      <c r="A1280" t="s">
        <v>6</v>
      </c>
      <c r="B1280" s="1">
        <v>45852.383206018516</v>
      </c>
      <c r="C1280">
        <v>30002</v>
      </c>
      <c r="D1280" t="s">
        <v>7</v>
      </c>
      <c r="E1280" t="s">
        <v>143</v>
      </c>
      <c r="F1280" t="s">
        <v>114</v>
      </c>
    </row>
    <row r="1281" spans="1:6" hidden="1" outlineLevel="2">
      <c r="A1281" t="s">
        <v>6</v>
      </c>
      <c r="B1281" s="1">
        <v>45852.379675925928</v>
      </c>
      <c r="C1281">
        <v>30002</v>
      </c>
      <c r="D1281" t="s">
        <v>7</v>
      </c>
      <c r="E1281" t="s">
        <v>143</v>
      </c>
      <c r="F1281" t="s">
        <v>114</v>
      </c>
    </row>
    <row r="1282" spans="1:6" hidden="1" outlineLevel="2">
      <c r="A1282" t="s">
        <v>6</v>
      </c>
      <c r="B1282" s="1">
        <v>45841.581203703703</v>
      </c>
      <c r="C1282">
        <v>30002</v>
      </c>
      <c r="D1282" t="s">
        <v>7</v>
      </c>
      <c r="E1282" t="s">
        <v>143</v>
      </c>
      <c r="F1282" t="s">
        <v>54</v>
      </c>
    </row>
    <row r="1283" spans="1:6" hidden="1" outlineLevel="2">
      <c r="A1283" t="s">
        <v>6</v>
      </c>
      <c r="B1283" s="1">
        <v>45841.575937499998</v>
      </c>
      <c r="C1283">
        <v>30002</v>
      </c>
      <c r="D1283" t="s">
        <v>7</v>
      </c>
      <c r="E1283" t="s">
        <v>143</v>
      </c>
      <c r="F1283" t="s">
        <v>54</v>
      </c>
    </row>
    <row r="1284" spans="1:6" hidden="1" outlineLevel="2">
      <c r="A1284" t="s">
        <v>6</v>
      </c>
      <c r="B1284" s="1">
        <v>45841.575798611113</v>
      </c>
      <c r="C1284">
        <v>30002</v>
      </c>
      <c r="D1284" t="s">
        <v>7</v>
      </c>
      <c r="E1284" t="s">
        <v>143</v>
      </c>
      <c r="F1284" t="s">
        <v>54</v>
      </c>
    </row>
    <row r="1285" spans="1:6" hidden="1" outlineLevel="2">
      <c r="A1285" t="s">
        <v>6</v>
      </c>
      <c r="B1285" s="1">
        <v>45841.575578703705</v>
      </c>
      <c r="C1285">
        <v>30002</v>
      </c>
      <c r="D1285" t="s">
        <v>7</v>
      </c>
      <c r="E1285" t="s">
        <v>143</v>
      </c>
      <c r="F1285" t="s">
        <v>54</v>
      </c>
    </row>
    <row r="1286" spans="1:6" hidden="1" outlineLevel="2">
      <c r="A1286" t="s">
        <v>6</v>
      </c>
      <c r="B1286" s="1">
        <v>45855.387361111112</v>
      </c>
      <c r="C1286">
        <v>30002</v>
      </c>
      <c r="D1286" t="s">
        <v>7</v>
      </c>
      <c r="E1286" t="s">
        <v>143</v>
      </c>
      <c r="F1286" t="s">
        <v>24</v>
      </c>
    </row>
    <row r="1287" spans="1:6" hidden="1" outlineLevel="2">
      <c r="A1287" t="s">
        <v>6</v>
      </c>
      <c r="B1287" s="1">
        <v>45854.606111111112</v>
      </c>
      <c r="C1287">
        <v>30002</v>
      </c>
      <c r="D1287" t="s">
        <v>7</v>
      </c>
      <c r="E1287" t="s">
        <v>143</v>
      </c>
      <c r="F1287" t="s">
        <v>24</v>
      </c>
    </row>
    <row r="1288" spans="1:6" hidden="1" outlineLevel="2">
      <c r="A1288" t="s">
        <v>6</v>
      </c>
      <c r="B1288" s="1">
        <v>45853.562939814816</v>
      </c>
      <c r="C1288">
        <v>30002</v>
      </c>
      <c r="D1288" t="s">
        <v>7</v>
      </c>
      <c r="E1288" t="s">
        <v>143</v>
      </c>
      <c r="F1288" t="s">
        <v>24</v>
      </c>
    </row>
    <row r="1289" spans="1:6" hidden="1" outlineLevel="2">
      <c r="A1289" t="s">
        <v>6</v>
      </c>
      <c r="B1289" s="1">
        <v>45859.35297453704</v>
      </c>
      <c r="C1289">
        <v>30002</v>
      </c>
      <c r="D1289" t="s">
        <v>7</v>
      </c>
      <c r="E1289" t="s">
        <v>143</v>
      </c>
      <c r="F1289" t="s">
        <v>25</v>
      </c>
    </row>
    <row r="1290" spans="1:6" hidden="1" outlineLevel="2">
      <c r="A1290" t="s">
        <v>6</v>
      </c>
      <c r="B1290" s="1">
        <v>45859.348923611113</v>
      </c>
      <c r="C1290">
        <v>30002</v>
      </c>
      <c r="D1290" t="s">
        <v>7</v>
      </c>
      <c r="E1290" t="s">
        <v>143</v>
      </c>
      <c r="F1290" t="s">
        <v>25</v>
      </c>
    </row>
    <row r="1291" spans="1:6" hidden="1" outlineLevel="2">
      <c r="A1291" t="s">
        <v>6</v>
      </c>
      <c r="B1291" s="1">
        <v>45859.34851851852</v>
      </c>
      <c r="C1291">
        <v>30002</v>
      </c>
      <c r="D1291" t="s">
        <v>7</v>
      </c>
      <c r="E1291" t="s">
        <v>143</v>
      </c>
      <c r="F1291" t="s">
        <v>25</v>
      </c>
    </row>
    <row r="1292" spans="1:6" hidden="1" outlineLevel="2">
      <c r="A1292" t="s">
        <v>6</v>
      </c>
      <c r="B1292" s="1">
        <v>45839.576157407406</v>
      </c>
      <c r="C1292">
        <v>30002</v>
      </c>
      <c r="D1292" t="s">
        <v>7</v>
      </c>
      <c r="E1292" t="s">
        <v>143</v>
      </c>
      <c r="F1292" t="s">
        <v>25</v>
      </c>
    </row>
    <row r="1293" spans="1:6" hidden="1" outlineLevel="2">
      <c r="A1293" t="s">
        <v>6</v>
      </c>
      <c r="B1293" s="1">
        <v>45839.47146990741</v>
      </c>
      <c r="C1293">
        <v>30002</v>
      </c>
      <c r="D1293" t="s">
        <v>7</v>
      </c>
      <c r="E1293" t="s">
        <v>143</v>
      </c>
      <c r="F1293" t="s">
        <v>146</v>
      </c>
    </row>
    <row r="1294" spans="1:6" hidden="1" outlineLevel="2">
      <c r="A1294" t="s">
        <v>6</v>
      </c>
      <c r="B1294" s="1">
        <v>45839.469965277778</v>
      </c>
      <c r="C1294">
        <v>30002</v>
      </c>
      <c r="D1294" t="s">
        <v>7</v>
      </c>
      <c r="E1294" t="s">
        <v>143</v>
      </c>
      <c r="F1294" t="s">
        <v>146</v>
      </c>
    </row>
    <row r="1295" spans="1:6" hidden="1" outlineLevel="2">
      <c r="A1295" t="s">
        <v>6</v>
      </c>
      <c r="B1295" s="1">
        <v>45839.469351851854</v>
      </c>
      <c r="C1295">
        <v>30002</v>
      </c>
      <c r="D1295" t="s">
        <v>7</v>
      </c>
      <c r="E1295" t="s">
        <v>143</v>
      </c>
      <c r="F1295" t="s">
        <v>146</v>
      </c>
    </row>
    <row r="1296" spans="1:6" hidden="1" outlineLevel="2">
      <c r="A1296" t="s">
        <v>6</v>
      </c>
      <c r="B1296" s="1">
        <v>45866.645219907405</v>
      </c>
      <c r="C1296">
        <v>30002</v>
      </c>
      <c r="D1296" t="s">
        <v>7</v>
      </c>
      <c r="E1296" t="s">
        <v>143</v>
      </c>
      <c r="F1296" t="s">
        <v>97</v>
      </c>
    </row>
    <row r="1297" spans="1:6" hidden="1" outlineLevel="2">
      <c r="A1297" t="s">
        <v>6</v>
      </c>
      <c r="B1297" s="1">
        <v>45866.516458333332</v>
      </c>
      <c r="C1297">
        <v>30002</v>
      </c>
      <c r="D1297" t="s">
        <v>7</v>
      </c>
      <c r="E1297" t="s">
        <v>143</v>
      </c>
      <c r="F1297" t="s">
        <v>97</v>
      </c>
    </row>
    <row r="1298" spans="1:6" hidden="1" outlineLevel="2">
      <c r="A1298" t="s">
        <v>6</v>
      </c>
      <c r="B1298" s="1">
        <v>45853.379895833335</v>
      </c>
      <c r="C1298">
        <v>30002</v>
      </c>
      <c r="D1298" t="s">
        <v>7</v>
      </c>
      <c r="E1298" t="s">
        <v>143</v>
      </c>
      <c r="F1298" t="s">
        <v>97</v>
      </c>
    </row>
    <row r="1299" spans="1:6" hidden="1" outlineLevel="2">
      <c r="A1299" t="s">
        <v>6</v>
      </c>
      <c r="B1299" s="1">
        <v>45853.378217592595</v>
      </c>
      <c r="C1299">
        <v>30002</v>
      </c>
      <c r="D1299" t="s">
        <v>7</v>
      </c>
      <c r="E1299" t="s">
        <v>143</v>
      </c>
      <c r="F1299" t="s">
        <v>97</v>
      </c>
    </row>
    <row r="1300" spans="1:6" hidden="1" outlineLevel="2">
      <c r="A1300" t="s">
        <v>6</v>
      </c>
      <c r="B1300" s="1">
        <v>45853.374791666669</v>
      </c>
      <c r="C1300">
        <v>30002</v>
      </c>
      <c r="D1300" t="s">
        <v>7</v>
      </c>
      <c r="E1300" t="s">
        <v>143</v>
      </c>
      <c r="F1300" t="s">
        <v>97</v>
      </c>
    </row>
    <row r="1301" spans="1:6" hidden="1" outlineLevel="2">
      <c r="A1301" t="s">
        <v>6</v>
      </c>
      <c r="B1301" s="1">
        <v>45853.372164351851</v>
      </c>
      <c r="C1301">
        <v>30002</v>
      </c>
      <c r="D1301" t="s">
        <v>7</v>
      </c>
      <c r="E1301" t="s">
        <v>143</v>
      </c>
      <c r="F1301" t="s">
        <v>97</v>
      </c>
    </row>
    <row r="1302" spans="1:6" hidden="1" outlineLevel="2">
      <c r="A1302" t="s">
        <v>6</v>
      </c>
      <c r="B1302" s="1">
        <v>45853.369502314818</v>
      </c>
      <c r="C1302">
        <v>30002</v>
      </c>
      <c r="D1302" t="s">
        <v>7</v>
      </c>
      <c r="E1302" t="s">
        <v>143</v>
      </c>
      <c r="F1302" t="s">
        <v>97</v>
      </c>
    </row>
    <row r="1303" spans="1:6" hidden="1" outlineLevel="2">
      <c r="A1303" t="s">
        <v>6</v>
      </c>
      <c r="B1303" s="1">
        <v>45853.365173611113</v>
      </c>
      <c r="C1303">
        <v>30002</v>
      </c>
      <c r="D1303" t="s">
        <v>7</v>
      </c>
      <c r="E1303" t="s">
        <v>143</v>
      </c>
      <c r="F1303" t="s">
        <v>97</v>
      </c>
    </row>
    <row r="1304" spans="1:6" hidden="1" outlineLevel="2">
      <c r="A1304" t="s">
        <v>6</v>
      </c>
      <c r="B1304" s="1">
        <v>45853.363900462966</v>
      </c>
      <c r="C1304">
        <v>30002</v>
      </c>
      <c r="D1304" t="s">
        <v>7</v>
      </c>
      <c r="E1304" t="s">
        <v>143</v>
      </c>
      <c r="F1304" t="s">
        <v>97</v>
      </c>
    </row>
    <row r="1305" spans="1:6" hidden="1" outlineLevel="2">
      <c r="A1305" t="s">
        <v>6</v>
      </c>
      <c r="B1305" s="1">
        <v>45853.360983796294</v>
      </c>
      <c r="C1305">
        <v>30002</v>
      </c>
      <c r="D1305" t="s">
        <v>7</v>
      </c>
      <c r="E1305" t="s">
        <v>143</v>
      </c>
      <c r="F1305" t="s">
        <v>97</v>
      </c>
    </row>
    <row r="1306" spans="1:6" hidden="1" outlineLevel="2">
      <c r="A1306" t="s">
        <v>6</v>
      </c>
      <c r="B1306" s="1">
        <v>45853.360254629632</v>
      </c>
      <c r="C1306">
        <v>30002</v>
      </c>
      <c r="D1306" t="s">
        <v>7</v>
      </c>
      <c r="E1306" t="s">
        <v>143</v>
      </c>
      <c r="F1306" t="s">
        <v>97</v>
      </c>
    </row>
    <row r="1307" spans="1:6" hidden="1" outlineLevel="2">
      <c r="A1307" t="s">
        <v>6</v>
      </c>
      <c r="B1307" s="1">
        <v>45853.359826388885</v>
      </c>
      <c r="C1307">
        <v>30002</v>
      </c>
      <c r="D1307" t="s">
        <v>7</v>
      </c>
      <c r="E1307" t="s">
        <v>143</v>
      </c>
      <c r="F1307" t="s">
        <v>97</v>
      </c>
    </row>
    <row r="1308" spans="1:6" hidden="1" outlineLevel="2">
      <c r="A1308" t="s">
        <v>6</v>
      </c>
      <c r="B1308" s="1">
        <v>45853.358738425923</v>
      </c>
      <c r="C1308">
        <v>30002</v>
      </c>
      <c r="D1308" t="s">
        <v>7</v>
      </c>
      <c r="E1308" t="s">
        <v>143</v>
      </c>
      <c r="F1308" t="s">
        <v>97</v>
      </c>
    </row>
    <row r="1309" spans="1:6" hidden="1" outlineLevel="2">
      <c r="A1309" t="s">
        <v>6</v>
      </c>
      <c r="B1309" s="1">
        <v>45853.357094907406</v>
      </c>
      <c r="C1309">
        <v>30002</v>
      </c>
      <c r="D1309" t="s">
        <v>7</v>
      </c>
      <c r="E1309" t="s">
        <v>143</v>
      </c>
      <c r="F1309" t="s">
        <v>97</v>
      </c>
    </row>
    <row r="1310" spans="1:6" hidden="1" outlineLevel="2">
      <c r="A1310" t="s">
        <v>6</v>
      </c>
      <c r="B1310" s="1">
        <v>45853.355150462965</v>
      </c>
      <c r="C1310">
        <v>30002</v>
      </c>
      <c r="D1310" t="s">
        <v>7</v>
      </c>
      <c r="E1310" t="s">
        <v>143</v>
      </c>
      <c r="F1310" t="s">
        <v>97</v>
      </c>
    </row>
    <row r="1311" spans="1:6" hidden="1" outlineLevel="2">
      <c r="A1311" t="s">
        <v>6</v>
      </c>
      <c r="B1311" s="1">
        <v>45853.352511574078</v>
      </c>
      <c r="C1311">
        <v>30002</v>
      </c>
      <c r="D1311" t="s">
        <v>7</v>
      </c>
      <c r="E1311" t="s">
        <v>143</v>
      </c>
      <c r="F1311" t="s">
        <v>97</v>
      </c>
    </row>
    <row r="1312" spans="1:6" hidden="1" outlineLevel="2">
      <c r="A1312" t="s">
        <v>6</v>
      </c>
      <c r="B1312" s="1">
        <v>45853.350474537037</v>
      </c>
      <c r="C1312">
        <v>30002</v>
      </c>
      <c r="D1312" t="s">
        <v>7</v>
      </c>
      <c r="E1312" t="s">
        <v>143</v>
      </c>
      <c r="F1312" t="s">
        <v>97</v>
      </c>
    </row>
    <row r="1313" spans="1:6" hidden="1" outlineLevel="2">
      <c r="A1313" t="s">
        <v>6</v>
      </c>
      <c r="B1313" s="1">
        <v>45853.349456018521</v>
      </c>
      <c r="C1313">
        <v>30002</v>
      </c>
      <c r="D1313" t="s">
        <v>7</v>
      </c>
      <c r="E1313" t="s">
        <v>143</v>
      </c>
      <c r="F1313" t="s">
        <v>97</v>
      </c>
    </row>
    <row r="1314" spans="1:6" hidden="1" outlineLevel="2">
      <c r="A1314" t="s">
        <v>6</v>
      </c>
      <c r="B1314" s="1">
        <v>45853.347708333335</v>
      </c>
      <c r="C1314">
        <v>30002</v>
      </c>
      <c r="D1314" t="s">
        <v>7</v>
      </c>
      <c r="E1314" t="s">
        <v>143</v>
      </c>
      <c r="F1314" t="s">
        <v>97</v>
      </c>
    </row>
    <row r="1315" spans="1:6" hidden="1" outlineLevel="2">
      <c r="A1315" t="s">
        <v>6</v>
      </c>
      <c r="B1315" s="1">
        <v>45853.335914351854</v>
      </c>
      <c r="C1315">
        <v>30002</v>
      </c>
      <c r="D1315" t="s">
        <v>7</v>
      </c>
      <c r="E1315" t="s">
        <v>143</v>
      </c>
      <c r="F1315" t="s">
        <v>97</v>
      </c>
    </row>
    <row r="1316" spans="1:6" hidden="1" outlineLevel="2">
      <c r="A1316" t="s">
        <v>6</v>
      </c>
      <c r="B1316" s="1">
        <v>45853.333865740744</v>
      </c>
      <c r="C1316">
        <v>30002</v>
      </c>
      <c r="D1316" t="s">
        <v>7</v>
      </c>
      <c r="E1316" t="s">
        <v>143</v>
      </c>
      <c r="F1316" t="s">
        <v>97</v>
      </c>
    </row>
    <row r="1317" spans="1:6" hidden="1" outlineLevel="2">
      <c r="A1317" t="s">
        <v>6</v>
      </c>
      <c r="B1317" s="1">
        <v>45853.332071759258</v>
      </c>
      <c r="C1317">
        <v>30002</v>
      </c>
      <c r="D1317" t="s">
        <v>7</v>
      </c>
      <c r="E1317" t="s">
        <v>143</v>
      </c>
      <c r="F1317" t="s">
        <v>97</v>
      </c>
    </row>
    <row r="1318" spans="1:6" hidden="1" outlineLevel="2">
      <c r="A1318" t="s">
        <v>6</v>
      </c>
      <c r="B1318" s="1">
        <v>45853.330590277779</v>
      </c>
      <c r="C1318">
        <v>30002</v>
      </c>
      <c r="D1318" t="s">
        <v>7</v>
      </c>
      <c r="E1318" t="s">
        <v>143</v>
      </c>
      <c r="F1318" t="s">
        <v>97</v>
      </c>
    </row>
    <row r="1319" spans="1:6" hidden="1" outlineLevel="2">
      <c r="A1319" t="s">
        <v>6</v>
      </c>
      <c r="B1319" s="1">
        <v>45853.329467592594</v>
      </c>
      <c r="C1319">
        <v>30002</v>
      </c>
      <c r="D1319" t="s">
        <v>7</v>
      </c>
      <c r="E1319" t="s">
        <v>143</v>
      </c>
      <c r="F1319" t="s">
        <v>97</v>
      </c>
    </row>
    <row r="1320" spans="1:6" hidden="1" outlineLevel="2">
      <c r="A1320" t="s">
        <v>6</v>
      </c>
      <c r="B1320" s="1">
        <v>45853.325648148151</v>
      </c>
      <c r="C1320">
        <v>30002</v>
      </c>
      <c r="D1320" t="s">
        <v>7</v>
      </c>
      <c r="E1320" t="s">
        <v>143</v>
      </c>
      <c r="F1320" t="s">
        <v>97</v>
      </c>
    </row>
    <row r="1321" spans="1:6" hidden="1" outlineLevel="2">
      <c r="A1321" t="s">
        <v>6</v>
      </c>
      <c r="B1321" s="1">
        <v>45852.663912037038</v>
      </c>
      <c r="C1321">
        <v>30002</v>
      </c>
      <c r="D1321" t="s">
        <v>7</v>
      </c>
      <c r="E1321" t="s">
        <v>143</v>
      </c>
      <c r="F1321" t="s">
        <v>97</v>
      </c>
    </row>
    <row r="1322" spans="1:6" hidden="1" outlineLevel="2">
      <c r="A1322" t="s">
        <v>6</v>
      </c>
      <c r="B1322" s="1">
        <v>45852.656284722223</v>
      </c>
      <c r="C1322">
        <v>30002</v>
      </c>
      <c r="D1322" t="s">
        <v>7</v>
      </c>
      <c r="E1322" t="s">
        <v>143</v>
      </c>
      <c r="F1322" t="s">
        <v>97</v>
      </c>
    </row>
    <row r="1323" spans="1:6" hidden="1" outlineLevel="2">
      <c r="A1323" t="s">
        <v>6</v>
      </c>
      <c r="B1323" s="1">
        <v>45852.650613425925</v>
      </c>
      <c r="C1323">
        <v>30002</v>
      </c>
      <c r="D1323" t="s">
        <v>7</v>
      </c>
      <c r="E1323" t="s">
        <v>143</v>
      </c>
      <c r="F1323" t="s">
        <v>97</v>
      </c>
    </row>
    <row r="1324" spans="1:6" hidden="1" outlineLevel="2">
      <c r="A1324" t="s">
        <v>6</v>
      </c>
      <c r="B1324" s="1">
        <v>45852.647673611114</v>
      </c>
      <c r="C1324">
        <v>30002</v>
      </c>
      <c r="D1324" t="s">
        <v>7</v>
      </c>
      <c r="E1324" t="s">
        <v>143</v>
      </c>
      <c r="F1324" t="s">
        <v>97</v>
      </c>
    </row>
    <row r="1325" spans="1:6" hidden="1" outlineLevel="2">
      <c r="A1325" t="s">
        <v>6</v>
      </c>
      <c r="B1325" s="1">
        <v>45866.636516203704</v>
      </c>
      <c r="C1325">
        <v>30002</v>
      </c>
      <c r="D1325" t="s">
        <v>7</v>
      </c>
      <c r="E1325" t="s">
        <v>143</v>
      </c>
      <c r="F1325" t="s">
        <v>11</v>
      </c>
    </row>
    <row r="1326" spans="1:6" hidden="1" outlineLevel="2">
      <c r="A1326" t="s">
        <v>6</v>
      </c>
      <c r="B1326" s="1">
        <v>45861.559386574074</v>
      </c>
      <c r="C1326">
        <v>30002</v>
      </c>
      <c r="D1326" t="s">
        <v>7</v>
      </c>
      <c r="E1326" t="s">
        <v>143</v>
      </c>
      <c r="F1326" t="s">
        <v>11</v>
      </c>
    </row>
    <row r="1327" spans="1:6" hidden="1" outlineLevel="2">
      <c r="A1327" t="s">
        <v>6</v>
      </c>
      <c r="B1327" s="1">
        <v>45855.341840277775</v>
      </c>
      <c r="C1327">
        <v>30002</v>
      </c>
      <c r="D1327" t="s">
        <v>7</v>
      </c>
      <c r="E1327" t="s">
        <v>143</v>
      </c>
      <c r="F1327" t="s">
        <v>11</v>
      </c>
    </row>
    <row r="1328" spans="1:6" hidden="1" outlineLevel="2">
      <c r="A1328" t="s">
        <v>6</v>
      </c>
      <c r="B1328" s="1">
        <v>45852.554143518515</v>
      </c>
      <c r="C1328">
        <v>30002</v>
      </c>
      <c r="D1328" t="s">
        <v>7</v>
      </c>
      <c r="E1328" t="s">
        <v>143</v>
      </c>
      <c r="F1328" t="s">
        <v>11</v>
      </c>
    </row>
    <row r="1329" spans="1:6" hidden="1" outlineLevel="2">
      <c r="A1329" t="s">
        <v>6</v>
      </c>
      <c r="B1329" s="1">
        <v>45852.544317129628</v>
      </c>
      <c r="C1329">
        <v>30002</v>
      </c>
      <c r="D1329" t="s">
        <v>7</v>
      </c>
      <c r="E1329" t="s">
        <v>143</v>
      </c>
      <c r="F1329" t="s">
        <v>11</v>
      </c>
    </row>
    <row r="1330" spans="1:6" hidden="1" outlineLevel="2">
      <c r="A1330" t="s">
        <v>6</v>
      </c>
      <c r="B1330" s="1">
        <v>45840.342847222222</v>
      </c>
      <c r="C1330">
        <v>30002</v>
      </c>
      <c r="D1330" t="s">
        <v>7</v>
      </c>
      <c r="E1330" t="s">
        <v>143</v>
      </c>
      <c r="F1330" t="s">
        <v>11</v>
      </c>
    </row>
    <row r="1331" spans="1:6" outlineLevel="1" collapsed="1">
      <c r="B1331" s="1"/>
      <c r="E1331" s="2" t="s">
        <v>314</v>
      </c>
      <c r="F1331">
        <f>SUBTOTAL(3,F1073:F1330)</f>
        <v>258</v>
      </c>
    </row>
    <row r="1332" spans="1:6" hidden="1" outlineLevel="2">
      <c r="A1332" t="s">
        <v>6</v>
      </c>
      <c r="B1332" s="1">
        <v>45860.629178240742</v>
      </c>
      <c r="C1332">
        <v>30002</v>
      </c>
      <c r="D1332" t="s">
        <v>7</v>
      </c>
      <c r="E1332" t="s">
        <v>147</v>
      </c>
      <c r="F1332" t="s">
        <v>148</v>
      </c>
    </row>
    <row r="1333" spans="1:6" hidden="1" outlineLevel="2">
      <c r="A1333" t="s">
        <v>6</v>
      </c>
      <c r="B1333" s="1">
        <v>45860.628900462965</v>
      </c>
      <c r="C1333">
        <v>30002</v>
      </c>
      <c r="D1333" t="s">
        <v>7</v>
      </c>
      <c r="E1333" t="s">
        <v>147</v>
      </c>
      <c r="F1333" t="s">
        <v>148</v>
      </c>
    </row>
    <row r="1334" spans="1:6" hidden="1" outlineLevel="2">
      <c r="A1334" t="s">
        <v>6</v>
      </c>
      <c r="B1334" s="1">
        <v>45860.628159722219</v>
      </c>
      <c r="C1334">
        <v>30002</v>
      </c>
      <c r="D1334" t="s">
        <v>7</v>
      </c>
      <c r="E1334" t="s">
        <v>147</v>
      </c>
      <c r="F1334" t="s">
        <v>148</v>
      </c>
    </row>
    <row r="1335" spans="1:6" hidden="1" outlineLevel="2">
      <c r="A1335" t="s">
        <v>6</v>
      </c>
      <c r="B1335" s="1">
        <v>45860.62767361111</v>
      </c>
      <c r="C1335">
        <v>30002</v>
      </c>
      <c r="D1335" t="s">
        <v>7</v>
      </c>
      <c r="E1335" t="s">
        <v>147</v>
      </c>
      <c r="F1335" t="s">
        <v>148</v>
      </c>
    </row>
    <row r="1336" spans="1:6" hidden="1" outlineLevel="2">
      <c r="A1336" t="s">
        <v>6</v>
      </c>
      <c r="B1336" s="1">
        <v>45855.593831018516</v>
      </c>
      <c r="C1336">
        <v>30002</v>
      </c>
      <c r="D1336" t="s">
        <v>7</v>
      </c>
      <c r="E1336" t="s">
        <v>147</v>
      </c>
      <c r="F1336" t="s">
        <v>148</v>
      </c>
    </row>
    <row r="1337" spans="1:6" hidden="1" outlineLevel="2">
      <c r="A1337" t="s">
        <v>6</v>
      </c>
      <c r="B1337" s="1">
        <v>45868.383043981485</v>
      </c>
      <c r="C1337">
        <v>30002</v>
      </c>
      <c r="D1337" t="s">
        <v>7</v>
      </c>
      <c r="E1337" t="s">
        <v>147</v>
      </c>
      <c r="F1337" t="s">
        <v>66</v>
      </c>
    </row>
    <row r="1338" spans="1:6" hidden="1" outlineLevel="2">
      <c r="A1338" t="s">
        <v>6</v>
      </c>
      <c r="B1338" s="1">
        <v>45868.378472222219</v>
      </c>
      <c r="C1338">
        <v>30002</v>
      </c>
      <c r="D1338" t="s">
        <v>7</v>
      </c>
      <c r="E1338" t="s">
        <v>147</v>
      </c>
      <c r="F1338" t="s">
        <v>66</v>
      </c>
    </row>
    <row r="1339" spans="1:6" hidden="1" outlineLevel="2">
      <c r="A1339" t="s">
        <v>6</v>
      </c>
      <c r="B1339" s="1">
        <v>45868.378217592595</v>
      </c>
      <c r="C1339">
        <v>30002</v>
      </c>
      <c r="D1339" t="s">
        <v>7</v>
      </c>
      <c r="E1339" t="s">
        <v>147</v>
      </c>
      <c r="F1339" t="s">
        <v>66</v>
      </c>
    </row>
    <row r="1340" spans="1:6" hidden="1" outlineLevel="2">
      <c r="A1340" t="s">
        <v>6</v>
      </c>
      <c r="B1340" s="1">
        <v>45868.376284722224</v>
      </c>
      <c r="C1340">
        <v>30002</v>
      </c>
      <c r="D1340" t="s">
        <v>7</v>
      </c>
      <c r="E1340" t="s">
        <v>147</v>
      </c>
      <c r="F1340" t="s">
        <v>66</v>
      </c>
    </row>
    <row r="1341" spans="1:6" hidden="1" outlineLevel="2">
      <c r="A1341" t="s">
        <v>6</v>
      </c>
      <c r="B1341" s="1">
        <v>45863.578634259262</v>
      </c>
      <c r="C1341">
        <v>30002</v>
      </c>
      <c r="D1341" t="s">
        <v>7</v>
      </c>
      <c r="E1341" t="s">
        <v>147</v>
      </c>
      <c r="F1341" t="s">
        <v>66</v>
      </c>
    </row>
    <row r="1342" spans="1:6" outlineLevel="1" collapsed="1">
      <c r="B1342" s="1"/>
      <c r="E1342" s="2" t="s">
        <v>315</v>
      </c>
      <c r="F1342">
        <f>SUBTOTAL(3,F1332:F1341)</f>
        <v>10</v>
      </c>
    </row>
    <row r="1343" spans="1:6" hidden="1" outlineLevel="2">
      <c r="A1343" t="s">
        <v>6</v>
      </c>
      <c r="B1343" s="1">
        <v>45854.662604166668</v>
      </c>
      <c r="C1343">
        <v>30002</v>
      </c>
      <c r="D1343" t="s">
        <v>7</v>
      </c>
      <c r="E1343" t="s">
        <v>149</v>
      </c>
      <c r="F1343" t="s">
        <v>150</v>
      </c>
    </row>
    <row r="1344" spans="1:6" hidden="1" outlineLevel="2">
      <c r="A1344" t="s">
        <v>6</v>
      </c>
      <c r="B1344" s="1">
        <v>45854.658773148149</v>
      </c>
      <c r="C1344">
        <v>30002</v>
      </c>
      <c r="D1344" t="s">
        <v>7</v>
      </c>
      <c r="E1344" t="s">
        <v>149</v>
      </c>
      <c r="F1344" t="s">
        <v>150</v>
      </c>
    </row>
    <row r="1345" spans="1:6" outlineLevel="1" collapsed="1">
      <c r="B1345" s="1"/>
      <c r="E1345" s="2" t="s">
        <v>316</v>
      </c>
      <c r="F1345">
        <f>SUBTOTAL(3,F1343:F1344)</f>
        <v>2</v>
      </c>
    </row>
    <row r="1346" spans="1:6" hidden="1" outlineLevel="2">
      <c r="A1346" t="s">
        <v>6</v>
      </c>
      <c r="B1346" s="1">
        <v>45854.408541666664</v>
      </c>
      <c r="C1346">
        <v>30002</v>
      </c>
      <c r="D1346" t="s">
        <v>7</v>
      </c>
      <c r="E1346" t="s">
        <v>151</v>
      </c>
      <c r="F1346" t="s">
        <v>24</v>
      </c>
    </row>
    <row r="1347" spans="1:6" hidden="1" outlineLevel="2">
      <c r="A1347" t="s">
        <v>6</v>
      </c>
      <c r="B1347" s="1">
        <v>45854.407627314817</v>
      </c>
      <c r="C1347">
        <v>30002</v>
      </c>
      <c r="D1347" t="s">
        <v>7</v>
      </c>
      <c r="E1347" t="s">
        <v>151</v>
      </c>
      <c r="F1347" t="s">
        <v>24</v>
      </c>
    </row>
    <row r="1348" spans="1:6" hidden="1" outlineLevel="2">
      <c r="A1348" t="s">
        <v>6</v>
      </c>
      <c r="B1348" s="1">
        <v>45854.406875000001</v>
      </c>
      <c r="C1348">
        <v>30002</v>
      </c>
      <c r="D1348" t="s">
        <v>7</v>
      </c>
      <c r="E1348" t="s">
        <v>151</v>
      </c>
      <c r="F1348" t="s">
        <v>24</v>
      </c>
    </row>
    <row r="1349" spans="1:6" outlineLevel="1" collapsed="1">
      <c r="B1349" s="1"/>
      <c r="E1349" s="2" t="s">
        <v>317</v>
      </c>
      <c r="F1349">
        <f>SUBTOTAL(3,F1346:F1348)</f>
        <v>3</v>
      </c>
    </row>
    <row r="1350" spans="1:6" hidden="1" outlineLevel="2">
      <c r="A1350" t="s">
        <v>6</v>
      </c>
      <c r="B1350" s="1">
        <v>45840.550439814811</v>
      </c>
      <c r="C1350">
        <v>30002</v>
      </c>
      <c r="D1350" t="s">
        <v>7</v>
      </c>
      <c r="E1350" t="s">
        <v>152</v>
      </c>
      <c r="F1350" t="s">
        <v>36</v>
      </c>
    </row>
    <row r="1351" spans="1:6" outlineLevel="1" collapsed="1">
      <c r="B1351" s="1"/>
      <c r="E1351" s="2" t="s">
        <v>318</v>
      </c>
      <c r="F1351">
        <f>SUBTOTAL(3,F1350:F1350)</f>
        <v>1</v>
      </c>
    </row>
    <row r="1352" spans="1:6" hidden="1" outlineLevel="2">
      <c r="A1352" t="s">
        <v>6</v>
      </c>
      <c r="B1352" s="1">
        <v>45854.512858796297</v>
      </c>
      <c r="C1352">
        <v>30002</v>
      </c>
      <c r="D1352" t="s">
        <v>7</v>
      </c>
      <c r="E1352" t="s">
        <v>153</v>
      </c>
      <c r="F1352" t="s">
        <v>36</v>
      </c>
    </row>
    <row r="1353" spans="1:6" hidden="1" outlineLevel="2">
      <c r="A1353" t="s">
        <v>6</v>
      </c>
      <c r="B1353" s="1">
        <v>45862.538449074076</v>
      </c>
      <c r="C1353">
        <v>30002</v>
      </c>
      <c r="D1353" t="s">
        <v>7</v>
      </c>
      <c r="E1353" t="s">
        <v>153</v>
      </c>
      <c r="F1353" t="s">
        <v>27</v>
      </c>
    </row>
    <row r="1354" spans="1:6" hidden="1" outlineLevel="2">
      <c r="A1354" t="s">
        <v>6</v>
      </c>
      <c r="B1354" s="1">
        <v>45862.418530092589</v>
      </c>
      <c r="C1354">
        <v>30002</v>
      </c>
      <c r="D1354" t="s">
        <v>7</v>
      </c>
      <c r="E1354" t="s">
        <v>153</v>
      </c>
      <c r="F1354" t="s">
        <v>27</v>
      </c>
    </row>
    <row r="1355" spans="1:6" hidden="1" outlineLevel="2">
      <c r="A1355" t="s">
        <v>6</v>
      </c>
      <c r="B1355" s="1">
        <v>45860.644259259258</v>
      </c>
      <c r="C1355">
        <v>30002</v>
      </c>
      <c r="D1355" t="s">
        <v>7</v>
      </c>
      <c r="E1355" t="s">
        <v>153</v>
      </c>
      <c r="F1355" t="s">
        <v>27</v>
      </c>
    </row>
    <row r="1356" spans="1:6" hidden="1" outlineLevel="2">
      <c r="A1356" t="s">
        <v>6</v>
      </c>
      <c r="B1356" s="1">
        <v>45860.64234953704</v>
      </c>
      <c r="C1356">
        <v>30002</v>
      </c>
      <c r="D1356" t="s">
        <v>7</v>
      </c>
      <c r="E1356" t="s">
        <v>153</v>
      </c>
      <c r="F1356" t="s">
        <v>27</v>
      </c>
    </row>
    <row r="1357" spans="1:6" outlineLevel="1" collapsed="1">
      <c r="B1357" s="1"/>
      <c r="E1357" s="2" t="s">
        <v>319</v>
      </c>
      <c r="F1357">
        <f>SUBTOTAL(3,F1352:F1356)</f>
        <v>5</v>
      </c>
    </row>
    <row r="1358" spans="1:6" hidden="1" outlineLevel="2">
      <c r="A1358" t="s">
        <v>6</v>
      </c>
      <c r="B1358" s="1">
        <v>45869.581782407404</v>
      </c>
      <c r="C1358">
        <v>30002</v>
      </c>
      <c r="D1358" t="s">
        <v>7</v>
      </c>
      <c r="E1358" t="s">
        <v>154</v>
      </c>
      <c r="F1358" t="s">
        <v>114</v>
      </c>
    </row>
    <row r="1359" spans="1:6" outlineLevel="1" collapsed="1">
      <c r="B1359" s="1"/>
      <c r="E1359" s="2" t="s">
        <v>320</v>
      </c>
      <c r="F1359">
        <f>SUBTOTAL(3,F1358:F1358)</f>
        <v>1</v>
      </c>
    </row>
    <row r="1360" spans="1:6" hidden="1" outlineLevel="2">
      <c r="A1360" t="s">
        <v>6</v>
      </c>
      <c r="B1360" s="1">
        <v>45854.480057870373</v>
      </c>
      <c r="C1360">
        <v>30002</v>
      </c>
      <c r="D1360" t="s">
        <v>7</v>
      </c>
      <c r="E1360" t="s">
        <v>155</v>
      </c>
      <c r="F1360" t="s">
        <v>36</v>
      </c>
    </row>
    <row r="1361" spans="1:6" hidden="1" outlineLevel="2">
      <c r="A1361" t="s">
        <v>6</v>
      </c>
      <c r="B1361" s="1">
        <v>45854.478368055556</v>
      </c>
      <c r="C1361">
        <v>30002</v>
      </c>
      <c r="D1361" t="s">
        <v>7</v>
      </c>
      <c r="E1361" t="s">
        <v>155</v>
      </c>
      <c r="F1361" t="s">
        <v>36</v>
      </c>
    </row>
    <row r="1362" spans="1:6" outlineLevel="1" collapsed="1">
      <c r="B1362" s="1"/>
      <c r="E1362" s="2" t="s">
        <v>321</v>
      </c>
      <c r="F1362">
        <f>SUBTOTAL(3,F1360:F1361)</f>
        <v>2</v>
      </c>
    </row>
    <row r="1363" spans="1:6" hidden="1" outlineLevel="2">
      <c r="A1363" t="s">
        <v>6</v>
      </c>
      <c r="B1363" s="1">
        <v>45853.331493055557</v>
      </c>
      <c r="C1363">
        <v>30002</v>
      </c>
      <c r="D1363" t="s">
        <v>7</v>
      </c>
      <c r="E1363" t="s">
        <v>156</v>
      </c>
      <c r="F1363" t="s">
        <v>114</v>
      </c>
    </row>
    <row r="1364" spans="1:6" hidden="1" outlineLevel="2">
      <c r="A1364" t="s">
        <v>6</v>
      </c>
      <c r="B1364" s="1">
        <v>45853.331388888888</v>
      </c>
      <c r="C1364">
        <v>30002</v>
      </c>
      <c r="D1364" t="s">
        <v>7</v>
      </c>
      <c r="E1364" t="s">
        <v>156</v>
      </c>
      <c r="F1364" t="s">
        <v>114</v>
      </c>
    </row>
    <row r="1365" spans="1:6" hidden="1" outlineLevel="2">
      <c r="A1365" t="s">
        <v>6</v>
      </c>
      <c r="B1365" s="1">
        <v>45853.331180555557</v>
      </c>
      <c r="C1365">
        <v>30002</v>
      </c>
      <c r="D1365" t="s">
        <v>7</v>
      </c>
      <c r="E1365" t="s">
        <v>156</v>
      </c>
      <c r="F1365" t="s">
        <v>114</v>
      </c>
    </row>
    <row r="1366" spans="1:6" hidden="1" outlineLevel="2">
      <c r="A1366" t="s">
        <v>6</v>
      </c>
      <c r="B1366" s="1">
        <v>45853.329363425924</v>
      </c>
      <c r="C1366">
        <v>30002</v>
      </c>
      <c r="D1366" t="s">
        <v>7</v>
      </c>
      <c r="E1366" t="s">
        <v>156</v>
      </c>
      <c r="F1366" t="s">
        <v>114</v>
      </c>
    </row>
    <row r="1367" spans="1:6" hidden="1" outlineLevel="2">
      <c r="A1367" t="s">
        <v>6</v>
      </c>
      <c r="B1367" s="1">
        <v>45868.595891203702</v>
      </c>
      <c r="C1367">
        <v>30002</v>
      </c>
      <c r="D1367" t="s">
        <v>7</v>
      </c>
      <c r="E1367" t="s">
        <v>156</v>
      </c>
      <c r="F1367" t="s">
        <v>115</v>
      </c>
    </row>
    <row r="1368" spans="1:6" hidden="1" outlineLevel="2">
      <c r="A1368" t="s">
        <v>6</v>
      </c>
      <c r="B1368" s="1">
        <v>45859.689699074072</v>
      </c>
      <c r="C1368">
        <v>30002</v>
      </c>
      <c r="D1368" t="s">
        <v>7</v>
      </c>
      <c r="E1368" t="s">
        <v>156</v>
      </c>
      <c r="F1368" t="s">
        <v>115</v>
      </c>
    </row>
    <row r="1369" spans="1:6" hidden="1" outlineLevel="2">
      <c r="A1369" t="s">
        <v>6</v>
      </c>
      <c r="B1369" s="1">
        <v>45859.688460648147</v>
      </c>
      <c r="C1369">
        <v>30002</v>
      </c>
      <c r="D1369" t="s">
        <v>7</v>
      </c>
      <c r="E1369" t="s">
        <v>156</v>
      </c>
      <c r="F1369" t="s">
        <v>115</v>
      </c>
    </row>
    <row r="1370" spans="1:6" hidden="1" outlineLevel="2">
      <c r="A1370" t="s">
        <v>6</v>
      </c>
      <c r="B1370" s="1">
        <v>45859.6878125</v>
      </c>
      <c r="C1370">
        <v>30002</v>
      </c>
      <c r="D1370" t="s">
        <v>7</v>
      </c>
      <c r="E1370" t="s">
        <v>156</v>
      </c>
      <c r="F1370" t="s">
        <v>115</v>
      </c>
    </row>
    <row r="1371" spans="1:6" hidden="1" outlineLevel="2">
      <c r="A1371" t="s">
        <v>6</v>
      </c>
      <c r="B1371" s="1">
        <v>45854.64738425926</v>
      </c>
      <c r="C1371">
        <v>30002</v>
      </c>
      <c r="D1371" t="s">
        <v>7</v>
      </c>
      <c r="E1371" t="s">
        <v>156</v>
      </c>
      <c r="F1371" t="s">
        <v>115</v>
      </c>
    </row>
    <row r="1372" spans="1:6" hidden="1" outlineLevel="2">
      <c r="A1372" t="s">
        <v>6</v>
      </c>
      <c r="B1372" s="1">
        <v>45854.647175925929</v>
      </c>
      <c r="C1372">
        <v>30002</v>
      </c>
      <c r="D1372" t="s">
        <v>7</v>
      </c>
      <c r="E1372" t="s">
        <v>156</v>
      </c>
      <c r="F1372" t="s">
        <v>115</v>
      </c>
    </row>
    <row r="1373" spans="1:6" hidden="1" outlineLevel="2">
      <c r="A1373" t="s">
        <v>6</v>
      </c>
      <c r="B1373" s="1">
        <v>45845.489548611113</v>
      </c>
      <c r="C1373">
        <v>30002</v>
      </c>
      <c r="D1373" t="s">
        <v>7</v>
      </c>
      <c r="E1373" t="s">
        <v>156</v>
      </c>
      <c r="F1373" t="s">
        <v>115</v>
      </c>
    </row>
    <row r="1374" spans="1:6" outlineLevel="1" collapsed="1">
      <c r="B1374" s="1"/>
      <c r="E1374" s="2" t="s">
        <v>322</v>
      </c>
      <c r="F1374">
        <f>SUBTOTAL(3,F1363:F1373)</f>
        <v>11</v>
      </c>
    </row>
    <row r="1375" spans="1:6" hidden="1" outlineLevel="2">
      <c r="A1375" t="s">
        <v>6</v>
      </c>
      <c r="B1375" s="1">
        <v>45856.401550925926</v>
      </c>
      <c r="C1375">
        <v>30002</v>
      </c>
      <c r="D1375" t="s">
        <v>7</v>
      </c>
      <c r="E1375" t="s">
        <v>157</v>
      </c>
      <c r="F1375" t="s">
        <v>137</v>
      </c>
    </row>
    <row r="1376" spans="1:6" hidden="1" outlineLevel="2">
      <c r="A1376" t="s">
        <v>6</v>
      </c>
      <c r="B1376" s="1">
        <v>45856.401087962964</v>
      </c>
      <c r="C1376">
        <v>30002</v>
      </c>
      <c r="D1376" t="s">
        <v>7</v>
      </c>
      <c r="E1376" t="s">
        <v>157</v>
      </c>
      <c r="F1376" t="s">
        <v>137</v>
      </c>
    </row>
    <row r="1377" spans="1:6" hidden="1" outlineLevel="2">
      <c r="A1377" t="s">
        <v>6</v>
      </c>
      <c r="B1377" s="1">
        <v>45856.390729166669</v>
      </c>
      <c r="C1377">
        <v>30002</v>
      </c>
      <c r="D1377" t="s">
        <v>7</v>
      </c>
      <c r="E1377" t="s">
        <v>157</v>
      </c>
      <c r="F1377" t="s">
        <v>137</v>
      </c>
    </row>
    <row r="1378" spans="1:6" hidden="1" outlineLevel="2">
      <c r="A1378" t="s">
        <v>6</v>
      </c>
      <c r="B1378" s="1">
        <v>45846.616388888891</v>
      </c>
      <c r="C1378">
        <v>30002</v>
      </c>
      <c r="D1378" t="s">
        <v>7</v>
      </c>
      <c r="E1378" t="s">
        <v>157</v>
      </c>
      <c r="F1378" t="s">
        <v>13</v>
      </c>
    </row>
    <row r="1379" spans="1:6" hidden="1" outlineLevel="2">
      <c r="A1379" t="s">
        <v>6</v>
      </c>
      <c r="B1379" s="1">
        <v>45869.647939814815</v>
      </c>
      <c r="C1379">
        <v>30002</v>
      </c>
      <c r="D1379" t="s">
        <v>7</v>
      </c>
      <c r="E1379" t="s">
        <v>157</v>
      </c>
      <c r="F1379" t="s">
        <v>18</v>
      </c>
    </row>
    <row r="1380" spans="1:6" hidden="1" outlineLevel="2">
      <c r="A1380" t="s">
        <v>6</v>
      </c>
      <c r="B1380" s="1">
        <v>45866.312754629631</v>
      </c>
      <c r="C1380">
        <v>30002</v>
      </c>
      <c r="D1380" t="s">
        <v>7</v>
      </c>
      <c r="E1380" t="s">
        <v>157</v>
      </c>
      <c r="F1380" t="s">
        <v>18</v>
      </c>
    </row>
    <row r="1381" spans="1:6" hidden="1" outlineLevel="2">
      <c r="A1381" t="s">
        <v>6</v>
      </c>
      <c r="B1381" s="1">
        <v>45852.686909722222</v>
      </c>
      <c r="C1381">
        <v>30002</v>
      </c>
      <c r="D1381" t="s">
        <v>7</v>
      </c>
      <c r="E1381" t="s">
        <v>157</v>
      </c>
      <c r="F1381" t="s">
        <v>18</v>
      </c>
    </row>
    <row r="1382" spans="1:6" hidden="1" outlineLevel="2">
      <c r="A1382" t="s">
        <v>6</v>
      </c>
      <c r="B1382" s="1">
        <v>45852.685902777775</v>
      </c>
      <c r="C1382">
        <v>30002</v>
      </c>
      <c r="D1382" t="s">
        <v>7</v>
      </c>
      <c r="E1382" t="s">
        <v>157</v>
      </c>
      <c r="F1382" t="s">
        <v>18</v>
      </c>
    </row>
    <row r="1383" spans="1:6" hidden="1" outlineLevel="2">
      <c r="A1383" t="s">
        <v>6</v>
      </c>
      <c r="B1383" s="1">
        <v>45844.377893518518</v>
      </c>
      <c r="C1383">
        <v>30002</v>
      </c>
      <c r="D1383" t="s">
        <v>7</v>
      </c>
      <c r="E1383" t="s">
        <v>157</v>
      </c>
      <c r="F1383" t="s">
        <v>18</v>
      </c>
    </row>
    <row r="1384" spans="1:6" hidden="1" outlineLevel="2">
      <c r="A1384" t="s">
        <v>6</v>
      </c>
      <c r="B1384" s="1">
        <v>45853.568784722222</v>
      </c>
      <c r="C1384">
        <v>30002</v>
      </c>
      <c r="D1384" t="s">
        <v>7</v>
      </c>
      <c r="E1384" t="s">
        <v>157</v>
      </c>
      <c r="F1384" t="s">
        <v>24</v>
      </c>
    </row>
    <row r="1385" spans="1:6" outlineLevel="1" collapsed="1">
      <c r="B1385" s="1"/>
      <c r="E1385" s="2" t="s">
        <v>323</v>
      </c>
      <c r="F1385">
        <f>SUBTOTAL(3,F1375:F1384)</f>
        <v>10</v>
      </c>
    </row>
    <row r="1386" spans="1:6" hidden="1" outlineLevel="2">
      <c r="A1386" t="s">
        <v>6</v>
      </c>
      <c r="B1386" s="1">
        <v>45846.657789351855</v>
      </c>
      <c r="C1386">
        <v>30002</v>
      </c>
      <c r="D1386" t="s">
        <v>7</v>
      </c>
      <c r="E1386" t="s">
        <v>158</v>
      </c>
      <c r="F1386" t="s">
        <v>27</v>
      </c>
    </row>
    <row r="1387" spans="1:6" outlineLevel="1" collapsed="1">
      <c r="B1387" s="1"/>
      <c r="E1387" s="2" t="s">
        <v>324</v>
      </c>
      <c r="F1387">
        <f>SUBTOTAL(3,F1386:F1386)</f>
        <v>1</v>
      </c>
    </row>
    <row r="1388" spans="1:6" hidden="1" outlineLevel="2">
      <c r="A1388" t="s">
        <v>6</v>
      </c>
      <c r="B1388" s="1">
        <v>45861.510185185187</v>
      </c>
      <c r="C1388">
        <v>30002</v>
      </c>
      <c r="D1388" t="s">
        <v>7</v>
      </c>
      <c r="E1388" t="s">
        <v>159</v>
      </c>
      <c r="F1388" t="s">
        <v>36</v>
      </c>
    </row>
    <row r="1389" spans="1:6" hidden="1" outlineLevel="2">
      <c r="A1389" t="s">
        <v>6</v>
      </c>
      <c r="B1389" s="1">
        <v>45854.520810185182</v>
      </c>
      <c r="C1389">
        <v>30002</v>
      </c>
      <c r="D1389" t="s">
        <v>7</v>
      </c>
      <c r="E1389" t="s">
        <v>159</v>
      </c>
      <c r="F1389" t="s">
        <v>36</v>
      </c>
    </row>
    <row r="1390" spans="1:6" hidden="1" outlineLevel="2">
      <c r="A1390" t="s">
        <v>6</v>
      </c>
      <c r="B1390" s="1">
        <v>45863.35796296296</v>
      </c>
      <c r="C1390">
        <v>30002</v>
      </c>
      <c r="D1390" t="s">
        <v>7</v>
      </c>
      <c r="E1390" t="s">
        <v>159</v>
      </c>
      <c r="F1390" t="s">
        <v>27</v>
      </c>
    </row>
    <row r="1391" spans="1:6" outlineLevel="1" collapsed="1">
      <c r="B1391" s="1"/>
      <c r="E1391" s="2" t="s">
        <v>325</v>
      </c>
      <c r="F1391">
        <f>SUBTOTAL(3,F1388:F1390)</f>
        <v>3</v>
      </c>
    </row>
    <row r="1392" spans="1:6" hidden="1" outlineLevel="2">
      <c r="A1392" t="s">
        <v>6</v>
      </c>
      <c r="B1392" s="1">
        <v>45863.419768518521</v>
      </c>
      <c r="C1392">
        <v>30002</v>
      </c>
      <c r="D1392" t="s">
        <v>7</v>
      </c>
      <c r="E1392" t="s">
        <v>160</v>
      </c>
      <c r="F1392" t="s">
        <v>97</v>
      </c>
    </row>
    <row r="1393" spans="1:6" hidden="1" outlineLevel="2">
      <c r="A1393" t="s">
        <v>6</v>
      </c>
      <c r="B1393" s="1">
        <v>45852.377245370371</v>
      </c>
      <c r="C1393">
        <v>30002</v>
      </c>
      <c r="D1393" t="s">
        <v>7</v>
      </c>
      <c r="E1393" t="s">
        <v>160</v>
      </c>
      <c r="F1393" t="s">
        <v>11</v>
      </c>
    </row>
    <row r="1394" spans="1:6" hidden="1" outlineLevel="2">
      <c r="A1394" t="s">
        <v>6</v>
      </c>
      <c r="B1394" s="1">
        <v>45852.360023148147</v>
      </c>
      <c r="C1394">
        <v>30002</v>
      </c>
      <c r="D1394" t="s">
        <v>7</v>
      </c>
      <c r="E1394" t="s">
        <v>160</v>
      </c>
      <c r="F1394" t="s">
        <v>11</v>
      </c>
    </row>
    <row r="1395" spans="1:6" hidden="1" outlineLevel="2">
      <c r="A1395" t="s">
        <v>6</v>
      </c>
      <c r="B1395" s="1">
        <v>45852.359780092593</v>
      </c>
      <c r="C1395">
        <v>30002</v>
      </c>
      <c r="D1395" t="s">
        <v>7</v>
      </c>
      <c r="E1395" t="s">
        <v>160</v>
      </c>
      <c r="F1395" t="s">
        <v>11</v>
      </c>
    </row>
    <row r="1396" spans="1:6" outlineLevel="1" collapsed="1">
      <c r="B1396" s="1"/>
      <c r="E1396" s="2" t="s">
        <v>326</v>
      </c>
      <c r="F1396">
        <f>SUBTOTAL(3,F1392:F1395)</f>
        <v>4</v>
      </c>
    </row>
    <row r="1397" spans="1:6" hidden="1" outlineLevel="2">
      <c r="A1397" t="s">
        <v>6</v>
      </c>
      <c r="B1397" s="1">
        <v>45853.295983796299</v>
      </c>
      <c r="C1397">
        <v>30002</v>
      </c>
      <c r="D1397" t="s">
        <v>7</v>
      </c>
      <c r="E1397" t="s">
        <v>161</v>
      </c>
      <c r="F1397" t="s">
        <v>19</v>
      </c>
    </row>
    <row r="1398" spans="1:6" outlineLevel="1" collapsed="1">
      <c r="B1398" s="1"/>
      <c r="E1398" s="2" t="s">
        <v>327</v>
      </c>
      <c r="F1398">
        <f>SUBTOTAL(3,F1397:F1397)</f>
        <v>1</v>
      </c>
    </row>
    <row r="1399" spans="1:6" hidden="1" outlineLevel="2">
      <c r="A1399" t="s">
        <v>6</v>
      </c>
      <c r="B1399" s="1">
        <v>45845.557337962964</v>
      </c>
      <c r="C1399">
        <v>30002</v>
      </c>
      <c r="D1399" t="s">
        <v>7</v>
      </c>
      <c r="E1399" t="s">
        <v>162</v>
      </c>
      <c r="F1399" t="s">
        <v>15</v>
      </c>
    </row>
    <row r="1400" spans="1:6" outlineLevel="1" collapsed="1">
      <c r="B1400" s="1"/>
      <c r="E1400" s="2" t="s">
        <v>328</v>
      </c>
      <c r="F1400">
        <f>SUBTOTAL(3,F1399:F1399)</f>
        <v>1</v>
      </c>
    </row>
    <row r="1401" spans="1:6" hidden="1" outlineLevel="2">
      <c r="A1401" t="s">
        <v>6</v>
      </c>
      <c r="B1401" s="1">
        <v>45847.321226851855</v>
      </c>
      <c r="C1401">
        <v>30002</v>
      </c>
      <c r="D1401" t="s">
        <v>7</v>
      </c>
      <c r="E1401" t="s">
        <v>163</v>
      </c>
      <c r="F1401" t="s">
        <v>11</v>
      </c>
    </row>
    <row r="1402" spans="1:6" outlineLevel="1" collapsed="1">
      <c r="B1402" s="1"/>
      <c r="E1402" s="2" t="s">
        <v>329</v>
      </c>
      <c r="F1402">
        <f>SUBTOTAL(3,F1401:F1401)</f>
        <v>1</v>
      </c>
    </row>
    <row r="1403" spans="1:6" hidden="1" outlineLevel="2">
      <c r="A1403" t="s">
        <v>6</v>
      </c>
      <c r="B1403" s="1">
        <v>45839.026701388888</v>
      </c>
      <c r="C1403">
        <v>30002</v>
      </c>
      <c r="D1403" t="s">
        <v>7</v>
      </c>
      <c r="E1403" t="s">
        <v>164</v>
      </c>
      <c r="F1403" t="s">
        <v>165</v>
      </c>
    </row>
    <row r="1404" spans="1:6" hidden="1" outlineLevel="2">
      <c r="A1404" t="s">
        <v>6</v>
      </c>
      <c r="B1404" s="1">
        <v>45839.004525462966</v>
      </c>
      <c r="C1404">
        <v>30002</v>
      </c>
      <c r="D1404" t="s">
        <v>7</v>
      </c>
      <c r="E1404" t="s">
        <v>164</v>
      </c>
      <c r="F1404" t="s">
        <v>165</v>
      </c>
    </row>
    <row r="1405" spans="1:6" hidden="1" outlineLevel="2">
      <c r="A1405" t="s">
        <v>6</v>
      </c>
      <c r="B1405" s="1">
        <v>45839.002291666664</v>
      </c>
      <c r="C1405">
        <v>30002</v>
      </c>
      <c r="D1405" t="s">
        <v>7</v>
      </c>
      <c r="E1405" t="s">
        <v>164</v>
      </c>
      <c r="F1405" t="s">
        <v>165</v>
      </c>
    </row>
    <row r="1406" spans="1:6" hidden="1" outlineLevel="2">
      <c r="A1406" t="s">
        <v>6</v>
      </c>
      <c r="B1406" s="1">
        <v>45861.757418981484</v>
      </c>
      <c r="C1406">
        <v>30002</v>
      </c>
      <c r="D1406" t="s">
        <v>7</v>
      </c>
      <c r="E1406" t="s">
        <v>164</v>
      </c>
      <c r="F1406" t="s">
        <v>65</v>
      </c>
    </row>
    <row r="1407" spans="1:6" hidden="1" outlineLevel="2">
      <c r="A1407" t="s">
        <v>6</v>
      </c>
      <c r="B1407" s="1">
        <v>45853.147222222222</v>
      </c>
      <c r="C1407">
        <v>30002</v>
      </c>
      <c r="D1407" t="s">
        <v>7</v>
      </c>
      <c r="E1407" t="s">
        <v>164</v>
      </c>
      <c r="F1407" t="s">
        <v>65</v>
      </c>
    </row>
    <row r="1408" spans="1:6" hidden="1" outlineLevel="2">
      <c r="A1408" t="s">
        <v>6</v>
      </c>
      <c r="B1408" s="1">
        <v>45853.145601851851</v>
      </c>
      <c r="C1408">
        <v>30002</v>
      </c>
      <c r="D1408" t="s">
        <v>7</v>
      </c>
      <c r="E1408" t="s">
        <v>164</v>
      </c>
      <c r="F1408" t="s">
        <v>65</v>
      </c>
    </row>
    <row r="1409" spans="1:6" hidden="1" outlineLevel="2">
      <c r="A1409" t="s">
        <v>6</v>
      </c>
      <c r="B1409" s="1">
        <v>45840.369537037041</v>
      </c>
      <c r="C1409">
        <v>30002</v>
      </c>
      <c r="D1409" t="s">
        <v>7</v>
      </c>
      <c r="E1409" t="s">
        <v>164</v>
      </c>
      <c r="F1409" t="s">
        <v>65</v>
      </c>
    </row>
    <row r="1410" spans="1:6" hidden="1" outlineLevel="2">
      <c r="A1410" t="s">
        <v>6</v>
      </c>
      <c r="B1410" s="1">
        <v>45852.611261574071</v>
      </c>
      <c r="C1410">
        <v>30002</v>
      </c>
      <c r="D1410" t="s">
        <v>7</v>
      </c>
      <c r="E1410" t="s">
        <v>164</v>
      </c>
      <c r="F1410" t="s">
        <v>9</v>
      </c>
    </row>
    <row r="1411" spans="1:6" hidden="1" outlineLevel="2">
      <c r="A1411" t="s">
        <v>6</v>
      </c>
      <c r="B1411" s="1">
        <v>45852.598680555559</v>
      </c>
      <c r="C1411">
        <v>30002</v>
      </c>
      <c r="D1411" t="s">
        <v>7</v>
      </c>
      <c r="E1411" t="s">
        <v>164</v>
      </c>
      <c r="F1411" t="s">
        <v>9</v>
      </c>
    </row>
    <row r="1412" spans="1:6" hidden="1" outlineLevel="2">
      <c r="A1412" t="s">
        <v>6</v>
      </c>
      <c r="B1412" s="1">
        <v>45852.387731481482</v>
      </c>
      <c r="C1412">
        <v>30002</v>
      </c>
      <c r="D1412" t="s">
        <v>7</v>
      </c>
      <c r="E1412" t="s">
        <v>164</v>
      </c>
      <c r="F1412" t="s">
        <v>9</v>
      </c>
    </row>
    <row r="1413" spans="1:6" hidden="1" outlineLevel="2">
      <c r="A1413" t="s">
        <v>6</v>
      </c>
      <c r="B1413" s="1">
        <v>45852.377430555556</v>
      </c>
      <c r="C1413">
        <v>30002</v>
      </c>
      <c r="D1413" t="s">
        <v>7</v>
      </c>
      <c r="E1413" t="s">
        <v>164</v>
      </c>
      <c r="F1413" t="s">
        <v>9</v>
      </c>
    </row>
    <row r="1414" spans="1:6" hidden="1" outlineLevel="2">
      <c r="A1414" t="s">
        <v>6</v>
      </c>
      <c r="B1414" s="1">
        <v>45852.377002314817</v>
      </c>
      <c r="C1414">
        <v>30002</v>
      </c>
      <c r="D1414" t="s">
        <v>7</v>
      </c>
      <c r="E1414" t="s">
        <v>164</v>
      </c>
      <c r="F1414" t="s">
        <v>9</v>
      </c>
    </row>
    <row r="1415" spans="1:6" hidden="1" outlineLevel="2">
      <c r="A1415" t="s">
        <v>6</v>
      </c>
      <c r="B1415" s="1">
        <v>45852.376608796294</v>
      </c>
      <c r="C1415">
        <v>30002</v>
      </c>
      <c r="D1415" t="s">
        <v>7</v>
      </c>
      <c r="E1415" t="s">
        <v>164</v>
      </c>
      <c r="F1415" t="s">
        <v>9</v>
      </c>
    </row>
    <row r="1416" spans="1:6" hidden="1" outlineLevel="2">
      <c r="A1416" t="s">
        <v>6</v>
      </c>
      <c r="B1416" s="1">
        <v>45852.37636574074</v>
      </c>
      <c r="C1416">
        <v>30002</v>
      </c>
      <c r="D1416" t="s">
        <v>7</v>
      </c>
      <c r="E1416" t="s">
        <v>164</v>
      </c>
      <c r="F1416" t="s">
        <v>9</v>
      </c>
    </row>
    <row r="1417" spans="1:6" hidden="1" outlineLevel="2">
      <c r="A1417" t="s">
        <v>6</v>
      </c>
      <c r="B1417" s="1">
        <v>45852.376261574071</v>
      </c>
      <c r="C1417">
        <v>30002</v>
      </c>
      <c r="D1417" t="s">
        <v>7</v>
      </c>
      <c r="E1417" t="s">
        <v>164</v>
      </c>
      <c r="F1417" t="s">
        <v>9</v>
      </c>
    </row>
    <row r="1418" spans="1:6" hidden="1" outlineLevel="2">
      <c r="A1418" t="s">
        <v>6</v>
      </c>
      <c r="B1418" s="1">
        <v>45852.375914351855</v>
      </c>
      <c r="C1418">
        <v>30002</v>
      </c>
      <c r="D1418" t="s">
        <v>7</v>
      </c>
      <c r="E1418" t="s">
        <v>164</v>
      </c>
      <c r="F1418" t="s">
        <v>9</v>
      </c>
    </row>
    <row r="1419" spans="1:6" hidden="1" outlineLevel="2">
      <c r="A1419" t="s">
        <v>6</v>
      </c>
      <c r="B1419" s="1">
        <v>45852.375567129631</v>
      </c>
      <c r="C1419">
        <v>30002</v>
      </c>
      <c r="D1419" t="s">
        <v>7</v>
      </c>
      <c r="E1419" t="s">
        <v>164</v>
      </c>
      <c r="F1419" t="s">
        <v>9</v>
      </c>
    </row>
    <row r="1420" spans="1:6" hidden="1" outlineLevel="2">
      <c r="A1420" t="s">
        <v>6</v>
      </c>
      <c r="B1420" s="1">
        <v>45852.375428240739</v>
      </c>
      <c r="C1420">
        <v>30002</v>
      </c>
      <c r="D1420" t="s">
        <v>7</v>
      </c>
      <c r="E1420" t="s">
        <v>164</v>
      </c>
      <c r="F1420" t="s">
        <v>9</v>
      </c>
    </row>
    <row r="1421" spans="1:6" hidden="1" outlineLevel="2">
      <c r="A1421" t="s">
        <v>6</v>
      </c>
      <c r="B1421" s="1">
        <v>45852.375138888892</v>
      </c>
      <c r="C1421">
        <v>30002</v>
      </c>
      <c r="D1421" t="s">
        <v>7</v>
      </c>
      <c r="E1421" t="s">
        <v>164</v>
      </c>
      <c r="F1421" t="s">
        <v>9</v>
      </c>
    </row>
    <row r="1422" spans="1:6" hidden="1" outlineLevel="2">
      <c r="A1422" t="s">
        <v>6</v>
      </c>
      <c r="B1422" s="1">
        <v>45852.375034722223</v>
      </c>
      <c r="C1422">
        <v>30002</v>
      </c>
      <c r="D1422" t="s">
        <v>7</v>
      </c>
      <c r="E1422" t="s">
        <v>164</v>
      </c>
      <c r="F1422" t="s">
        <v>9</v>
      </c>
    </row>
    <row r="1423" spans="1:6" hidden="1" outlineLevel="2">
      <c r="A1423" t="s">
        <v>6</v>
      </c>
      <c r="B1423" s="1">
        <v>45852.374618055554</v>
      </c>
      <c r="C1423">
        <v>30002</v>
      </c>
      <c r="D1423" t="s">
        <v>7</v>
      </c>
      <c r="E1423" t="s">
        <v>164</v>
      </c>
      <c r="F1423" t="s">
        <v>9</v>
      </c>
    </row>
    <row r="1424" spans="1:6" hidden="1" outlineLevel="2">
      <c r="A1424" t="s">
        <v>6</v>
      </c>
      <c r="B1424" s="1">
        <v>45852.373877314814</v>
      </c>
      <c r="C1424">
        <v>30002</v>
      </c>
      <c r="D1424" t="s">
        <v>7</v>
      </c>
      <c r="E1424" t="s">
        <v>164</v>
      </c>
      <c r="F1424" t="s">
        <v>9</v>
      </c>
    </row>
    <row r="1425" spans="1:6" hidden="1" outlineLevel="2">
      <c r="A1425" t="s">
        <v>6</v>
      </c>
      <c r="B1425" s="1">
        <v>45852.373749999999</v>
      </c>
      <c r="C1425">
        <v>30002</v>
      </c>
      <c r="D1425" t="s">
        <v>7</v>
      </c>
      <c r="E1425" t="s">
        <v>164</v>
      </c>
      <c r="F1425" t="s">
        <v>9</v>
      </c>
    </row>
    <row r="1426" spans="1:6" hidden="1" outlineLevel="2">
      <c r="A1426" t="s">
        <v>6</v>
      </c>
      <c r="B1426" s="1">
        <v>45852.373333333337</v>
      </c>
      <c r="C1426">
        <v>30002</v>
      </c>
      <c r="D1426" t="s">
        <v>7</v>
      </c>
      <c r="E1426" t="s">
        <v>164</v>
      </c>
      <c r="F1426" t="s">
        <v>9</v>
      </c>
    </row>
    <row r="1427" spans="1:6" hidden="1" outlineLevel="2">
      <c r="A1427" t="s">
        <v>6</v>
      </c>
      <c r="B1427" s="1">
        <v>45852.37290509259</v>
      </c>
      <c r="C1427">
        <v>30002</v>
      </c>
      <c r="D1427" t="s">
        <v>7</v>
      </c>
      <c r="E1427" t="s">
        <v>164</v>
      </c>
      <c r="F1427" t="s">
        <v>9</v>
      </c>
    </row>
    <row r="1428" spans="1:6" hidden="1" outlineLevel="2">
      <c r="A1428" t="s">
        <v>6</v>
      </c>
      <c r="B1428" s="1">
        <v>45852.372233796297</v>
      </c>
      <c r="C1428">
        <v>30002</v>
      </c>
      <c r="D1428" t="s">
        <v>7</v>
      </c>
      <c r="E1428" t="s">
        <v>164</v>
      </c>
      <c r="F1428" t="s">
        <v>9</v>
      </c>
    </row>
    <row r="1429" spans="1:6" hidden="1" outlineLevel="2">
      <c r="A1429" t="s">
        <v>6</v>
      </c>
      <c r="B1429" s="1">
        <v>45852.371747685182</v>
      </c>
      <c r="C1429">
        <v>30002</v>
      </c>
      <c r="D1429" t="s">
        <v>7</v>
      </c>
      <c r="E1429" t="s">
        <v>164</v>
      </c>
      <c r="F1429" t="s">
        <v>9</v>
      </c>
    </row>
    <row r="1430" spans="1:6" hidden="1" outlineLevel="2">
      <c r="A1430" t="s">
        <v>6</v>
      </c>
      <c r="B1430" s="1">
        <v>45852.371053240742</v>
      </c>
      <c r="C1430">
        <v>30002</v>
      </c>
      <c r="D1430" t="s">
        <v>7</v>
      </c>
      <c r="E1430" t="s">
        <v>164</v>
      </c>
      <c r="F1430" t="s">
        <v>9</v>
      </c>
    </row>
    <row r="1431" spans="1:6" hidden="1" outlineLevel="2">
      <c r="A1431" t="s">
        <v>6</v>
      </c>
      <c r="B1431" s="1">
        <v>45852.37060185185</v>
      </c>
      <c r="C1431">
        <v>30002</v>
      </c>
      <c r="D1431" t="s">
        <v>7</v>
      </c>
      <c r="E1431" t="s">
        <v>164</v>
      </c>
      <c r="F1431" t="s">
        <v>9</v>
      </c>
    </row>
    <row r="1432" spans="1:6" hidden="1" outlineLevel="2">
      <c r="A1432" t="s">
        <v>6</v>
      </c>
      <c r="B1432" s="1">
        <v>45852.363379629627</v>
      </c>
      <c r="C1432">
        <v>30002</v>
      </c>
      <c r="D1432" t="s">
        <v>7</v>
      </c>
      <c r="E1432" t="s">
        <v>164</v>
      </c>
      <c r="F1432" t="s">
        <v>9</v>
      </c>
    </row>
    <row r="1433" spans="1:6" hidden="1" outlineLevel="2">
      <c r="A1433" t="s">
        <v>6</v>
      </c>
      <c r="B1433" s="1">
        <v>45852.362812500003</v>
      </c>
      <c r="C1433">
        <v>30002</v>
      </c>
      <c r="D1433" t="s">
        <v>7</v>
      </c>
      <c r="E1433" t="s">
        <v>164</v>
      </c>
      <c r="F1433" t="s">
        <v>9</v>
      </c>
    </row>
    <row r="1434" spans="1:6" hidden="1" outlineLevel="2">
      <c r="A1434" t="s">
        <v>6</v>
      </c>
      <c r="B1434" s="1">
        <v>45852.362500000003</v>
      </c>
      <c r="C1434">
        <v>30002</v>
      </c>
      <c r="D1434" t="s">
        <v>7</v>
      </c>
      <c r="E1434" t="s">
        <v>164</v>
      </c>
      <c r="F1434" t="s">
        <v>9</v>
      </c>
    </row>
    <row r="1435" spans="1:6" hidden="1" outlineLevel="2">
      <c r="A1435" t="s">
        <v>6</v>
      </c>
      <c r="B1435" s="1">
        <v>45852.361921296295</v>
      </c>
      <c r="C1435">
        <v>30002</v>
      </c>
      <c r="D1435" t="s">
        <v>7</v>
      </c>
      <c r="E1435" t="s">
        <v>164</v>
      </c>
      <c r="F1435" t="s">
        <v>9</v>
      </c>
    </row>
    <row r="1436" spans="1:6" hidden="1" outlineLevel="2">
      <c r="A1436" t="s">
        <v>6</v>
      </c>
      <c r="B1436" s="1">
        <v>45852.36136574074</v>
      </c>
      <c r="C1436">
        <v>30002</v>
      </c>
      <c r="D1436" t="s">
        <v>7</v>
      </c>
      <c r="E1436" t="s">
        <v>164</v>
      </c>
      <c r="F1436" t="s">
        <v>9</v>
      </c>
    </row>
    <row r="1437" spans="1:6" hidden="1" outlineLevel="2">
      <c r="A1437" t="s">
        <v>6</v>
      </c>
      <c r="B1437" s="1">
        <v>45852.360590277778</v>
      </c>
      <c r="C1437">
        <v>30002</v>
      </c>
      <c r="D1437" t="s">
        <v>7</v>
      </c>
      <c r="E1437" t="s">
        <v>164</v>
      </c>
      <c r="F1437" t="s">
        <v>9</v>
      </c>
    </row>
    <row r="1438" spans="1:6" hidden="1" outlineLevel="2">
      <c r="A1438" t="s">
        <v>6</v>
      </c>
      <c r="B1438" s="1">
        <v>45852.359710648147</v>
      </c>
      <c r="C1438">
        <v>30002</v>
      </c>
      <c r="D1438" t="s">
        <v>7</v>
      </c>
      <c r="E1438" t="s">
        <v>164</v>
      </c>
      <c r="F1438" t="s">
        <v>9</v>
      </c>
    </row>
    <row r="1439" spans="1:6" hidden="1" outlineLevel="2">
      <c r="A1439" t="s">
        <v>6</v>
      </c>
      <c r="B1439" s="1">
        <v>45852.350752314815</v>
      </c>
      <c r="C1439">
        <v>30002</v>
      </c>
      <c r="D1439" t="s">
        <v>7</v>
      </c>
      <c r="E1439" t="s">
        <v>164</v>
      </c>
      <c r="F1439" t="s">
        <v>9</v>
      </c>
    </row>
    <row r="1440" spans="1:6" hidden="1" outlineLevel="2">
      <c r="A1440" t="s">
        <v>6</v>
      </c>
      <c r="B1440" s="1">
        <v>45852.350115740737</v>
      </c>
      <c r="C1440">
        <v>30002</v>
      </c>
      <c r="D1440" t="s">
        <v>7</v>
      </c>
      <c r="E1440" t="s">
        <v>164</v>
      </c>
      <c r="F1440" t="s">
        <v>9</v>
      </c>
    </row>
    <row r="1441" spans="1:6" hidden="1" outlineLevel="2">
      <c r="A1441" t="s">
        <v>6</v>
      </c>
      <c r="B1441" s="1">
        <v>45852.349456018521</v>
      </c>
      <c r="C1441">
        <v>30002</v>
      </c>
      <c r="D1441" t="s">
        <v>7</v>
      </c>
      <c r="E1441" t="s">
        <v>164</v>
      </c>
      <c r="F1441" t="s">
        <v>9</v>
      </c>
    </row>
    <row r="1442" spans="1:6" hidden="1" outlineLevel="2">
      <c r="A1442" t="s">
        <v>6</v>
      </c>
      <c r="B1442" s="1">
        <v>45852.349027777775</v>
      </c>
      <c r="C1442">
        <v>30002</v>
      </c>
      <c r="D1442" t="s">
        <v>7</v>
      </c>
      <c r="E1442" t="s">
        <v>164</v>
      </c>
      <c r="F1442" t="s">
        <v>9</v>
      </c>
    </row>
    <row r="1443" spans="1:6" hidden="1" outlineLevel="2">
      <c r="A1443" t="s">
        <v>6</v>
      </c>
      <c r="B1443" s="1">
        <v>45852.348333333335</v>
      </c>
      <c r="C1443">
        <v>30002</v>
      </c>
      <c r="D1443" t="s">
        <v>7</v>
      </c>
      <c r="E1443" t="s">
        <v>164</v>
      </c>
      <c r="F1443" t="s">
        <v>9</v>
      </c>
    </row>
    <row r="1444" spans="1:6" hidden="1" outlineLevel="2">
      <c r="A1444" t="s">
        <v>6</v>
      </c>
      <c r="B1444" s="1">
        <v>45852.347303240742</v>
      </c>
      <c r="C1444">
        <v>30002</v>
      </c>
      <c r="D1444" t="s">
        <v>7</v>
      </c>
      <c r="E1444" t="s">
        <v>164</v>
      </c>
      <c r="F1444" t="s">
        <v>9</v>
      </c>
    </row>
    <row r="1445" spans="1:6" hidden="1" outlineLevel="2">
      <c r="A1445" t="s">
        <v>6</v>
      </c>
      <c r="B1445" s="1">
        <v>45852.338356481479</v>
      </c>
      <c r="C1445">
        <v>30002</v>
      </c>
      <c r="D1445" t="s">
        <v>7</v>
      </c>
      <c r="E1445" t="s">
        <v>164</v>
      </c>
      <c r="F1445" t="s">
        <v>9</v>
      </c>
    </row>
    <row r="1446" spans="1:6" hidden="1" outlineLevel="2">
      <c r="A1446" t="s">
        <v>6</v>
      </c>
      <c r="B1446" s="1">
        <v>45852.33798611111</v>
      </c>
      <c r="C1446">
        <v>30002</v>
      </c>
      <c r="D1446" t="s">
        <v>7</v>
      </c>
      <c r="E1446" t="s">
        <v>164</v>
      </c>
      <c r="F1446" t="s">
        <v>9</v>
      </c>
    </row>
    <row r="1447" spans="1:6" hidden="1" outlineLevel="2">
      <c r="A1447" t="s">
        <v>6</v>
      </c>
      <c r="B1447" s="1">
        <v>45852.337500000001</v>
      </c>
      <c r="C1447">
        <v>30002</v>
      </c>
      <c r="D1447" t="s">
        <v>7</v>
      </c>
      <c r="E1447" t="s">
        <v>164</v>
      </c>
      <c r="F1447" t="s">
        <v>9</v>
      </c>
    </row>
    <row r="1448" spans="1:6" hidden="1" outlineLevel="2">
      <c r="A1448" t="s">
        <v>6</v>
      </c>
      <c r="B1448" s="1">
        <v>45852.336180555554</v>
      </c>
      <c r="C1448">
        <v>30002</v>
      </c>
      <c r="D1448" t="s">
        <v>7</v>
      </c>
      <c r="E1448" t="s">
        <v>164</v>
      </c>
      <c r="F1448" t="s">
        <v>9</v>
      </c>
    </row>
    <row r="1449" spans="1:6" hidden="1" outlineLevel="2">
      <c r="A1449" t="s">
        <v>6</v>
      </c>
      <c r="B1449" s="1">
        <v>45852.335787037038</v>
      </c>
      <c r="C1449">
        <v>30002</v>
      </c>
      <c r="D1449" t="s">
        <v>7</v>
      </c>
      <c r="E1449" t="s">
        <v>164</v>
      </c>
      <c r="F1449" t="s">
        <v>9</v>
      </c>
    </row>
    <row r="1450" spans="1:6" hidden="1" outlineLevel="2">
      <c r="A1450" t="s">
        <v>6</v>
      </c>
      <c r="B1450" s="1">
        <v>45852.3356712963</v>
      </c>
      <c r="C1450">
        <v>30002</v>
      </c>
      <c r="D1450" t="s">
        <v>7</v>
      </c>
      <c r="E1450" t="s">
        <v>164</v>
      </c>
      <c r="F1450" t="s">
        <v>9</v>
      </c>
    </row>
    <row r="1451" spans="1:6" hidden="1" outlineLevel="2">
      <c r="A1451" t="s">
        <v>6</v>
      </c>
      <c r="B1451" s="1">
        <v>45852.335520833331</v>
      </c>
      <c r="C1451">
        <v>30002</v>
      </c>
      <c r="D1451" t="s">
        <v>7</v>
      </c>
      <c r="E1451" t="s">
        <v>164</v>
      </c>
      <c r="F1451" t="s">
        <v>9</v>
      </c>
    </row>
    <row r="1452" spans="1:6" hidden="1" outlineLevel="2">
      <c r="A1452" t="s">
        <v>6</v>
      </c>
      <c r="B1452" s="1">
        <v>45852.332928240743</v>
      </c>
      <c r="C1452">
        <v>30002</v>
      </c>
      <c r="D1452" t="s">
        <v>7</v>
      </c>
      <c r="E1452" t="s">
        <v>164</v>
      </c>
      <c r="F1452" t="s">
        <v>9</v>
      </c>
    </row>
    <row r="1453" spans="1:6" hidden="1" outlineLevel="2">
      <c r="A1453" t="s">
        <v>6</v>
      </c>
      <c r="B1453" s="1">
        <v>45852.332314814812</v>
      </c>
      <c r="C1453">
        <v>30002</v>
      </c>
      <c r="D1453" t="s">
        <v>7</v>
      </c>
      <c r="E1453" t="s">
        <v>164</v>
      </c>
      <c r="F1453" t="s">
        <v>9</v>
      </c>
    </row>
    <row r="1454" spans="1:6" hidden="1" outlineLevel="2">
      <c r="A1454" t="s">
        <v>6</v>
      </c>
      <c r="B1454" s="1">
        <v>45852.332199074073</v>
      </c>
      <c r="C1454">
        <v>30002</v>
      </c>
      <c r="D1454" t="s">
        <v>7</v>
      </c>
      <c r="E1454" t="s">
        <v>164</v>
      </c>
      <c r="F1454" t="s">
        <v>9</v>
      </c>
    </row>
    <row r="1455" spans="1:6" hidden="1" outlineLevel="2">
      <c r="A1455" t="s">
        <v>6</v>
      </c>
      <c r="B1455" s="1">
        <v>45847.529872685183</v>
      </c>
      <c r="C1455">
        <v>30002</v>
      </c>
      <c r="D1455" t="s">
        <v>7</v>
      </c>
      <c r="E1455" t="s">
        <v>164</v>
      </c>
      <c r="F1455" t="s">
        <v>9</v>
      </c>
    </row>
    <row r="1456" spans="1:6" hidden="1" outlineLevel="2">
      <c r="A1456" t="s">
        <v>6</v>
      </c>
      <c r="B1456" s="1">
        <v>45845.480671296296</v>
      </c>
      <c r="C1456">
        <v>30002</v>
      </c>
      <c r="D1456" t="s">
        <v>7</v>
      </c>
      <c r="E1456" t="s">
        <v>164</v>
      </c>
      <c r="F1456" t="s">
        <v>9</v>
      </c>
    </row>
    <row r="1457" spans="1:6" hidden="1" outlineLevel="2">
      <c r="A1457" t="s">
        <v>6</v>
      </c>
      <c r="B1457" s="1">
        <v>45845.48</v>
      </c>
      <c r="C1457">
        <v>30002</v>
      </c>
      <c r="D1457" t="s">
        <v>7</v>
      </c>
      <c r="E1457" t="s">
        <v>164</v>
      </c>
      <c r="F1457" t="s">
        <v>9</v>
      </c>
    </row>
    <row r="1458" spans="1:6" hidden="1" outlineLevel="2">
      <c r="A1458" t="s">
        <v>6</v>
      </c>
      <c r="B1458" s="1">
        <v>45845.47934027778</v>
      </c>
      <c r="C1458">
        <v>30002</v>
      </c>
      <c r="D1458" t="s">
        <v>7</v>
      </c>
      <c r="E1458" t="s">
        <v>164</v>
      </c>
      <c r="F1458" t="s">
        <v>9</v>
      </c>
    </row>
    <row r="1459" spans="1:6" hidden="1" outlineLevel="2">
      <c r="A1459" t="s">
        <v>6</v>
      </c>
      <c r="B1459" s="1">
        <v>45845.478472222225</v>
      </c>
      <c r="C1459">
        <v>30002</v>
      </c>
      <c r="D1459" t="s">
        <v>7</v>
      </c>
      <c r="E1459" t="s">
        <v>164</v>
      </c>
      <c r="F1459" t="s">
        <v>9</v>
      </c>
    </row>
    <row r="1460" spans="1:6" hidden="1" outlineLevel="2">
      <c r="A1460" t="s">
        <v>6</v>
      </c>
      <c r="B1460" s="1">
        <v>45845.477881944447</v>
      </c>
      <c r="C1460">
        <v>30002</v>
      </c>
      <c r="D1460" t="s">
        <v>7</v>
      </c>
      <c r="E1460" t="s">
        <v>164</v>
      </c>
      <c r="F1460" t="s">
        <v>9</v>
      </c>
    </row>
    <row r="1461" spans="1:6" hidden="1" outlineLevel="2">
      <c r="A1461" t="s">
        <v>6</v>
      </c>
      <c r="B1461" s="1">
        <v>45845.477372685185</v>
      </c>
      <c r="C1461">
        <v>30002</v>
      </c>
      <c r="D1461" t="s">
        <v>7</v>
      </c>
      <c r="E1461" t="s">
        <v>164</v>
      </c>
      <c r="F1461" t="s">
        <v>9</v>
      </c>
    </row>
    <row r="1462" spans="1:6" hidden="1" outlineLevel="2">
      <c r="A1462" t="s">
        <v>6</v>
      </c>
      <c r="B1462" s="1">
        <v>45845.476898148147</v>
      </c>
      <c r="C1462">
        <v>30002</v>
      </c>
      <c r="D1462" t="s">
        <v>7</v>
      </c>
      <c r="E1462" t="s">
        <v>164</v>
      </c>
      <c r="F1462" t="s">
        <v>9</v>
      </c>
    </row>
    <row r="1463" spans="1:6" hidden="1" outlineLevel="2">
      <c r="A1463" t="s">
        <v>6</v>
      </c>
      <c r="B1463" s="1">
        <v>45845.476400462961</v>
      </c>
      <c r="C1463">
        <v>30002</v>
      </c>
      <c r="D1463" t="s">
        <v>7</v>
      </c>
      <c r="E1463" t="s">
        <v>164</v>
      </c>
      <c r="F1463" t="s">
        <v>9</v>
      </c>
    </row>
    <row r="1464" spans="1:6" hidden="1" outlineLevel="2">
      <c r="A1464" t="s">
        <v>6</v>
      </c>
      <c r="B1464" s="1">
        <v>45845.47619212963</v>
      </c>
      <c r="C1464">
        <v>30002</v>
      </c>
      <c r="D1464" t="s">
        <v>7</v>
      </c>
      <c r="E1464" t="s">
        <v>164</v>
      </c>
      <c r="F1464" t="s">
        <v>9</v>
      </c>
    </row>
    <row r="1465" spans="1:6" hidden="1" outlineLevel="2">
      <c r="A1465" t="s">
        <v>6</v>
      </c>
      <c r="B1465" s="1">
        <v>45845.474803240744</v>
      </c>
      <c r="C1465">
        <v>30002</v>
      </c>
      <c r="D1465" t="s">
        <v>7</v>
      </c>
      <c r="E1465" t="s">
        <v>164</v>
      </c>
      <c r="F1465" t="s">
        <v>9</v>
      </c>
    </row>
    <row r="1466" spans="1:6" hidden="1" outlineLevel="2">
      <c r="A1466" t="s">
        <v>6</v>
      </c>
      <c r="B1466" s="1">
        <v>45845.474317129629</v>
      </c>
      <c r="C1466">
        <v>30002</v>
      </c>
      <c r="D1466" t="s">
        <v>7</v>
      </c>
      <c r="E1466" t="s">
        <v>164</v>
      </c>
      <c r="F1466" t="s">
        <v>9</v>
      </c>
    </row>
    <row r="1467" spans="1:6" hidden="1" outlineLevel="2">
      <c r="A1467" t="s">
        <v>6</v>
      </c>
      <c r="B1467" s="1">
        <v>45845.473263888889</v>
      </c>
      <c r="C1467">
        <v>30002</v>
      </c>
      <c r="D1467" t="s">
        <v>7</v>
      </c>
      <c r="E1467" t="s">
        <v>164</v>
      </c>
      <c r="F1467" t="s">
        <v>9</v>
      </c>
    </row>
    <row r="1468" spans="1:6" hidden="1" outlineLevel="2">
      <c r="A1468" t="s">
        <v>6</v>
      </c>
      <c r="B1468" s="1">
        <v>45845.32984953704</v>
      </c>
      <c r="C1468">
        <v>30002</v>
      </c>
      <c r="D1468" t="s">
        <v>7</v>
      </c>
      <c r="E1468" t="s">
        <v>164</v>
      </c>
      <c r="F1468" t="s">
        <v>9</v>
      </c>
    </row>
    <row r="1469" spans="1:6" hidden="1" outlineLevel="2">
      <c r="A1469" t="s">
        <v>6</v>
      </c>
      <c r="B1469" s="1">
        <v>45845.329687500001</v>
      </c>
      <c r="C1469">
        <v>30002</v>
      </c>
      <c r="D1469" t="s">
        <v>7</v>
      </c>
      <c r="E1469" t="s">
        <v>164</v>
      </c>
      <c r="F1469" t="s">
        <v>9</v>
      </c>
    </row>
    <row r="1470" spans="1:6" hidden="1" outlineLevel="2">
      <c r="A1470" t="s">
        <v>6</v>
      </c>
      <c r="B1470" s="1">
        <v>45845.329583333332</v>
      </c>
      <c r="C1470">
        <v>30002</v>
      </c>
      <c r="D1470" t="s">
        <v>7</v>
      </c>
      <c r="E1470" t="s">
        <v>164</v>
      </c>
      <c r="F1470" t="s">
        <v>9</v>
      </c>
    </row>
    <row r="1471" spans="1:6" hidden="1" outlineLevel="2">
      <c r="A1471" t="s">
        <v>6</v>
      </c>
      <c r="B1471" s="1">
        <v>45845.329467592594</v>
      </c>
      <c r="C1471">
        <v>30002</v>
      </c>
      <c r="D1471" t="s">
        <v>7</v>
      </c>
      <c r="E1471" t="s">
        <v>164</v>
      </c>
      <c r="F1471" t="s">
        <v>9</v>
      </c>
    </row>
    <row r="1472" spans="1:6" hidden="1" outlineLevel="2">
      <c r="A1472" t="s">
        <v>6</v>
      </c>
      <c r="B1472" s="1">
        <v>45845.329398148147</v>
      </c>
      <c r="C1472">
        <v>30002</v>
      </c>
      <c r="D1472" t="s">
        <v>7</v>
      </c>
      <c r="E1472" t="s">
        <v>164</v>
      </c>
      <c r="F1472" t="s">
        <v>9</v>
      </c>
    </row>
    <row r="1473" spans="1:6" hidden="1" outlineLevel="2">
      <c r="A1473" t="s">
        <v>6</v>
      </c>
      <c r="B1473" s="1">
        <v>45840.558229166665</v>
      </c>
      <c r="C1473">
        <v>30002</v>
      </c>
      <c r="D1473" t="s">
        <v>7</v>
      </c>
      <c r="E1473" t="s">
        <v>164</v>
      </c>
      <c r="F1473" t="s">
        <v>9</v>
      </c>
    </row>
    <row r="1474" spans="1:6" outlineLevel="1" collapsed="1">
      <c r="B1474" s="1"/>
      <c r="E1474" s="2" t="s">
        <v>330</v>
      </c>
      <c r="F1474">
        <f>SUBTOTAL(3,F1403:F1473)</f>
        <v>71</v>
      </c>
    </row>
    <row r="1475" spans="1:6" hidden="1" outlineLevel="2">
      <c r="A1475" t="s">
        <v>6</v>
      </c>
      <c r="B1475" s="1">
        <v>45838.831736111111</v>
      </c>
      <c r="C1475">
        <v>30002</v>
      </c>
      <c r="D1475" t="s">
        <v>7</v>
      </c>
      <c r="E1475" t="s">
        <v>166</v>
      </c>
      <c r="F1475" t="s">
        <v>75</v>
      </c>
    </row>
    <row r="1476" spans="1:6" outlineLevel="1" collapsed="1">
      <c r="B1476" s="1"/>
      <c r="E1476" s="2" t="s">
        <v>331</v>
      </c>
      <c r="F1476">
        <f>SUBTOTAL(3,F1475:F1475)</f>
        <v>1</v>
      </c>
    </row>
    <row r="1477" spans="1:6" hidden="1" outlineLevel="2">
      <c r="A1477" t="s">
        <v>6</v>
      </c>
      <c r="B1477" s="1">
        <v>45847.643506944441</v>
      </c>
      <c r="C1477">
        <v>30002</v>
      </c>
      <c r="D1477" t="s">
        <v>7</v>
      </c>
      <c r="E1477" t="s">
        <v>167</v>
      </c>
      <c r="F1477" t="s">
        <v>102</v>
      </c>
    </row>
    <row r="1478" spans="1:6" hidden="1" outlineLevel="2">
      <c r="A1478" t="s">
        <v>6</v>
      </c>
      <c r="B1478" s="1">
        <v>45844.450914351852</v>
      </c>
      <c r="C1478">
        <v>30002</v>
      </c>
      <c r="D1478" t="s">
        <v>7</v>
      </c>
      <c r="E1478" t="s">
        <v>167</v>
      </c>
      <c r="F1478" t="s">
        <v>103</v>
      </c>
    </row>
    <row r="1479" spans="1:6" hidden="1" outlineLevel="2">
      <c r="A1479" t="s">
        <v>6</v>
      </c>
      <c r="B1479" s="1">
        <v>45844.450694444444</v>
      </c>
      <c r="C1479">
        <v>30002</v>
      </c>
      <c r="D1479" t="s">
        <v>7</v>
      </c>
      <c r="E1479" t="s">
        <v>167</v>
      </c>
      <c r="F1479" t="s">
        <v>103</v>
      </c>
    </row>
    <row r="1480" spans="1:6" hidden="1" outlineLevel="2">
      <c r="A1480" t="s">
        <v>6</v>
      </c>
      <c r="B1480" s="1">
        <v>45844.432708333334</v>
      </c>
      <c r="C1480">
        <v>30002</v>
      </c>
      <c r="D1480" t="s">
        <v>7</v>
      </c>
      <c r="E1480" t="s">
        <v>167</v>
      </c>
      <c r="F1480" t="s">
        <v>103</v>
      </c>
    </row>
    <row r="1481" spans="1:6" hidden="1" outlineLevel="2">
      <c r="A1481" t="s">
        <v>6</v>
      </c>
      <c r="B1481" s="1">
        <v>45847.406643518516</v>
      </c>
      <c r="C1481">
        <v>30002</v>
      </c>
      <c r="D1481" t="s">
        <v>7</v>
      </c>
      <c r="E1481" t="s">
        <v>167</v>
      </c>
      <c r="F1481" t="s">
        <v>23</v>
      </c>
    </row>
    <row r="1482" spans="1:6" hidden="1" outlineLevel="2">
      <c r="A1482" t="s">
        <v>6</v>
      </c>
      <c r="B1482" s="1">
        <v>45847.600555555553</v>
      </c>
      <c r="C1482">
        <v>30002</v>
      </c>
      <c r="D1482" t="s">
        <v>7</v>
      </c>
      <c r="E1482" t="s">
        <v>167</v>
      </c>
      <c r="F1482" t="s">
        <v>97</v>
      </c>
    </row>
    <row r="1483" spans="1:6" hidden="1" outlineLevel="2">
      <c r="A1483" t="s">
        <v>6</v>
      </c>
      <c r="B1483" s="1">
        <v>45847.33494212963</v>
      </c>
      <c r="C1483">
        <v>30002</v>
      </c>
      <c r="D1483" t="s">
        <v>7</v>
      </c>
      <c r="E1483" t="s">
        <v>167</v>
      </c>
      <c r="F1483" t="s">
        <v>106</v>
      </c>
    </row>
    <row r="1484" spans="1:6" hidden="1" outlineLevel="2">
      <c r="A1484" t="s">
        <v>6</v>
      </c>
      <c r="B1484" s="1">
        <v>45847.331041666665</v>
      </c>
      <c r="C1484">
        <v>30002</v>
      </c>
      <c r="D1484" t="s">
        <v>7</v>
      </c>
      <c r="E1484" t="s">
        <v>167</v>
      </c>
      <c r="F1484" t="s">
        <v>106</v>
      </c>
    </row>
    <row r="1485" spans="1:6" outlineLevel="1" collapsed="1">
      <c r="B1485" s="1"/>
      <c r="E1485" s="2" t="s">
        <v>332</v>
      </c>
      <c r="F1485">
        <f>SUBTOTAL(3,F1477:F1484)</f>
        <v>8</v>
      </c>
    </row>
    <row r="1486" spans="1:6" hidden="1" outlineLevel="2">
      <c r="A1486" t="s">
        <v>6</v>
      </c>
      <c r="B1486" s="1">
        <v>45866.421840277777</v>
      </c>
      <c r="C1486">
        <v>30002</v>
      </c>
      <c r="D1486" t="s">
        <v>7</v>
      </c>
      <c r="E1486" t="s">
        <v>168</v>
      </c>
      <c r="F1486" t="s">
        <v>144</v>
      </c>
    </row>
    <row r="1487" spans="1:6" hidden="1" outlineLevel="2">
      <c r="A1487" t="s">
        <v>6</v>
      </c>
      <c r="B1487" s="1">
        <v>45849.719965277778</v>
      </c>
      <c r="C1487">
        <v>30002</v>
      </c>
      <c r="D1487" t="s">
        <v>7</v>
      </c>
      <c r="E1487" t="s">
        <v>168</v>
      </c>
      <c r="F1487" t="s">
        <v>36</v>
      </c>
    </row>
    <row r="1488" spans="1:6" outlineLevel="1" collapsed="1">
      <c r="B1488" s="1"/>
      <c r="E1488" s="2" t="s">
        <v>333</v>
      </c>
      <c r="F1488">
        <f>SUBTOTAL(3,F1486:F1487)</f>
        <v>2</v>
      </c>
    </row>
    <row r="1489" spans="1:6" hidden="1" outlineLevel="2">
      <c r="A1489" t="s">
        <v>6</v>
      </c>
      <c r="B1489" s="1">
        <v>45848.489027777781</v>
      </c>
      <c r="C1489">
        <v>30002</v>
      </c>
      <c r="D1489" t="s">
        <v>7</v>
      </c>
      <c r="E1489" t="s">
        <v>169</v>
      </c>
      <c r="F1489" t="s">
        <v>13</v>
      </c>
    </row>
    <row r="1490" spans="1:6" hidden="1" outlineLevel="2">
      <c r="A1490" t="s">
        <v>6</v>
      </c>
      <c r="B1490" s="1">
        <v>45855.327789351853</v>
      </c>
      <c r="C1490">
        <v>30002</v>
      </c>
      <c r="D1490" t="s">
        <v>7</v>
      </c>
      <c r="E1490" t="s">
        <v>169</v>
      </c>
      <c r="F1490" t="s">
        <v>19</v>
      </c>
    </row>
    <row r="1491" spans="1:6" hidden="1" outlineLevel="2">
      <c r="A1491" t="s">
        <v>6</v>
      </c>
      <c r="B1491" s="1">
        <v>45846.27207175926</v>
      </c>
      <c r="C1491">
        <v>30002</v>
      </c>
      <c r="D1491" t="s">
        <v>7</v>
      </c>
      <c r="E1491" t="s">
        <v>169</v>
      </c>
      <c r="F1491" t="s">
        <v>19</v>
      </c>
    </row>
    <row r="1492" spans="1:6" hidden="1" outlineLevel="2">
      <c r="A1492" t="s">
        <v>6</v>
      </c>
      <c r="B1492" s="1">
        <v>45842.628032407411</v>
      </c>
      <c r="C1492">
        <v>30002</v>
      </c>
      <c r="D1492" t="s">
        <v>7</v>
      </c>
      <c r="E1492" t="s">
        <v>169</v>
      </c>
      <c r="F1492" t="s">
        <v>19</v>
      </c>
    </row>
    <row r="1493" spans="1:6" hidden="1" outlineLevel="2">
      <c r="A1493" t="s">
        <v>6</v>
      </c>
      <c r="B1493" s="1">
        <v>45869.590567129628</v>
      </c>
      <c r="C1493">
        <v>30002</v>
      </c>
      <c r="D1493" t="s">
        <v>7</v>
      </c>
      <c r="E1493" t="s">
        <v>169</v>
      </c>
      <c r="F1493" t="s">
        <v>97</v>
      </c>
    </row>
    <row r="1494" spans="1:6" hidden="1" outlineLevel="2">
      <c r="A1494" t="s">
        <v>6</v>
      </c>
      <c r="B1494" s="1">
        <v>45869.590451388889</v>
      </c>
      <c r="C1494">
        <v>30002</v>
      </c>
      <c r="D1494" t="s">
        <v>7</v>
      </c>
      <c r="E1494" t="s">
        <v>169</v>
      </c>
      <c r="F1494" t="s">
        <v>97</v>
      </c>
    </row>
    <row r="1495" spans="1:6" hidden="1" outlineLevel="2">
      <c r="A1495" t="s">
        <v>6</v>
      </c>
      <c r="B1495" s="1">
        <v>45869.584641203706</v>
      </c>
      <c r="C1495">
        <v>30002</v>
      </c>
      <c r="D1495" t="s">
        <v>7</v>
      </c>
      <c r="E1495" t="s">
        <v>169</v>
      </c>
      <c r="F1495" t="s">
        <v>97</v>
      </c>
    </row>
    <row r="1496" spans="1:6" hidden="1" outlineLevel="2">
      <c r="A1496" t="s">
        <v>6</v>
      </c>
      <c r="B1496" s="1">
        <v>45856.33489583333</v>
      </c>
      <c r="C1496">
        <v>30002</v>
      </c>
      <c r="D1496" t="s">
        <v>7</v>
      </c>
      <c r="E1496" t="s">
        <v>169</v>
      </c>
      <c r="F1496" t="s">
        <v>97</v>
      </c>
    </row>
    <row r="1497" spans="1:6" hidden="1" outlineLevel="2">
      <c r="A1497" t="s">
        <v>6</v>
      </c>
      <c r="B1497" s="1">
        <v>45848.685740740744</v>
      </c>
      <c r="C1497">
        <v>30002</v>
      </c>
      <c r="D1497" t="s">
        <v>7</v>
      </c>
      <c r="E1497" t="s">
        <v>169</v>
      </c>
      <c r="F1497" t="s">
        <v>97</v>
      </c>
    </row>
    <row r="1498" spans="1:6" hidden="1" outlineLevel="2">
      <c r="A1498" t="s">
        <v>6</v>
      </c>
      <c r="B1498" s="1">
        <v>45846.30672453704</v>
      </c>
      <c r="C1498">
        <v>30002</v>
      </c>
      <c r="D1498" t="s">
        <v>7</v>
      </c>
      <c r="E1498" t="s">
        <v>169</v>
      </c>
      <c r="F1498" t="s">
        <v>97</v>
      </c>
    </row>
    <row r="1499" spans="1:6" hidden="1" outlineLevel="2">
      <c r="A1499" t="s">
        <v>6</v>
      </c>
      <c r="B1499" s="1">
        <v>45846.303483796299</v>
      </c>
      <c r="C1499">
        <v>30002</v>
      </c>
      <c r="D1499" t="s">
        <v>7</v>
      </c>
      <c r="E1499" t="s">
        <v>169</v>
      </c>
      <c r="F1499" t="s">
        <v>97</v>
      </c>
    </row>
    <row r="1500" spans="1:6" hidden="1" outlineLevel="2">
      <c r="A1500" t="s">
        <v>6</v>
      </c>
      <c r="B1500" s="1">
        <v>45846.30296296296</v>
      </c>
      <c r="C1500">
        <v>30002</v>
      </c>
      <c r="D1500" t="s">
        <v>7</v>
      </c>
      <c r="E1500" t="s">
        <v>169</v>
      </c>
      <c r="F1500" t="s">
        <v>97</v>
      </c>
    </row>
    <row r="1501" spans="1:6" outlineLevel="1" collapsed="1">
      <c r="B1501" s="1"/>
      <c r="E1501" s="2" t="s">
        <v>334</v>
      </c>
      <c r="F1501">
        <f>SUBTOTAL(3,F1489:F1500)</f>
        <v>12</v>
      </c>
    </row>
    <row r="1502" spans="1:6" hidden="1" outlineLevel="2">
      <c r="A1502" t="s">
        <v>6</v>
      </c>
      <c r="B1502" s="1">
        <v>45855.32408564815</v>
      </c>
      <c r="C1502">
        <v>30002</v>
      </c>
      <c r="D1502" t="s">
        <v>7</v>
      </c>
      <c r="E1502" t="s">
        <v>170</v>
      </c>
      <c r="F1502" t="s">
        <v>19</v>
      </c>
    </row>
    <row r="1503" spans="1:6" outlineLevel="1" collapsed="1">
      <c r="B1503" s="1"/>
      <c r="E1503" s="2" t="s">
        <v>335</v>
      </c>
      <c r="F1503">
        <f>SUBTOTAL(3,F1502:F1502)</f>
        <v>1</v>
      </c>
    </row>
    <row r="1504" spans="1:6" hidden="1" outlineLevel="2">
      <c r="A1504" t="s">
        <v>6</v>
      </c>
      <c r="B1504" s="1">
        <v>45848.466550925928</v>
      </c>
      <c r="C1504">
        <v>30002</v>
      </c>
      <c r="D1504" t="s">
        <v>7</v>
      </c>
      <c r="E1504" t="s">
        <v>171</v>
      </c>
      <c r="F1504" t="s">
        <v>102</v>
      </c>
    </row>
    <row r="1505" spans="1:6" hidden="1" outlineLevel="2">
      <c r="A1505" t="s">
        <v>6</v>
      </c>
      <c r="B1505" s="1">
        <v>45845.357557870368</v>
      </c>
      <c r="C1505">
        <v>30002</v>
      </c>
      <c r="D1505" t="s">
        <v>7</v>
      </c>
      <c r="E1505" t="s">
        <v>171</v>
      </c>
      <c r="F1505" t="s">
        <v>102</v>
      </c>
    </row>
    <row r="1506" spans="1:6" hidden="1" outlineLevel="2">
      <c r="A1506" t="s">
        <v>6</v>
      </c>
      <c r="B1506" s="1">
        <v>45848.481226851851</v>
      </c>
      <c r="C1506">
        <v>30002</v>
      </c>
      <c r="D1506" t="s">
        <v>7</v>
      </c>
      <c r="E1506" t="s">
        <v>171</v>
      </c>
      <c r="F1506" t="s">
        <v>13</v>
      </c>
    </row>
    <row r="1507" spans="1:6" hidden="1" outlineLevel="2">
      <c r="A1507" t="s">
        <v>6</v>
      </c>
      <c r="B1507" s="1">
        <v>45848.464317129627</v>
      </c>
      <c r="C1507">
        <v>30002</v>
      </c>
      <c r="D1507" t="s">
        <v>7</v>
      </c>
      <c r="E1507" t="s">
        <v>171</v>
      </c>
      <c r="F1507" t="s">
        <v>13</v>
      </c>
    </row>
    <row r="1508" spans="1:6" hidden="1" outlineLevel="2">
      <c r="A1508" t="s">
        <v>6</v>
      </c>
      <c r="B1508" s="1">
        <v>45848.45616898148</v>
      </c>
      <c r="C1508">
        <v>30002</v>
      </c>
      <c r="D1508" t="s">
        <v>7</v>
      </c>
      <c r="E1508" t="s">
        <v>171</v>
      </c>
      <c r="F1508" t="s">
        <v>13</v>
      </c>
    </row>
    <row r="1509" spans="1:6" hidden="1" outlineLevel="2">
      <c r="A1509" t="s">
        <v>6</v>
      </c>
      <c r="B1509" s="1">
        <v>45866.313159722224</v>
      </c>
      <c r="C1509">
        <v>30002</v>
      </c>
      <c r="D1509" t="s">
        <v>7</v>
      </c>
      <c r="E1509" t="s">
        <v>171</v>
      </c>
      <c r="F1509" t="s">
        <v>18</v>
      </c>
    </row>
    <row r="1510" spans="1:6" hidden="1" outlineLevel="2">
      <c r="A1510" t="s">
        <v>6</v>
      </c>
      <c r="B1510" s="1">
        <v>45866.303182870368</v>
      </c>
      <c r="C1510">
        <v>30002</v>
      </c>
      <c r="D1510" t="s">
        <v>7</v>
      </c>
      <c r="E1510" t="s">
        <v>171</v>
      </c>
      <c r="F1510" t="s">
        <v>18</v>
      </c>
    </row>
    <row r="1511" spans="1:6" hidden="1" outlineLevel="2">
      <c r="A1511" t="s">
        <v>6</v>
      </c>
      <c r="B1511" s="1">
        <v>45866.285127314812</v>
      </c>
      <c r="C1511">
        <v>30002</v>
      </c>
      <c r="D1511" t="s">
        <v>7</v>
      </c>
      <c r="E1511" t="s">
        <v>171</v>
      </c>
      <c r="F1511" t="s">
        <v>18</v>
      </c>
    </row>
    <row r="1512" spans="1:6" hidden="1" outlineLevel="2">
      <c r="A1512" t="s">
        <v>6</v>
      </c>
      <c r="B1512" s="1">
        <v>45845.922662037039</v>
      </c>
      <c r="C1512">
        <v>30002</v>
      </c>
      <c r="D1512" t="s">
        <v>7</v>
      </c>
      <c r="E1512" t="s">
        <v>171</v>
      </c>
      <c r="F1512" t="s">
        <v>18</v>
      </c>
    </row>
    <row r="1513" spans="1:6" hidden="1" outlineLevel="2">
      <c r="A1513" t="s">
        <v>6</v>
      </c>
      <c r="B1513" s="1">
        <v>45853.394282407404</v>
      </c>
      <c r="C1513">
        <v>30002</v>
      </c>
      <c r="D1513" t="s">
        <v>7</v>
      </c>
      <c r="E1513" t="s">
        <v>171</v>
      </c>
      <c r="F1513" t="s">
        <v>134</v>
      </c>
    </row>
    <row r="1514" spans="1:6" hidden="1" outlineLevel="2">
      <c r="A1514" t="s">
        <v>6</v>
      </c>
      <c r="B1514" s="1">
        <v>45840.340381944443</v>
      </c>
      <c r="C1514">
        <v>30002</v>
      </c>
      <c r="D1514" t="s">
        <v>7</v>
      </c>
      <c r="E1514" t="s">
        <v>171</v>
      </c>
      <c r="F1514" t="s">
        <v>121</v>
      </c>
    </row>
    <row r="1515" spans="1:6" hidden="1" outlineLevel="2">
      <c r="A1515" t="s">
        <v>6</v>
      </c>
      <c r="B1515" s="1">
        <v>45866.452835648146</v>
      </c>
      <c r="C1515">
        <v>30002</v>
      </c>
      <c r="D1515" t="s">
        <v>7</v>
      </c>
      <c r="E1515" t="s">
        <v>171</v>
      </c>
      <c r="F1515" t="s">
        <v>103</v>
      </c>
    </row>
    <row r="1516" spans="1:6" hidden="1" outlineLevel="2">
      <c r="A1516" t="s">
        <v>6</v>
      </c>
      <c r="B1516" s="1">
        <v>45848.437118055554</v>
      </c>
      <c r="C1516">
        <v>30002</v>
      </c>
      <c r="D1516" t="s">
        <v>7</v>
      </c>
      <c r="E1516" t="s">
        <v>171</v>
      </c>
      <c r="F1516" t="s">
        <v>103</v>
      </c>
    </row>
    <row r="1517" spans="1:6" hidden="1" outlineLevel="2">
      <c r="A1517" t="s">
        <v>6</v>
      </c>
      <c r="B1517" s="1">
        <v>45845.385613425926</v>
      </c>
      <c r="C1517">
        <v>30002</v>
      </c>
      <c r="D1517" t="s">
        <v>7</v>
      </c>
      <c r="E1517" t="s">
        <v>171</v>
      </c>
      <c r="F1517" t="s">
        <v>103</v>
      </c>
    </row>
    <row r="1518" spans="1:6" hidden="1" outlineLevel="2">
      <c r="A1518" t="s">
        <v>6</v>
      </c>
      <c r="B1518" s="1">
        <v>45845.373622685183</v>
      </c>
      <c r="C1518">
        <v>30002</v>
      </c>
      <c r="D1518" t="s">
        <v>7</v>
      </c>
      <c r="E1518" t="s">
        <v>171</v>
      </c>
      <c r="F1518" t="s">
        <v>103</v>
      </c>
    </row>
    <row r="1519" spans="1:6" hidden="1" outlineLevel="2">
      <c r="A1519" t="s">
        <v>6</v>
      </c>
      <c r="B1519" s="1">
        <v>45866.283773148149</v>
      </c>
      <c r="C1519">
        <v>30002</v>
      </c>
      <c r="D1519" t="s">
        <v>7</v>
      </c>
      <c r="E1519" t="s">
        <v>171</v>
      </c>
      <c r="F1519" t="s">
        <v>19</v>
      </c>
    </row>
    <row r="1520" spans="1:6" hidden="1" outlineLevel="2">
      <c r="A1520" t="s">
        <v>6</v>
      </c>
      <c r="B1520" s="1">
        <v>45865.655289351853</v>
      </c>
      <c r="C1520">
        <v>30002</v>
      </c>
      <c r="D1520" t="s">
        <v>7</v>
      </c>
      <c r="E1520" t="s">
        <v>171</v>
      </c>
      <c r="F1520" t="s">
        <v>19</v>
      </c>
    </row>
    <row r="1521" spans="1:6" hidden="1" outlineLevel="2">
      <c r="A1521" t="s">
        <v>6</v>
      </c>
      <c r="B1521" s="1">
        <v>45847.665300925924</v>
      </c>
      <c r="C1521">
        <v>30002</v>
      </c>
      <c r="D1521" t="s">
        <v>7</v>
      </c>
      <c r="E1521" t="s">
        <v>171</v>
      </c>
      <c r="F1521" t="s">
        <v>19</v>
      </c>
    </row>
    <row r="1522" spans="1:6" hidden="1" outlineLevel="2">
      <c r="A1522" t="s">
        <v>6</v>
      </c>
      <c r="B1522" s="1">
        <v>45847.658495370371</v>
      </c>
      <c r="C1522">
        <v>30002</v>
      </c>
      <c r="D1522" t="s">
        <v>7</v>
      </c>
      <c r="E1522" t="s">
        <v>171</v>
      </c>
      <c r="F1522" t="s">
        <v>19</v>
      </c>
    </row>
    <row r="1523" spans="1:6" hidden="1" outlineLevel="2">
      <c r="A1523" t="s">
        <v>6</v>
      </c>
      <c r="B1523" s="1">
        <v>45846.323692129627</v>
      </c>
      <c r="C1523">
        <v>30002</v>
      </c>
      <c r="D1523" t="s">
        <v>7</v>
      </c>
      <c r="E1523" t="s">
        <v>171</v>
      </c>
      <c r="F1523" t="s">
        <v>19</v>
      </c>
    </row>
    <row r="1524" spans="1:6" hidden="1" outlineLevel="2">
      <c r="A1524" t="s">
        <v>6</v>
      </c>
      <c r="B1524" s="1">
        <v>45846.322974537034</v>
      </c>
      <c r="C1524">
        <v>30002</v>
      </c>
      <c r="D1524" t="s">
        <v>7</v>
      </c>
      <c r="E1524" t="s">
        <v>171</v>
      </c>
      <c r="F1524" t="s">
        <v>19</v>
      </c>
    </row>
    <row r="1525" spans="1:6" hidden="1" outlineLevel="2">
      <c r="A1525" t="s">
        <v>6</v>
      </c>
      <c r="B1525" s="1">
        <v>45845.18922453704</v>
      </c>
      <c r="C1525">
        <v>30002</v>
      </c>
      <c r="D1525" t="s">
        <v>7</v>
      </c>
      <c r="E1525" t="s">
        <v>171</v>
      </c>
      <c r="F1525" t="s">
        <v>19</v>
      </c>
    </row>
    <row r="1526" spans="1:6" hidden="1" outlineLevel="2">
      <c r="A1526" t="s">
        <v>6</v>
      </c>
      <c r="B1526" s="1">
        <v>45842.626956018517</v>
      </c>
      <c r="C1526">
        <v>30002</v>
      </c>
      <c r="D1526" t="s">
        <v>7</v>
      </c>
      <c r="E1526" t="s">
        <v>171</v>
      </c>
      <c r="F1526" t="s">
        <v>19</v>
      </c>
    </row>
    <row r="1527" spans="1:6" hidden="1" outlineLevel="2">
      <c r="A1527" t="s">
        <v>6</v>
      </c>
      <c r="B1527" s="1">
        <v>45841.260810185187</v>
      </c>
      <c r="C1527">
        <v>30002</v>
      </c>
      <c r="D1527" t="s">
        <v>7</v>
      </c>
      <c r="E1527" t="s">
        <v>171</v>
      </c>
      <c r="F1527" t="s">
        <v>19</v>
      </c>
    </row>
    <row r="1528" spans="1:6" hidden="1" outlineLevel="2">
      <c r="A1528" t="s">
        <v>6</v>
      </c>
      <c r="B1528" s="1">
        <v>45869.600162037037</v>
      </c>
      <c r="C1528">
        <v>30002</v>
      </c>
      <c r="D1528" t="s">
        <v>7</v>
      </c>
      <c r="E1528" t="s">
        <v>171</v>
      </c>
      <c r="F1528" t="s">
        <v>15</v>
      </c>
    </row>
    <row r="1529" spans="1:6" hidden="1" outlineLevel="2">
      <c r="A1529" t="s">
        <v>6</v>
      </c>
      <c r="B1529" s="1">
        <v>45869.479166666664</v>
      </c>
      <c r="C1529">
        <v>30002</v>
      </c>
      <c r="D1529" t="s">
        <v>7</v>
      </c>
      <c r="E1529" t="s">
        <v>171</v>
      </c>
      <c r="F1529" t="s">
        <v>15</v>
      </c>
    </row>
    <row r="1530" spans="1:6" hidden="1" outlineLevel="2">
      <c r="A1530" t="s">
        <v>6</v>
      </c>
      <c r="B1530" s="1">
        <v>45869.476041666669</v>
      </c>
      <c r="C1530">
        <v>30002</v>
      </c>
      <c r="D1530" t="s">
        <v>7</v>
      </c>
      <c r="E1530" t="s">
        <v>171</v>
      </c>
      <c r="F1530" t="s">
        <v>15</v>
      </c>
    </row>
    <row r="1531" spans="1:6" hidden="1" outlineLevel="2">
      <c r="A1531" t="s">
        <v>6</v>
      </c>
      <c r="B1531" s="1">
        <v>45869.471574074072</v>
      </c>
      <c r="C1531">
        <v>30002</v>
      </c>
      <c r="D1531" t="s">
        <v>7</v>
      </c>
      <c r="E1531" t="s">
        <v>171</v>
      </c>
      <c r="F1531" t="s">
        <v>15</v>
      </c>
    </row>
    <row r="1532" spans="1:6" hidden="1" outlineLevel="2">
      <c r="A1532" t="s">
        <v>6</v>
      </c>
      <c r="B1532" s="1">
        <v>45849.363564814812</v>
      </c>
      <c r="C1532">
        <v>30002</v>
      </c>
      <c r="D1532" t="s">
        <v>7</v>
      </c>
      <c r="E1532" t="s">
        <v>171</v>
      </c>
      <c r="F1532" t="s">
        <v>15</v>
      </c>
    </row>
    <row r="1533" spans="1:6" hidden="1" outlineLevel="2">
      <c r="A1533" t="s">
        <v>6</v>
      </c>
      <c r="B1533" s="1">
        <v>45849.360671296294</v>
      </c>
      <c r="C1533">
        <v>30002</v>
      </c>
      <c r="D1533" t="s">
        <v>7</v>
      </c>
      <c r="E1533" t="s">
        <v>171</v>
      </c>
      <c r="F1533" t="s">
        <v>15</v>
      </c>
    </row>
    <row r="1534" spans="1:6" hidden="1" outlineLevel="2">
      <c r="A1534" t="s">
        <v>6</v>
      </c>
      <c r="B1534" s="1">
        <v>45849.359849537039</v>
      </c>
      <c r="C1534">
        <v>30002</v>
      </c>
      <c r="D1534" t="s">
        <v>7</v>
      </c>
      <c r="E1534" t="s">
        <v>171</v>
      </c>
      <c r="F1534" t="s">
        <v>15</v>
      </c>
    </row>
    <row r="1535" spans="1:6" hidden="1" outlineLevel="2">
      <c r="A1535" t="s">
        <v>6</v>
      </c>
      <c r="B1535" s="1">
        <v>45848.498900462961</v>
      </c>
      <c r="C1535">
        <v>30002</v>
      </c>
      <c r="D1535" t="s">
        <v>7</v>
      </c>
      <c r="E1535" t="s">
        <v>171</v>
      </c>
      <c r="F1535" t="s">
        <v>15</v>
      </c>
    </row>
    <row r="1536" spans="1:6" hidden="1" outlineLevel="2">
      <c r="A1536" t="s">
        <v>6</v>
      </c>
      <c r="B1536" s="1">
        <v>45848.387199074074</v>
      </c>
      <c r="C1536">
        <v>30002</v>
      </c>
      <c r="D1536" t="s">
        <v>7</v>
      </c>
      <c r="E1536" t="s">
        <v>171</v>
      </c>
      <c r="F1536" t="s">
        <v>15</v>
      </c>
    </row>
    <row r="1537" spans="1:6" hidden="1" outlineLevel="2">
      <c r="A1537" t="s">
        <v>6</v>
      </c>
      <c r="B1537" s="1">
        <v>45845.570023148146</v>
      </c>
      <c r="C1537">
        <v>30002</v>
      </c>
      <c r="D1537" t="s">
        <v>7</v>
      </c>
      <c r="E1537" t="s">
        <v>171</v>
      </c>
      <c r="F1537" t="s">
        <v>15</v>
      </c>
    </row>
    <row r="1538" spans="1:6" hidden="1" outlineLevel="2">
      <c r="A1538" t="s">
        <v>6</v>
      </c>
      <c r="B1538" s="1">
        <v>45845.553460648145</v>
      </c>
      <c r="C1538">
        <v>30002</v>
      </c>
      <c r="D1538" t="s">
        <v>7</v>
      </c>
      <c r="E1538" t="s">
        <v>171</v>
      </c>
      <c r="F1538" t="s">
        <v>15</v>
      </c>
    </row>
    <row r="1539" spans="1:6" hidden="1" outlineLevel="2">
      <c r="A1539" t="s">
        <v>6</v>
      </c>
      <c r="B1539" s="1">
        <v>45845.36519675926</v>
      </c>
      <c r="C1539">
        <v>30002</v>
      </c>
      <c r="D1539" t="s">
        <v>7</v>
      </c>
      <c r="E1539" t="s">
        <v>171</v>
      </c>
      <c r="F1539" t="s">
        <v>15</v>
      </c>
    </row>
    <row r="1540" spans="1:6" hidden="1" outlineLevel="2">
      <c r="A1540" t="s">
        <v>6</v>
      </c>
      <c r="B1540" s="1">
        <v>45845.360324074078</v>
      </c>
      <c r="C1540">
        <v>30002</v>
      </c>
      <c r="D1540" t="s">
        <v>7</v>
      </c>
      <c r="E1540" t="s">
        <v>171</v>
      </c>
      <c r="F1540" t="s">
        <v>15</v>
      </c>
    </row>
    <row r="1541" spans="1:6" hidden="1" outlineLevel="2">
      <c r="A1541" t="s">
        <v>6</v>
      </c>
      <c r="B1541" s="1">
        <v>45861.528009259258</v>
      </c>
      <c r="C1541">
        <v>30002</v>
      </c>
      <c r="D1541" t="s">
        <v>7</v>
      </c>
      <c r="E1541" t="s">
        <v>171</v>
      </c>
      <c r="F1541" t="s">
        <v>23</v>
      </c>
    </row>
    <row r="1542" spans="1:6" hidden="1" outlineLevel="2">
      <c r="A1542" t="s">
        <v>6</v>
      </c>
      <c r="B1542" s="1">
        <v>45861.525289351855</v>
      </c>
      <c r="C1542">
        <v>30002</v>
      </c>
      <c r="D1542" t="s">
        <v>7</v>
      </c>
      <c r="E1542" t="s">
        <v>171</v>
      </c>
      <c r="F1542" t="s">
        <v>23</v>
      </c>
    </row>
    <row r="1543" spans="1:6" hidden="1" outlineLevel="2">
      <c r="A1543" t="s">
        <v>6</v>
      </c>
      <c r="B1543" s="1">
        <v>45861.384606481479</v>
      </c>
      <c r="C1543">
        <v>30002</v>
      </c>
      <c r="D1543" t="s">
        <v>7</v>
      </c>
      <c r="E1543" t="s">
        <v>171</v>
      </c>
      <c r="F1543" t="s">
        <v>23</v>
      </c>
    </row>
    <row r="1544" spans="1:6" hidden="1" outlineLevel="2">
      <c r="A1544" t="s">
        <v>6</v>
      </c>
      <c r="B1544" s="1">
        <v>45861.384340277778</v>
      </c>
      <c r="C1544">
        <v>30002</v>
      </c>
      <c r="D1544" t="s">
        <v>7</v>
      </c>
      <c r="E1544" t="s">
        <v>171</v>
      </c>
      <c r="F1544" t="s">
        <v>23</v>
      </c>
    </row>
    <row r="1545" spans="1:6" hidden="1" outlineLevel="2">
      <c r="A1545" t="s">
        <v>6</v>
      </c>
      <c r="B1545" s="1">
        <v>45861.383449074077</v>
      </c>
      <c r="C1545">
        <v>30002</v>
      </c>
      <c r="D1545" t="s">
        <v>7</v>
      </c>
      <c r="E1545" t="s">
        <v>171</v>
      </c>
      <c r="F1545" t="s">
        <v>23</v>
      </c>
    </row>
    <row r="1546" spans="1:6" hidden="1" outlineLevel="2">
      <c r="A1546" t="s">
        <v>6</v>
      </c>
      <c r="B1546" s="1">
        <v>45845.585023148145</v>
      </c>
      <c r="C1546">
        <v>30002</v>
      </c>
      <c r="D1546" t="s">
        <v>7</v>
      </c>
      <c r="E1546" t="s">
        <v>171</v>
      </c>
      <c r="F1546" t="s">
        <v>23</v>
      </c>
    </row>
    <row r="1547" spans="1:6" hidden="1" outlineLevel="2">
      <c r="A1547" t="s">
        <v>6</v>
      </c>
      <c r="B1547" s="1">
        <v>45845.583472222221</v>
      </c>
      <c r="C1547">
        <v>30002</v>
      </c>
      <c r="D1547" t="s">
        <v>7</v>
      </c>
      <c r="E1547" t="s">
        <v>171</v>
      </c>
      <c r="F1547" t="s">
        <v>23</v>
      </c>
    </row>
    <row r="1548" spans="1:6" hidden="1" outlineLevel="2">
      <c r="A1548" t="s">
        <v>6</v>
      </c>
      <c r="B1548" s="1">
        <v>45845.564050925925</v>
      </c>
      <c r="C1548">
        <v>30002</v>
      </c>
      <c r="D1548" t="s">
        <v>7</v>
      </c>
      <c r="E1548" t="s">
        <v>171</v>
      </c>
      <c r="F1548" t="s">
        <v>23</v>
      </c>
    </row>
    <row r="1549" spans="1:6" hidden="1" outlineLevel="2">
      <c r="A1549" t="s">
        <v>6</v>
      </c>
      <c r="B1549" s="1">
        <v>45854.600671296299</v>
      </c>
      <c r="C1549">
        <v>30002</v>
      </c>
      <c r="D1549" t="s">
        <v>7</v>
      </c>
      <c r="E1549" t="s">
        <v>171</v>
      </c>
      <c r="F1549" t="s">
        <v>24</v>
      </c>
    </row>
    <row r="1550" spans="1:6" hidden="1" outlineLevel="2">
      <c r="A1550" t="s">
        <v>6</v>
      </c>
      <c r="B1550" s="1">
        <v>45869.614537037036</v>
      </c>
      <c r="C1550">
        <v>30002</v>
      </c>
      <c r="D1550" t="s">
        <v>7</v>
      </c>
      <c r="E1550" t="s">
        <v>171</v>
      </c>
      <c r="F1550" t="s">
        <v>97</v>
      </c>
    </row>
    <row r="1551" spans="1:6" hidden="1" outlineLevel="2">
      <c r="A1551" t="s">
        <v>6</v>
      </c>
      <c r="B1551" s="1">
        <v>45869.60597222222</v>
      </c>
      <c r="C1551">
        <v>30002</v>
      </c>
      <c r="D1551" t="s">
        <v>7</v>
      </c>
      <c r="E1551" t="s">
        <v>171</v>
      </c>
      <c r="F1551" t="s">
        <v>97</v>
      </c>
    </row>
    <row r="1552" spans="1:6" outlineLevel="1" collapsed="1">
      <c r="B1552" s="1"/>
      <c r="E1552" s="2" t="s">
        <v>336</v>
      </c>
      <c r="F1552">
        <f>SUBTOTAL(3,F1504:F1551)</f>
        <v>48</v>
      </c>
    </row>
    <row r="1553" spans="1:6" hidden="1" outlineLevel="2">
      <c r="A1553" t="s">
        <v>6</v>
      </c>
      <c r="B1553" s="1">
        <v>45869.537303240744</v>
      </c>
      <c r="C1553">
        <v>30002</v>
      </c>
      <c r="D1553" t="s">
        <v>7</v>
      </c>
      <c r="E1553" t="s">
        <v>172</v>
      </c>
      <c r="F1553" t="s">
        <v>55</v>
      </c>
    </row>
    <row r="1554" spans="1:6" hidden="1" outlineLevel="2">
      <c r="A1554" t="s">
        <v>6</v>
      </c>
      <c r="B1554" s="1">
        <v>45869.53701388889</v>
      </c>
      <c r="C1554">
        <v>30002</v>
      </c>
      <c r="D1554" t="s">
        <v>7</v>
      </c>
      <c r="E1554" t="s">
        <v>172</v>
      </c>
      <c r="F1554" t="s">
        <v>55</v>
      </c>
    </row>
    <row r="1555" spans="1:6" hidden="1" outlineLevel="2">
      <c r="A1555" t="s">
        <v>6</v>
      </c>
      <c r="B1555" s="1">
        <v>45869.536643518521</v>
      </c>
      <c r="C1555">
        <v>30002</v>
      </c>
      <c r="D1555" t="s">
        <v>7</v>
      </c>
      <c r="E1555" t="s">
        <v>172</v>
      </c>
      <c r="F1555" t="s">
        <v>55</v>
      </c>
    </row>
    <row r="1556" spans="1:6" hidden="1" outlineLevel="2">
      <c r="A1556" t="s">
        <v>6</v>
      </c>
      <c r="B1556" s="1">
        <v>45869.536134259259</v>
      </c>
      <c r="C1556">
        <v>30002</v>
      </c>
      <c r="D1556" t="s">
        <v>7</v>
      </c>
      <c r="E1556" t="s">
        <v>172</v>
      </c>
      <c r="F1556" t="s">
        <v>55</v>
      </c>
    </row>
    <row r="1557" spans="1:6" outlineLevel="1" collapsed="1">
      <c r="B1557" s="1"/>
      <c r="E1557" s="2" t="s">
        <v>337</v>
      </c>
      <c r="F1557">
        <f>SUBTOTAL(3,F1553:F1556)</f>
        <v>4</v>
      </c>
    </row>
    <row r="1558" spans="1:6" hidden="1" outlineLevel="2">
      <c r="A1558" t="s">
        <v>6</v>
      </c>
      <c r="B1558" s="1">
        <v>45853.575729166667</v>
      </c>
      <c r="C1558">
        <v>30002</v>
      </c>
      <c r="D1558" t="s">
        <v>7</v>
      </c>
      <c r="E1558" t="s">
        <v>173</v>
      </c>
      <c r="F1558" t="s">
        <v>137</v>
      </c>
    </row>
    <row r="1559" spans="1:6" hidden="1" outlineLevel="2">
      <c r="A1559" t="s">
        <v>6</v>
      </c>
      <c r="B1559" s="1">
        <v>45853.575520833336</v>
      </c>
      <c r="C1559">
        <v>30002</v>
      </c>
      <c r="D1559" t="s">
        <v>7</v>
      </c>
      <c r="E1559" t="s">
        <v>173</v>
      </c>
      <c r="F1559" t="s">
        <v>137</v>
      </c>
    </row>
    <row r="1560" spans="1:6" hidden="1" outlineLevel="2">
      <c r="A1560" t="s">
        <v>6</v>
      </c>
      <c r="B1560" s="1">
        <v>45853.57503472222</v>
      </c>
      <c r="C1560">
        <v>30002</v>
      </c>
      <c r="D1560" t="s">
        <v>7</v>
      </c>
      <c r="E1560" t="s">
        <v>173</v>
      </c>
      <c r="F1560" t="s">
        <v>137</v>
      </c>
    </row>
    <row r="1561" spans="1:6" hidden="1" outlineLevel="2">
      <c r="A1561" t="s">
        <v>6</v>
      </c>
      <c r="B1561" s="1">
        <v>45853.574965277781</v>
      </c>
      <c r="C1561">
        <v>30002</v>
      </c>
      <c r="D1561" t="s">
        <v>7</v>
      </c>
      <c r="E1561" t="s">
        <v>173</v>
      </c>
      <c r="F1561" t="s">
        <v>137</v>
      </c>
    </row>
    <row r="1562" spans="1:6" hidden="1" outlineLevel="2">
      <c r="A1562" t="s">
        <v>6</v>
      </c>
      <c r="B1562" s="1">
        <v>45840.440358796295</v>
      </c>
      <c r="C1562">
        <v>30002</v>
      </c>
      <c r="D1562" t="s">
        <v>7</v>
      </c>
      <c r="E1562" t="s">
        <v>173</v>
      </c>
      <c r="F1562" t="s">
        <v>13</v>
      </c>
    </row>
    <row r="1563" spans="1:6" hidden="1" outlineLevel="2">
      <c r="A1563" t="s">
        <v>6</v>
      </c>
      <c r="B1563" s="1">
        <v>45840.431157407409</v>
      </c>
      <c r="C1563">
        <v>30002</v>
      </c>
      <c r="D1563" t="s">
        <v>7</v>
      </c>
      <c r="E1563" t="s">
        <v>173</v>
      </c>
      <c r="F1563" t="s">
        <v>13</v>
      </c>
    </row>
    <row r="1564" spans="1:6" hidden="1" outlineLevel="2">
      <c r="A1564" t="s">
        <v>6</v>
      </c>
      <c r="B1564" s="1">
        <v>45840.427245370367</v>
      </c>
      <c r="C1564">
        <v>30002</v>
      </c>
      <c r="D1564" t="s">
        <v>7</v>
      </c>
      <c r="E1564" t="s">
        <v>173</v>
      </c>
      <c r="F1564" t="s">
        <v>13</v>
      </c>
    </row>
    <row r="1565" spans="1:6" hidden="1" outlineLevel="2">
      <c r="A1565" t="s">
        <v>6</v>
      </c>
      <c r="B1565" s="1">
        <v>45840.422256944446</v>
      </c>
      <c r="C1565">
        <v>30002</v>
      </c>
      <c r="D1565" t="s">
        <v>7</v>
      </c>
      <c r="E1565" t="s">
        <v>173</v>
      </c>
      <c r="F1565" t="s">
        <v>13</v>
      </c>
    </row>
    <row r="1566" spans="1:6" hidden="1" outlineLevel="2">
      <c r="A1566" t="s">
        <v>6</v>
      </c>
      <c r="B1566" s="1">
        <v>45840.419374999998</v>
      </c>
      <c r="C1566">
        <v>30002</v>
      </c>
      <c r="D1566" t="s">
        <v>7</v>
      </c>
      <c r="E1566" t="s">
        <v>173</v>
      </c>
      <c r="F1566" t="s">
        <v>13</v>
      </c>
    </row>
    <row r="1567" spans="1:6" hidden="1" outlineLevel="2">
      <c r="A1567" t="s">
        <v>6</v>
      </c>
      <c r="B1567" s="1">
        <v>45840.419016203705</v>
      </c>
      <c r="C1567">
        <v>30002</v>
      </c>
      <c r="D1567" t="s">
        <v>7</v>
      </c>
      <c r="E1567" t="s">
        <v>173</v>
      </c>
      <c r="F1567" t="s">
        <v>13</v>
      </c>
    </row>
    <row r="1568" spans="1:6" hidden="1" outlineLevel="2">
      <c r="A1568" t="s">
        <v>6</v>
      </c>
      <c r="B1568" s="1">
        <v>45840.416539351849</v>
      </c>
      <c r="C1568">
        <v>30002</v>
      </c>
      <c r="D1568" t="s">
        <v>7</v>
      </c>
      <c r="E1568" t="s">
        <v>173</v>
      </c>
      <c r="F1568" t="s">
        <v>13</v>
      </c>
    </row>
    <row r="1569" spans="1:6" hidden="1" outlineLevel="2">
      <c r="A1569" t="s">
        <v>6</v>
      </c>
      <c r="B1569" s="1">
        <v>45840.406030092592</v>
      </c>
      <c r="C1569">
        <v>30002</v>
      </c>
      <c r="D1569" t="s">
        <v>7</v>
      </c>
      <c r="E1569" t="s">
        <v>173</v>
      </c>
      <c r="F1569" t="s">
        <v>13</v>
      </c>
    </row>
    <row r="1570" spans="1:6" hidden="1" outlineLevel="2">
      <c r="A1570" t="s">
        <v>6</v>
      </c>
      <c r="B1570" s="1">
        <v>45840.403368055559</v>
      </c>
      <c r="C1570">
        <v>30002</v>
      </c>
      <c r="D1570" t="s">
        <v>7</v>
      </c>
      <c r="E1570" t="s">
        <v>173</v>
      </c>
      <c r="F1570" t="s">
        <v>13</v>
      </c>
    </row>
    <row r="1571" spans="1:6" hidden="1" outlineLevel="2">
      <c r="A1571" t="s">
        <v>6</v>
      </c>
      <c r="B1571" s="1">
        <v>45840.388391203705</v>
      </c>
      <c r="C1571">
        <v>30002</v>
      </c>
      <c r="D1571" t="s">
        <v>7</v>
      </c>
      <c r="E1571" t="s">
        <v>173</v>
      </c>
      <c r="F1571" t="s">
        <v>13</v>
      </c>
    </row>
    <row r="1572" spans="1:6" hidden="1" outlineLevel="2">
      <c r="A1572" t="s">
        <v>6</v>
      </c>
      <c r="B1572" s="1">
        <v>45840.386817129627</v>
      </c>
      <c r="C1572">
        <v>30002</v>
      </c>
      <c r="D1572" t="s">
        <v>7</v>
      </c>
      <c r="E1572" t="s">
        <v>173</v>
      </c>
      <c r="F1572" t="s">
        <v>13</v>
      </c>
    </row>
    <row r="1573" spans="1:6" hidden="1" outlineLevel="2">
      <c r="A1573" t="s">
        <v>6</v>
      </c>
      <c r="B1573" s="1">
        <v>45867.498726851853</v>
      </c>
      <c r="C1573">
        <v>30002</v>
      </c>
      <c r="D1573" t="s">
        <v>7</v>
      </c>
      <c r="E1573" t="s">
        <v>173</v>
      </c>
      <c r="F1573" t="s">
        <v>18</v>
      </c>
    </row>
    <row r="1574" spans="1:6" hidden="1" outlineLevel="2">
      <c r="A1574" t="s">
        <v>6</v>
      </c>
      <c r="B1574" s="1">
        <v>45841.380393518521</v>
      </c>
      <c r="C1574">
        <v>30002</v>
      </c>
      <c r="D1574" t="s">
        <v>7</v>
      </c>
      <c r="E1574" t="s">
        <v>173</v>
      </c>
      <c r="F1574" t="s">
        <v>18</v>
      </c>
    </row>
    <row r="1575" spans="1:6" hidden="1" outlineLevel="2">
      <c r="A1575" t="s">
        <v>6</v>
      </c>
      <c r="B1575" s="1">
        <v>45840.653414351851</v>
      </c>
      <c r="C1575">
        <v>30002</v>
      </c>
      <c r="D1575" t="s">
        <v>7</v>
      </c>
      <c r="E1575" t="s">
        <v>173</v>
      </c>
      <c r="F1575" t="s">
        <v>18</v>
      </c>
    </row>
    <row r="1576" spans="1:6" hidden="1" outlineLevel="2">
      <c r="A1576" t="s">
        <v>6</v>
      </c>
      <c r="B1576" s="1">
        <v>45845.677939814814</v>
      </c>
      <c r="C1576">
        <v>30002</v>
      </c>
      <c r="D1576" t="s">
        <v>7</v>
      </c>
      <c r="E1576" t="s">
        <v>173</v>
      </c>
      <c r="F1576" t="s">
        <v>134</v>
      </c>
    </row>
    <row r="1577" spans="1:6" hidden="1" outlineLevel="2">
      <c r="A1577" t="s">
        <v>6</v>
      </c>
      <c r="B1577" s="1">
        <v>45845.671956018516</v>
      </c>
      <c r="C1577">
        <v>30002</v>
      </c>
      <c r="D1577" t="s">
        <v>7</v>
      </c>
      <c r="E1577" t="s">
        <v>173</v>
      </c>
      <c r="F1577" t="s">
        <v>134</v>
      </c>
    </row>
    <row r="1578" spans="1:6" hidden="1" outlineLevel="2">
      <c r="A1578" t="s">
        <v>6</v>
      </c>
      <c r="B1578" s="1">
        <v>45845.669016203705</v>
      </c>
      <c r="C1578">
        <v>30002</v>
      </c>
      <c r="D1578" t="s">
        <v>7</v>
      </c>
      <c r="E1578" t="s">
        <v>173</v>
      </c>
      <c r="F1578" t="s">
        <v>134</v>
      </c>
    </row>
    <row r="1579" spans="1:6" hidden="1" outlineLevel="2">
      <c r="A1579" t="s">
        <v>6</v>
      </c>
      <c r="B1579" s="1">
        <v>45845.665763888886</v>
      </c>
      <c r="C1579">
        <v>30002</v>
      </c>
      <c r="D1579" t="s">
        <v>7</v>
      </c>
      <c r="E1579" t="s">
        <v>173</v>
      </c>
      <c r="F1579" t="s">
        <v>134</v>
      </c>
    </row>
    <row r="1580" spans="1:6" hidden="1" outlineLevel="2">
      <c r="A1580" t="s">
        <v>6</v>
      </c>
      <c r="B1580" s="1">
        <v>45845.658692129633</v>
      </c>
      <c r="C1580">
        <v>30002</v>
      </c>
      <c r="D1580" t="s">
        <v>7</v>
      </c>
      <c r="E1580" t="s">
        <v>173</v>
      </c>
      <c r="F1580" t="s">
        <v>134</v>
      </c>
    </row>
    <row r="1581" spans="1:6" hidden="1" outlineLevel="2">
      <c r="A1581" t="s">
        <v>6</v>
      </c>
      <c r="B1581" s="1">
        <v>45840.570960648147</v>
      </c>
      <c r="C1581">
        <v>30002</v>
      </c>
      <c r="D1581" t="s">
        <v>7</v>
      </c>
      <c r="E1581" t="s">
        <v>173</v>
      </c>
      <c r="F1581" t="s">
        <v>103</v>
      </c>
    </row>
    <row r="1582" spans="1:6" hidden="1" outlineLevel="2">
      <c r="A1582" t="s">
        <v>6</v>
      </c>
      <c r="B1582" s="1">
        <v>45860.895208333335</v>
      </c>
      <c r="C1582">
        <v>30002</v>
      </c>
      <c r="D1582" t="s">
        <v>7</v>
      </c>
      <c r="E1582" t="s">
        <v>173</v>
      </c>
      <c r="F1582" t="s">
        <v>19</v>
      </c>
    </row>
    <row r="1583" spans="1:6" hidden="1" outlineLevel="2">
      <c r="A1583" t="s">
        <v>6</v>
      </c>
      <c r="B1583" s="1">
        <v>45849.617847222224</v>
      </c>
      <c r="C1583">
        <v>30002</v>
      </c>
      <c r="D1583" t="s">
        <v>7</v>
      </c>
      <c r="E1583" t="s">
        <v>173</v>
      </c>
      <c r="F1583" t="s">
        <v>19</v>
      </c>
    </row>
    <row r="1584" spans="1:6" hidden="1" outlineLevel="2">
      <c r="A1584" t="s">
        <v>6</v>
      </c>
      <c r="B1584" s="1">
        <v>45849.603310185186</v>
      </c>
      <c r="C1584">
        <v>30002</v>
      </c>
      <c r="D1584" t="s">
        <v>7</v>
      </c>
      <c r="E1584" t="s">
        <v>173</v>
      </c>
      <c r="F1584" t="s">
        <v>19</v>
      </c>
    </row>
    <row r="1585" spans="1:6" hidden="1" outlineLevel="2">
      <c r="A1585" t="s">
        <v>6</v>
      </c>
      <c r="B1585" s="1">
        <v>45841.610960648148</v>
      </c>
      <c r="C1585">
        <v>30002</v>
      </c>
      <c r="D1585" t="s">
        <v>7</v>
      </c>
      <c r="E1585" t="s">
        <v>173</v>
      </c>
      <c r="F1585" t="s">
        <v>19</v>
      </c>
    </row>
    <row r="1586" spans="1:6" hidden="1" outlineLevel="2">
      <c r="A1586" t="s">
        <v>6</v>
      </c>
      <c r="B1586" s="1">
        <v>45841.596053240741</v>
      </c>
      <c r="C1586">
        <v>30002</v>
      </c>
      <c r="D1586" t="s">
        <v>7</v>
      </c>
      <c r="E1586" t="s">
        <v>173</v>
      </c>
      <c r="F1586" t="s">
        <v>19</v>
      </c>
    </row>
    <row r="1587" spans="1:6" hidden="1" outlineLevel="2">
      <c r="A1587" t="s">
        <v>6</v>
      </c>
      <c r="B1587" s="1">
        <v>45841.586296296293</v>
      </c>
      <c r="C1587">
        <v>30002</v>
      </c>
      <c r="D1587" t="s">
        <v>7</v>
      </c>
      <c r="E1587" t="s">
        <v>173</v>
      </c>
      <c r="F1587" t="s">
        <v>19</v>
      </c>
    </row>
    <row r="1588" spans="1:6" hidden="1" outlineLevel="2">
      <c r="A1588" t="s">
        <v>6</v>
      </c>
      <c r="B1588" s="1">
        <v>45841.57545138889</v>
      </c>
      <c r="C1588">
        <v>30002</v>
      </c>
      <c r="D1588" t="s">
        <v>7</v>
      </c>
      <c r="E1588" t="s">
        <v>173</v>
      </c>
      <c r="F1588" t="s">
        <v>19</v>
      </c>
    </row>
    <row r="1589" spans="1:6" hidden="1" outlineLevel="2">
      <c r="A1589" t="s">
        <v>6</v>
      </c>
      <c r="B1589" s="1">
        <v>45841.563842592594</v>
      </c>
      <c r="C1589">
        <v>30002</v>
      </c>
      <c r="D1589" t="s">
        <v>7</v>
      </c>
      <c r="E1589" t="s">
        <v>173</v>
      </c>
      <c r="F1589" t="s">
        <v>19</v>
      </c>
    </row>
    <row r="1590" spans="1:6" hidden="1" outlineLevel="2">
      <c r="A1590" t="s">
        <v>6</v>
      </c>
      <c r="B1590" s="1">
        <v>45840.30572916667</v>
      </c>
      <c r="C1590">
        <v>30002</v>
      </c>
      <c r="D1590" t="s">
        <v>7</v>
      </c>
      <c r="E1590" t="s">
        <v>173</v>
      </c>
      <c r="F1590" t="s">
        <v>19</v>
      </c>
    </row>
    <row r="1591" spans="1:6" hidden="1" outlineLevel="2">
      <c r="A1591" t="s">
        <v>6</v>
      </c>
      <c r="B1591" s="1">
        <v>45840.209409722222</v>
      </c>
      <c r="C1591">
        <v>30002</v>
      </c>
      <c r="D1591" t="s">
        <v>7</v>
      </c>
      <c r="E1591" t="s">
        <v>173</v>
      </c>
      <c r="F1591" t="s">
        <v>19</v>
      </c>
    </row>
    <row r="1592" spans="1:6" hidden="1" outlineLevel="2">
      <c r="A1592" t="s">
        <v>6</v>
      </c>
      <c r="B1592" s="1">
        <v>45840.207476851851</v>
      </c>
      <c r="C1592">
        <v>30002</v>
      </c>
      <c r="D1592" t="s">
        <v>7</v>
      </c>
      <c r="E1592" t="s">
        <v>173</v>
      </c>
      <c r="F1592" t="s">
        <v>19</v>
      </c>
    </row>
    <row r="1593" spans="1:6" hidden="1" outlineLevel="2">
      <c r="A1593" t="s">
        <v>6</v>
      </c>
      <c r="B1593" s="1">
        <v>45840.205729166664</v>
      </c>
      <c r="C1593">
        <v>30002</v>
      </c>
      <c r="D1593" t="s">
        <v>7</v>
      </c>
      <c r="E1593" t="s">
        <v>173</v>
      </c>
      <c r="F1593" t="s">
        <v>19</v>
      </c>
    </row>
    <row r="1594" spans="1:6" hidden="1" outlineLevel="2">
      <c r="A1594" t="s">
        <v>6</v>
      </c>
      <c r="B1594" s="1">
        <v>45859.487453703703</v>
      </c>
      <c r="C1594">
        <v>30002</v>
      </c>
      <c r="D1594" t="s">
        <v>7</v>
      </c>
      <c r="E1594" t="s">
        <v>173</v>
      </c>
      <c r="F1594" t="s">
        <v>23</v>
      </c>
    </row>
    <row r="1595" spans="1:6" hidden="1" outlineLevel="2">
      <c r="A1595" t="s">
        <v>6</v>
      </c>
      <c r="B1595" s="1">
        <v>45844.732303240744</v>
      </c>
      <c r="C1595">
        <v>30002</v>
      </c>
      <c r="D1595" t="s">
        <v>7</v>
      </c>
      <c r="E1595" t="s">
        <v>173</v>
      </c>
      <c r="F1595" t="s">
        <v>23</v>
      </c>
    </row>
    <row r="1596" spans="1:6" hidden="1" outlineLevel="2">
      <c r="A1596" t="s">
        <v>6</v>
      </c>
      <c r="B1596" s="1">
        <v>45841.531863425924</v>
      </c>
      <c r="C1596">
        <v>30002</v>
      </c>
      <c r="D1596" t="s">
        <v>7</v>
      </c>
      <c r="E1596" t="s">
        <v>173</v>
      </c>
      <c r="F1596" t="s">
        <v>23</v>
      </c>
    </row>
    <row r="1597" spans="1:6" hidden="1" outlineLevel="2">
      <c r="A1597" t="s">
        <v>6</v>
      </c>
      <c r="B1597" s="1">
        <v>45841.529988425929</v>
      </c>
      <c r="C1597">
        <v>30002</v>
      </c>
      <c r="D1597" t="s">
        <v>7</v>
      </c>
      <c r="E1597" t="s">
        <v>173</v>
      </c>
      <c r="F1597" t="s">
        <v>23</v>
      </c>
    </row>
    <row r="1598" spans="1:6" hidden="1" outlineLevel="2">
      <c r="A1598" t="s">
        <v>6</v>
      </c>
      <c r="B1598" s="1">
        <v>45840.413298611114</v>
      </c>
      <c r="C1598">
        <v>30002</v>
      </c>
      <c r="D1598" t="s">
        <v>7</v>
      </c>
      <c r="E1598" t="s">
        <v>173</v>
      </c>
      <c r="F1598" t="s">
        <v>23</v>
      </c>
    </row>
    <row r="1599" spans="1:6" hidden="1" outlineLevel="2">
      <c r="A1599" t="s">
        <v>6</v>
      </c>
      <c r="B1599" s="1">
        <v>45841.586354166669</v>
      </c>
      <c r="C1599">
        <v>30002</v>
      </c>
      <c r="D1599" t="s">
        <v>7</v>
      </c>
      <c r="E1599" t="s">
        <v>173</v>
      </c>
      <c r="F1599" t="s">
        <v>54</v>
      </c>
    </row>
    <row r="1600" spans="1:6" hidden="1" outlineLevel="2">
      <c r="A1600" t="s">
        <v>6</v>
      </c>
      <c r="B1600" s="1">
        <v>45841.584907407407</v>
      </c>
      <c r="C1600">
        <v>30002</v>
      </c>
      <c r="D1600" t="s">
        <v>7</v>
      </c>
      <c r="E1600" t="s">
        <v>173</v>
      </c>
      <c r="F1600" t="s">
        <v>54</v>
      </c>
    </row>
    <row r="1601" spans="1:6" hidden="1" outlineLevel="2">
      <c r="A1601" t="s">
        <v>6</v>
      </c>
      <c r="B1601" s="1">
        <v>45841.583715277775</v>
      </c>
      <c r="C1601">
        <v>30002</v>
      </c>
      <c r="D1601" t="s">
        <v>7</v>
      </c>
      <c r="E1601" t="s">
        <v>173</v>
      </c>
      <c r="F1601" t="s">
        <v>54</v>
      </c>
    </row>
    <row r="1602" spans="1:6" hidden="1" outlineLevel="2">
      <c r="A1602" t="s">
        <v>6</v>
      </c>
      <c r="B1602" s="1">
        <v>45841.583657407406</v>
      </c>
      <c r="C1602">
        <v>30002</v>
      </c>
      <c r="D1602" t="s">
        <v>7</v>
      </c>
      <c r="E1602" t="s">
        <v>173</v>
      </c>
      <c r="F1602" t="s">
        <v>54</v>
      </c>
    </row>
    <row r="1603" spans="1:6" hidden="1" outlineLevel="2">
      <c r="A1603" t="s">
        <v>6</v>
      </c>
      <c r="B1603" s="1">
        <v>45841.582199074073</v>
      </c>
      <c r="C1603">
        <v>30002</v>
      </c>
      <c r="D1603" t="s">
        <v>7</v>
      </c>
      <c r="E1603" t="s">
        <v>173</v>
      </c>
      <c r="F1603" t="s">
        <v>54</v>
      </c>
    </row>
    <row r="1604" spans="1:6" hidden="1" outlineLevel="2">
      <c r="A1604" t="s">
        <v>6</v>
      </c>
      <c r="B1604" s="1">
        <v>45841.581365740742</v>
      </c>
      <c r="C1604">
        <v>30002</v>
      </c>
      <c r="D1604" t="s">
        <v>7</v>
      </c>
      <c r="E1604" t="s">
        <v>173</v>
      </c>
      <c r="F1604" t="s">
        <v>54</v>
      </c>
    </row>
    <row r="1605" spans="1:6" hidden="1" outlineLevel="2">
      <c r="A1605" t="s">
        <v>6</v>
      </c>
      <c r="B1605" s="1">
        <v>45840.513124999998</v>
      </c>
      <c r="C1605">
        <v>30002</v>
      </c>
      <c r="D1605" t="s">
        <v>7</v>
      </c>
      <c r="E1605" t="s">
        <v>173</v>
      </c>
      <c r="F1605" t="s">
        <v>54</v>
      </c>
    </row>
    <row r="1606" spans="1:6" hidden="1" outlineLevel="2">
      <c r="A1606" t="s">
        <v>6</v>
      </c>
      <c r="B1606" s="1">
        <v>45840.512615740743</v>
      </c>
      <c r="C1606">
        <v>30002</v>
      </c>
      <c r="D1606" t="s">
        <v>7</v>
      </c>
      <c r="E1606" t="s">
        <v>173</v>
      </c>
      <c r="F1606" t="s">
        <v>54</v>
      </c>
    </row>
    <row r="1607" spans="1:6" hidden="1" outlineLevel="2">
      <c r="A1607" t="s">
        <v>6</v>
      </c>
      <c r="B1607" s="1">
        <v>45840.512430555558</v>
      </c>
      <c r="C1607">
        <v>30002</v>
      </c>
      <c r="D1607" t="s">
        <v>7</v>
      </c>
      <c r="E1607" t="s">
        <v>173</v>
      </c>
      <c r="F1607" t="s">
        <v>54</v>
      </c>
    </row>
    <row r="1608" spans="1:6" hidden="1" outlineLevel="2">
      <c r="A1608" t="s">
        <v>6</v>
      </c>
      <c r="B1608" s="1">
        <v>45853.575902777775</v>
      </c>
      <c r="C1608">
        <v>30002</v>
      </c>
      <c r="D1608" t="s">
        <v>7</v>
      </c>
      <c r="E1608" t="s">
        <v>173</v>
      </c>
      <c r="F1608" t="s">
        <v>24</v>
      </c>
    </row>
    <row r="1609" spans="1:6" hidden="1" outlineLevel="2">
      <c r="A1609" t="s">
        <v>6</v>
      </c>
      <c r="B1609" s="1">
        <v>45853.57534722222</v>
      </c>
      <c r="C1609">
        <v>30002</v>
      </c>
      <c r="D1609" t="s">
        <v>7</v>
      </c>
      <c r="E1609" t="s">
        <v>173</v>
      </c>
      <c r="F1609" t="s">
        <v>24</v>
      </c>
    </row>
    <row r="1610" spans="1:6" hidden="1" outlineLevel="2">
      <c r="A1610" t="s">
        <v>6</v>
      </c>
      <c r="B1610" s="1">
        <v>45853.574340277781</v>
      </c>
      <c r="C1610">
        <v>30002</v>
      </c>
      <c r="D1610" t="s">
        <v>7</v>
      </c>
      <c r="E1610" t="s">
        <v>173</v>
      </c>
      <c r="F1610" t="s">
        <v>24</v>
      </c>
    </row>
    <row r="1611" spans="1:6" hidden="1" outlineLevel="2">
      <c r="A1611" t="s">
        <v>6</v>
      </c>
      <c r="B1611" s="1">
        <v>45853.574247685188</v>
      </c>
      <c r="C1611">
        <v>30002</v>
      </c>
      <c r="D1611" t="s">
        <v>7</v>
      </c>
      <c r="E1611" t="s">
        <v>173</v>
      </c>
      <c r="F1611" t="s">
        <v>24</v>
      </c>
    </row>
    <row r="1612" spans="1:6" hidden="1" outlineLevel="2">
      <c r="A1612" t="s">
        <v>6</v>
      </c>
      <c r="B1612" s="1">
        <v>45853.574166666665</v>
      </c>
      <c r="C1612">
        <v>30002</v>
      </c>
      <c r="D1612" t="s">
        <v>7</v>
      </c>
      <c r="E1612" t="s">
        <v>173</v>
      </c>
      <c r="F1612" t="s">
        <v>24</v>
      </c>
    </row>
    <row r="1613" spans="1:6" hidden="1" outlineLevel="2">
      <c r="A1613" t="s">
        <v>6</v>
      </c>
      <c r="B1613" s="1">
        <v>45853.574097222219</v>
      </c>
      <c r="C1613">
        <v>30002</v>
      </c>
      <c r="D1613" t="s">
        <v>7</v>
      </c>
      <c r="E1613" t="s">
        <v>173</v>
      </c>
      <c r="F1613" t="s">
        <v>24</v>
      </c>
    </row>
    <row r="1614" spans="1:6" hidden="1" outlineLevel="2">
      <c r="A1614" t="s">
        <v>6</v>
      </c>
      <c r="B1614" s="1">
        <v>45840.335104166668</v>
      </c>
      <c r="C1614">
        <v>30002</v>
      </c>
      <c r="D1614" t="s">
        <v>7</v>
      </c>
      <c r="E1614" t="s">
        <v>173</v>
      </c>
      <c r="F1614" t="s">
        <v>25</v>
      </c>
    </row>
    <row r="1615" spans="1:6" hidden="1" outlineLevel="2">
      <c r="A1615" t="s">
        <v>6</v>
      </c>
      <c r="B1615" s="1">
        <v>45840.323275462964</v>
      </c>
      <c r="C1615">
        <v>30002</v>
      </c>
      <c r="D1615" t="s">
        <v>7</v>
      </c>
      <c r="E1615" t="s">
        <v>173</v>
      </c>
      <c r="F1615" t="s">
        <v>25</v>
      </c>
    </row>
    <row r="1616" spans="1:6" hidden="1" outlineLevel="2">
      <c r="A1616" t="s">
        <v>6</v>
      </c>
      <c r="B1616" s="1">
        <v>45840.320613425924</v>
      </c>
      <c r="C1616">
        <v>30002</v>
      </c>
      <c r="D1616" t="s">
        <v>7</v>
      </c>
      <c r="E1616" t="s">
        <v>173</v>
      </c>
      <c r="F1616" t="s">
        <v>25</v>
      </c>
    </row>
    <row r="1617" spans="1:6" hidden="1" outlineLevel="2">
      <c r="A1617" t="s">
        <v>6</v>
      </c>
      <c r="B1617" s="1">
        <v>45840.318067129629</v>
      </c>
      <c r="C1617">
        <v>30002</v>
      </c>
      <c r="D1617" t="s">
        <v>7</v>
      </c>
      <c r="E1617" t="s">
        <v>173</v>
      </c>
      <c r="F1617" t="s">
        <v>25</v>
      </c>
    </row>
    <row r="1618" spans="1:6" hidden="1" outlineLevel="2">
      <c r="A1618" t="s">
        <v>6</v>
      </c>
      <c r="B1618" s="1">
        <v>45840.317881944444</v>
      </c>
      <c r="C1618">
        <v>30002</v>
      </c>
      <c r="D1618" t="s">
        <v>7</v>
      </c>
      <c r="E1618" t="s">
        <v>173</v>
      </c>
      <c r="F1618" t="s">
        <v>25</v>
      </c>
    </row>
    <row r="1619" spans="1:6" hidden="1" outlineLevel="2">
      <c r="A1619" t="s">
        <v>6</v>
      </c>
      <c r="B1619" s="1">
        <v>45868.576273148145</v>
      </c>
      <c r="C1619">
        <v>30002</v>
      </c>
      <c r="D1619" t="s">
        <v>7</v>
      </c>
      <c r="E1619" t="s">
        <v>173</v>
      </c>
      <c r="F1619" t="s">
        <v>97</v>
      </c>
    </row>
    <row r="1620" spans="1:6" hidden="1" outlineLevel="2">
      <c r="A1620" t="s">
        <v>6</v>
      </c>
      <c r="B1620" s="1">
        <v>45868.57503472222</v>
      </c>
      <c r="C1620">
        <v>30002</v>
      </c>
      <c r="D1620" t="s">
        <v>7</v>
      </c>
      <c r="E1620" t="s">
        <v>173</v>
      </c>
      <c r="F1620" t="s">
        <v>97</v>
      </c>
    </row>
    <row r="1621" spans="1:6" hidden="1" outlineLevel="2">
      <c r="A1621" t="s">
        <v>6</v>
      </c>
      <c r="B1621" s="1">
        <v>45868.573738425926</v>
      </c>
      <c r="C1621">
        <v>30002</v>
      </c>
      <c r="D1621" t="s">
        <v>7</v>
      </c>
      <c r="E1621" t="s">
        <v>173</v>
      </c>
      <c r="F1621" t="s">
        <v>97</v>
      </c>
    </row>
    <row r="1622" spans="1:6" hidden="1" outlineLevel="2">
      <c r="A1622" t="s">
        <v>6</v>
      </c>
      <c r="B1622" s="1">
        <v>45868.559444444443</v>
      </c>
      <c r="C1622">
        <v>30002</v>
      </c>
      <c r="D1622" t="s">
        <v>7</v>
      </c>
      <c r="E1622" t="s">
        <v>173</v>
      </c>
      <c r="F1622" t="s">
        <v>11</v>
      </c>
    </row>
    <row r="1623" spans="1:6" hidden="1" outlineLevel="2">
      <c r="A1623" t="s">
        <v>6</v>
      </c>
      <c r="B1623" s="1">
        <v>45868.557800925926</v>
      </c>
      <c r="C1623">
        <v>30002</v>
      </c>
      <c r="D1623" t="s">
        <v>7</v>
      </c>
      <c r="E1623" t="s">
        <v>173</v>
      </c>
      <c r="F1623" t="s">
        <v>11</v>
      </c>
    </row>
    <row r="1624" spans="1:6" hidden="1" outlineLevel="2">
      <c r="A1624" t="s">
        <v>6</v>
      </c>
      <c r="B1624" s="1">
        <v>45854.405833333331</v>
      </c>
      <c r="C1624">
        <v>30002</v>
      </c>
      <c r="D1624" t="s">
        <v>7</v>
      </c>
      <c r="E1624" t="s">
        <v>173</v>
      </c>
      <c r="F1624" t="s">
        <v>11</v>
      </c>
    </row>
    <row r="1625" spans="1:6" hidden="1" outlineLevel="2">
      <c r="A1625" t="s">
        <v>6</v>
      </c>
      <c r="B1625" s="1">
        <v>45840.665949074071</v>
      </c>
      <c r="C1625">
        <v>30002</v>
      </c>
      <c r="D1625" t="s">
        <v>7</v>
      </c>
      <c r="E1625" t="s">
        <v>173</v>
      </c>
      <c r="F1625" t="s">
        <v>11</v>
      </c>
    </row>
    <row r="1626" spans="1:6" hidden="1" outlineLevel="2">
      <c r="A1626" t="s">
        <v>6</v>
      </c>
      <c r="B1626" s="1">
        <v>45840.665381944447</v>
      </c>
      <c r="C1626">
        <v>30002</v>
      </c>
      <c r="D1626" t="s">
        <v>7</v>
      </c>
      <c r="E1626" t="s">
        <v>173</v>
      </c>
      <c r="F1626" t="s">
        <v>11</v>
      </c>
    </row>
    <row r="1627" spans="1:6" hidden="1" outlineLevel="2">
      <c r="A1627" t="s">
        <v>6</v>
      </c>
      <c r="B1627" s="1">
        <v>45840.665243055555</v>
      </c>
      <c r="C1627">
        <v>30002</v>
      </c>
      <c r="D1627" t="s">
        <v>7</v>
      </c>
      <c r="E1627" t="s">
        <v>173</v>
      </c>
      <c r="F1627" t="s">
        <v>11</v>
      </c>
    </row>
    <row r="1628" spans="1:6" hidden="1" outlineLevel="2">
      <c r="A1628" t="s">
        <v>6</v>
      </c>
      <c r="B1628" s="1">
        <v>45840.665173611109</v>
      </c>
      <c r="C1628">
        <v>30002</v>
      </c>
      <c r="D1628" t="s">
        <v>7</v>
      </c>
      <c r="E1628" t="s">
        <v>173</v>
      </c>
      <c r="F1628" t="s">
        <v>11</v>
      </c>
    </row>
    <row r="1629" spans="1:6" hidden="1" outlineLevel="2">
      <c r="A1629" t="s">
        <v>6</v>
      </c>
      <c r="B1629" s="1">
        <v>45840.633217592593</v>
      </c>
      <c r="C1629">
        <v>30002</v>
      </c>
      <c r="D1629" t="s">
        <v>7</v>
      </c>
      <c r="E1629" t="s">
        <v>173</v>
      </c>
      <c r="F1629" t="s">
        <v>11</v>
      </c>
    </row>
    <row r="1630" spans="1:6" hidden="1" outlineLevel="2">
      <c r="A1630" t="s">
        <v>6</v>
      </c>
      <c r="B1630" s="1">
        <v>45840.623749999999</v>
      </c>
      <c r="C1630">
        <v>30002</v>
      </c>
      <c r="D1630" t="s">
        <v>7</v>
      </c>
      <c r="E1630" t="s">
        <v>173</v>
      </c>
      <c r="F1630" t="s">
        <v>11</v>
      </c>
    </row>
    <row r="1631" spans="1:6" hidden="1" outlineLevel="2">
      <c r="A1631" t="s">
        <v>6</v>
      </c>
      <c r="B1631" s="1">
        <v>45840.620810185188</v>
      </c>
      <c r="C1631">
        <v>30002</v>
      </c>
      <c r="D1631" t="s">
        <v>7</v>
      </c>
      <c r="E1631" t="s">
        <v>173</v>
      </c>
      <c r="F1631" t="s">
        <v>11</v>
      </c>
    </row>
    <row r="1632" spans="1:6" hidden="1" outlineLevel="2">
      <c r="A1632" t="s">
        <v>6</v>
      </c>
      <c r="B1632" s="1">
        <v>45840.609490740739</v>
      </c>
      <c r="C1632">
        <v>30002</v>
      </c>
      <c r="D1632" t="s">
        <v>7</v>
      </c>
      <c r="E1632" t="s">
        <v>173</v>
      </c>
      <c r="F1632" t="s">
        <v>11</v>
      </c>
    </row>
    <row r="1633" spans="1:6" hidden="1" outlineLevel="2">
      <c r="A1633" t="s">
        <v>6</v>
      </c>
      <c r="B1633" s="1">
        <v>45840.602523148147</v>
      </c>
      <c r="C1633">
        <v>30002</v>
      </c>
      <c r="D1633" t="s">
        <v>7</v>
      </c>
      <c r="E1633" t="s">
        <v>173</v>
      </c>
      <c r="F1633" t="s">
        <v>11</v>
      </c>
    </row>
    <row r="1634" spans="1:6" hidden="1" outlineLevel="2">
      <c r="A1634" t="s">
        <v>6</v>
      </c>
      <c r="B1634" s="1">
        <v>45840.345462962963</v>
      </c>
      <c r="C1634">
        <v>30002</v>
      </c>
      <c r="D1634" t="s">
        <v>7</v>
      </c>
      <c r="E1634" t="s">
        <v>173</v>
      </c>
      <c r="F1634" t="s">
        <v>11</v>
      </c>
    </row>
    <row r="1635" spans="1:6" outlineLevel="1" collapsed="1">
      <c r="B1635" s="1"/>
      <c r="E1635" s="2" t="s">
        <v>338</v>
      </c>
      <c r="F1635">
        <f>SUBTOTAL(3,F1558:F1634)</f>
        <v>77</v>
      </c>
    </row>
    <row r="1636" spans="1:6" hidden="1" outlineLevel="2">
      <c r="A1636" t="s">
        <v>6</v>
      </c>
      <c r="B1636" s="1">
        <v>45849.61791666667</v>
      </c>
      <c r="C1636">
        <v>30002</v>
      </c>
      <c r="D1636" t="s">
        <v>7</v>
      </c>
      <c r="E1636" t="s">
        <v>174</v>
      </c>
      <c r="F1636" t="s">
        <v>19</v>
      </c>
    </row>
    <row r="1637" spans="1:6" hidden="1" outlineLevel="2">
      <c r="A1637" t="s">
        <v>6</v>
      </c>
      <c r="B1637" s="1">
        <v>45849.606249999997</v>
      </c>
      <c r="C1637">
        <v>30002</v>
      </c>
      <c r="D1637" t="s">
        <v>7</v>
      </c>
      <c r="E1637" t="s">
        <v>174</v>
      </c>
      <c r="F1637" t="s">
        <v>19</v>
      </c>
    </row>
    <row r="1638" spans="1:6" hidden="1" outlineLevel="2">
      <c r="A1638" t="s">
        <v>6</v>
      </c>
      <c r="B1638" s="1">
        <v>45849.606064814812</v>
      </c>
      <c r="C1638">
        <v>30002</v>
      </c>
      <c r="D1638" t="s">
        <v>7</v>
      </c>
      <c r="E1638" t="s">
        <v>174</v>
      </c>
      <c r="F1638" t="s">
        <v>19</v>
      </c>
    </row>
    <row r="1639" spans="1:6" hidden="1" outlineLevel="2">
      <c r="A1639" t="s">
        <v>6</v>
      </c>
      <c r="B1639" s="1">
        <v>45849.597071759257</v>
      </c>
      <c r="C1639">
        <v>30002</v>
      </c>
      <c r="D1639" t="s">
        <v>7</v>
      </c>
      <c r="E1639" t="s">
        <v>174</v>
      </c>
      <c r="F1639" t="s">
        <v>19</v>
      </c>
    </row>
    <row r="1640" spans="1:6" hidden="1" outlineLevel="2">
      <c r="A1640" t="s">
        <v>6</v>
      </c>
      <c r="B1640" s="1">
        <v>45849.596805555557</v>
      </c>
      <c r="C1640">
        <v>30002</v>
      </c>
      <c r="D1640" t="s">
        <v>7</v>
      </c>
      <c r="E1640" t="s">
        <v>174</v>
      </c>
      <c r="F1640" t="s">
        <v>19</v>
      </c>
    </row>
    <row r="1641" spans="1:6" hidden="1" outlineLevel="2">
      <c r="A1641" t="s">
        <v>6</v>
      </c>
      <c r="B1641" s="1">
        <v>45849.595393518517</v>
      </c>
      <c r="C1641">
        <v>30002</v>
      </c>
      <c r="D1641" t="s">
        <v>7</v>
      </c>
      <c r="E1641" t="s">
        <v>174</v>
      </c>
      <c r="F1641" t="s">
        <v>19</v>
      </c>
    </row>
    <row r="1642" spans="1:6" hidden="1" outlineLevel="2">
      <c r="A1642" t="s">
        <v>6</v>
      </c>
      <c r="B1642" s="1">
        <v>45849.595023148147</v>
      </c>
      <c r="C1642">
        <v>30002</v>
      </c>
      <c r="D1642" t="s">
        <v>7</v>
      </c>
      <c r="E1642" t="s">
        <v>174</v>
      </c>
      <c r="F1642" t="s">
        <v>19</v>
      </c>
    </row>
    <row r="1643" spans="1:6" hidden="1" outlineLevel="2">
      <c r="A1643" t="s">
        <v>6</v>
      </c>
      <c r="B1643" s="1">
        <v>45849.594490740739</v>
      </c>
      <c r="C1643">
        <v>30002</v>
      </c>
      <c r="D1643" t="s">
        <v>7</v>
      </c>
      <c r="E1643" t="s">
        <v>174</v>
      </c>
      <c r="F1643" t="s">
        <v>19</v>
      </c>
    </row>
    <row r="1644" spans="1:6" outlineLevel="1" collapsed="1">
      <c r="B1644" s="1"/>
      <c r="E1644" s="2" t="s">
        <v>339</v>
      </c>
      <c r="F1644">
        <f>SUBTOTAL(3,F1636:F1643)</f>
        <v>8</v>
      </c>
    </row>
    <row r="1645" spans="1:6" hidden="1" outlineLevel="2">
      <c r="A1645" t="s">
        <v>6</v>
      </c>
      <c r="B1645" s="1">
        <v>45849.591296296298</v>
      </c>
      <c r="C1645">
        <v>30002</v>
      </c>
      <c r="D1645" t="s">
        <v>7</v>
      </c>
      <c r="E1645" t="s">
        <v>175</v>
      </c>
      <c r="F1645" t="s">
        <v>19</v>
      </c>
    </row>
    <row r="1646" spans="1:6" hidden="1" outlineLevel="2">
      <c r="A1646" t="s">
        <v>6</v>
      </c>
      <c r="B1646" s="1">
        <v>45849.590763888889</v>
      </c>
      <c r="C1646">
        <v>30002</v>
      </c>
      <c r="D1646" t="s">
        <v>7</v>
      </c>
      <c r="E1646" t="s">
        <v>175</v>
      </c>
      <c r="F1646" t="s">
        <v>19</v>
      </c>
    </row>
    <row r="1647" spans="1:6" outlineLevel="1" collapsed="1">
      <c r="B1647" s="1"/>
      <c r="E1647" s="2" t="s">
        <v>340</v>
      </c>
      <c r="F1647">
        <f>SUBTOTAL(3,F1645:F1646)</f>
        <v>2</v>
      </c>
    </row>
    <row r="1648" spans="1:6" hidden="1" outlineLevel="2">
      <c r="A1648" t="s">
        <v>6</v>
      </c>
      <c r="B1648" s="1">
        <v>45849.605868055558</v>
      </c>
      <c r="C1648">
        <v>30002</v>
      </c>
      <c r="D1648" t="s">
        <v>7</v>
      </c>
      <c r="E1648" t="s">
        <v>176</v>
      </c>
      <c r="F1648" t="s">
        <v>19</v>
      </c>
    </row>
    <row r="1649" spans="1:6" hidden="1" outlineLevel="2">
      <c r="A1649" t="s">
        <v>6</v>
      </c>
      <c r="B1649" s="1">
        <v>45849.603842592594</v>
      </c>
      <c r="C1649">
        <v>30002</v>
      </c>
      <c r="D1649" t="s">
        <v>7</v>
      </c>
      <c r="E1649" t="s">
        <v>176</v>
      </c>
      <c r="F1649" t="s">
        <v>19</v>
      </c>
    </row>
    <row r="1650" spans="1:6" hidden="1" outlineLevel="2">
      <c r="A1650" t="s">
        <v>6</v>
      </c>
      <c r="B1650" s="1">
        <v>45849.596064814818</v>
      </c>
      <c r="C1650">
        <v>30002</v>
      </c>
      <c r="D1650" t="s">
        <v>7</v>
      </c>
      <c r="E1650" t="s">
        <v>176</v>
      </c>
      <c r="F1650" t="s">
        <v>19</v>
      </c>
    </row>
    <row r="1651" spans="1:6" hidden="1" outlineLevel="2">
      <c r="A1651" t="s">
        <v>6</v>
      </c>
      <c r="B1651" s="1">
        <v>45849.592812499999</v>
      </c>
      <c r="C1651">
        <v>30002</v>
      </c>
      <c r="D1651" t="s">
        <v>7</v>
      </c>
      <c r="E1651" t="s">
        <v>176</v>
      </c>
      <c r="F1651" t="s">
        <v>19</v>
      </c>
    </row>
    <row r="1652" spans="1:6" hidden="1" outlineLevel="2">
      <c r="A1652" t="s">
        <v>6</v>
      </c>
      <c r="B1652" s="1">
        <v>45849.592326388891</v>
      </c>
      <c r="C1652">
        <v>30002</v>
      </c>
      <c r="D1652" t="s">
        <v>7</v>
      </c>
      <c r="E1652" t="s">
        <v>176</v>
      </c>
      <c r="F1652" t="s">
        <v>19</v>
      </c>
    </row>
    <row r="1653" spans="1:6" outlineLevel="1" collapsed="1">
      <c r="B1653" s="1"/>
      <c r="E1653" s="2" t="s">
        <v>341</v>
      </c>
      <c r="F1653">
        <f>SUBTOTAL(3,F1648:F1652)</f>
        <v>5</v>
      </c>
    </row>
    <row r="1654" spans="1:6" hidden="1" outlineLevel="2">
      <c r="A1654" t="s">
        <v>6</v>
      </c>
      <c r="B1654" s="1">
        <v>45847.574618055558</v>
      </c>
      <c r="C1654">
        <v>30002</v>
      </c>
      <c r="D1654" t="s">
        <v>7</v>
      </c>
      <c r="E1654" t="s">
        <v>177</v>
      </c>
      <c r="F1654" t="s">
        <v>178</v>
      </c>
    </row>
    <row r="1655" spans="1:6" outlineLevel="1" collapsed="1">
      <c r="B1655" s="1"/>
      <c r="E1655" s="2" t="s">
        <v>342</v>
      </c>
      <c r="F1655">
        <f>SUBTOTAL(3,F1654:F1654)</f>
        <v>1</v>
      </c>
    </row>
    <row r="1656" spans="1:6" hidden="1" outlineLevel="2">
      <c r="A1656" t="s">
        <v>6</v>
      </c>
      <c r="B1656" s="1">
        <v>45848.605532407404</v>
      </c>
      <c r="C1656">
        <v>30002</v>
      </c>
      <c r="D1656" t="s">
        <v>7</v>
      </c>
      <c r="E1656" t="s">
        <v>179</v>
      </c>
      <c r="F1656" t="s">
        <v>31</v>
      </c>
    </row>
    <row r="1657" spans="1:6" hidden="1" outlineLevel="2">
      <c r="A1657" t="s">
        <v>6</v>
      </c>
      <c r="B1657" s="1">
        <v>45848.601423611108</v>
      </c>
      <c r="C1657">
        <v>30002</v>
      </c>
      <c r="D1657" t="s">
        <v>7</v>
      </c>
      <c r="E1657" t="s">
        <v>179</v>
      </c>
      <c r="F1657" t="s">
        <v>31</v>
      </c>
    </row>
    <row r="1658" spans="1:6" hidden="1" outlineLevel="2">
      <c r="A1658" t="s">
        <v>6</v>
      </c>
      <c r="B1658" s="1">
        <v>45848.599861111114</v>
      </c>
      <c r="C1658">
        <v>30002</v>
      </c>
      <c r="D1658" t="s">
        <v>7</v>
      </c>
      <c r="E1658" t="s">
        <v>179</v>
      </c>
      <c r="F1658" t="s">
        <v>31</v>
      </c>
    </row>
    <row r="1659" spans="1:6" hidden="1" outlineLevel="2">
      <c r="A1659" t="s">
        <v>6</v>
      </c>
      <c r="B1659" s="1">
        <v>45848.599374999998</v>
      </c>
      <c r="C1659">
        <v>30002</v>
      </c>
      <c r="D1659" t="s">
        <v>7</v>
      </c>
      <c r="E1659" t="s">
        <v>179</v>
      </c>
      <c r="F1659" t="s">
        <v>31</v>
      </c>
    </row>
    <row r="1660" spans="1:6" hidden="1" outlineLevel="2">
      <c r="A1660" t="s">
        <v>6</v>
      </c>
      <c r="B1660" s="1">
        <v>45848.57172453704</v>
      </c>
      <c r="C1660">
        <v>30002</v>
      </c>
      <c r="D1660" t="s">
        <v>7</v>
      </c>
      <c r="E1660" t="s">
        <v>179</v>
      </c>
      <c r="F1660" t="s">
        <v>31</v>
      </c>
    </row>
    <row r="1661" spans="1:6" hidden="1" outlineLevel="2">
      <c r="A1661" t="s">
        <v>6</v>
      </c>
      <c r="B1661" s="1">
        <v>45854.411979166667</v>
      </c>
      <c r="C1661">
        <v>30002</v>
      </c>
      <c r="D1661" t="s">
        <v>7</v>
      </c>
      <c r="E1661" t="s">
        <v>179</v>
      </c>
      <c r="F1661" t="s">
        <v>23</v>
      </c>
    </row>
    <row r="1662" spans="1:6" hidden="1" outlineLevel="2">
      <c r="A1662" t="s">
        <v>6</v>
      </c>
      <c r="B1662" s="1">
        <v>45854.332800925928</v>
      </c>
      <c r="C1662">
        <v>30002</v>
      </c>
      <c r="D1662" t="s">
        <v>7</v>
      </c>
      <c r="E1662" t="s">
        <v>179</v>
      </c>
      <c r="F1662" t="s">
        <v>180</v>
      </c>
    </row>
    <row r="1663" spans="1:6" outlineLevel="1" collapsed="1">
      <c r="B1663" s="1"/>
      <c r="E1663" s="2" t="s">
        <v>343</v>
      </c>
      <c r="F1663">
        <f>SUBTOTAL(3,F1656:F1662)</f>
        <v>7</v>
      </c>
    </row>
    <row r="1664" spans="1:6" hidden="1" outlineLevel="2">
      <c r="A1664" t="s">
        <v>6</v>
      </c>
      <c r="B1664" s="1">
        <v>45865.473622685182</v>
      </c>
      <c r="C1664">
        <v>30002</v>
      </c>
      <c r="D1664" t="s">
        <v>7</v>
      </c>
      <c r="E1664" t="s">
        <v>181</v>
      </c>
      <c r="F1664" t="s">
        <v>19</v>
      </c>
    </row>
    <row r="1665" spans="1:6" hidden="1" outlineLevel="2">
      <c r="A1665" t="s">
        <v>6</v>
      </c>
      <c r="B1665" s="1">
        <v>45865.471099537041</v>
      </c>
      <c r="C1665">
        <v>30002</v>
      </c>
      <c r="D1665" t="s">
        <v>7</v>
      </c>
      <c r="E1665" t="s">
        <v>181</v>
      </c>
      <c r="F1665" t="s">
        <v>19</v>
      </c>
    </row>
    <row r="1666" spans="1:6" hidden="1" outlineLevel="2">
      <c r="A1666" t="s">
        <v>6</v>
      </c>
      <c r="B1666" s="1">
        <v>45865.470960648148</v>
      </c>
      <c r="C1666">
        <v>30002</v>
      </c>
      <c r="D1666" t="s">
        <v>7</v>
      </c>
      <c r="E1666" t="s">
        <v>181</v>
      </c>
      <c r="F1666" t="s">
        <v>19</v>
      </c>
    </row>
    <row r="1667" spans="1:6" hidden="1" outlineLevel="2">
      <c r="A1667" t="s">
        <v>6</v>
      </c>
      <c r="B1667" s="1">
        <v>45842.6253125</v>
      </c>
      <c r="C1667">
        <v>30002</v>
      </c>
      <c r="D1667" t="s">
        <v>7</v>
      </c>
      <c r="E1667" t="s">
        <v>181</v>
      </c>
      <c r="F1667" t="s">
        <v>19</v>
      </c>
    </row>
    <row r="1668" spans="1:6" hidden="1" outlineLevel="2">
      <c r="A1668" t="s">
        <v>6</v>
      </c>
      <c r="B1668" s="1">
        <v>45841.61204861111</v>
      </c>
      <c r="C1668">
        <v>30002</v>
      </c>
      <c r="D1668" t="s">
        <v>7</v>
      </c>
      <c r="E1668" t="s">
        <v>181</v>
      </c>
      <c r="F1668" t="s">
        <v>19</v>
      </c>
    </row>
    <row r="1669" spans="1:6" hidden="1" outlineLevel="2">
      <c r="A1669" t="s">
        <v>6</v>
      </c>
      <c r="B1669" s="1">
        <v>45841.611666666664</v>
      </c>
      <c r="C1669">
        <v>30002</v>
      </c>
      <c r="D1669" t="s">
        <v>7</v>
      </c>
      <c r="E1669" t="s">
        <v>181</v>
      </c>
      <c r="F1669" t="s">
        <v>19</v>
      </c>
    </row>
    <row r="1670" spans="1:6" hidden="1" outlineLevel="2">
      <c r="A1670" t="s">
        <v>6</v>
      </c>
      <c r="B1670" s="1">
        <v>45841.592349537037</v>
      </c>
      <c r="C1670">
        <v>30002</v>
      </c>
      <c r="D1670" t="s">
        <v>7</v>
      </c>
      <c r="E1670" t="s">
        <v>181</v>
      </c>
      <c r="F1670" t="s">
        <v>19</v>
      </c>
    </row>
    <row r="1671" spans="1:6" hidden="1" outlineLevel="2">
      <c r="A1671" t="s">
        <v>6</v>
      </c>
      <c r="B1671" s="1">
        <v>45868.644490740742</v>
      </c>
      <c r="C1671">
        <v>30002</v>
      </c>
      <c r="D1671" t="s">
        <v>7</v>
      </c>
      <c r="E1671" t="s">
        <v>181</v>
      </c>
      <c r="F1671" t="s">
        <v>54</v>
      </c>
    </row>
    <row r="1672" spans="1:6" hidden="1" outlineLevel="2">
      <c r="A1672" t="s">
        <v>6</v>
      </c>
      <c r="B1672" s="1">
        <v>45868.631712962961</v>
      </c>
      <c r="C1672">
        <v>30002</v>
      </c>
      <c r="D1672" t="s">
        <v>7</v>
      </c>
      <c r="E1672" t="s">
        <v>181</v>
      </c>
      <c r="F1672" t="s">
        <v>54</v>
      </c>
    </row>
    <row r="1673" spans="1:6" hidden="1" outlineLevel="2">
      <c r="A1673" t="s">
        <v>6</v>
      </c>
      <c r="B1673" s="1">
        <v>45841.595601851855</v>
      </c>
      <c r="C1673">
        <v>30002</v>
      </c>
      <c r="D1673" t="s">
        <v>7</v>
      </c>
      <c r="E1673" t="s">
        <v>181</v>
      </c>
      <c r="F1673" t="s">
        <v>54</v>
      </c>
    </row>
    <row r="1674" spans="1:6" hidden="1" outlineLevel="2">
      <c r="A1674" t="s">
        <v>6</v>
      </c>
      <c r="B1674" s="1">
        <v>45841.593310185184</v>
      </c>
      <c r="C1674">
        <v>30002</v>
      </c>
      <c r="D1674" t="s">
        <v>7</v>
      </c>
      <c r="E1674" t="s">
        <v>181</v>
      </c>
      <c r="F1674" t="s">
        <v>54</v>
      </c>
    </row>
    <row r="1675" spans="1:6" hidden="1" outlineLevel="2">
      <c r="A1675" t="s">
        <v>6</v>
      </c>
      <c r="B1675" s="1">
        <v>45841.592939814815</v>
      </c>
      <c r="C1675">
        <v>30002</v>
      </c>
      <c r="D1675" t="s">
        <v>7</v>
      </c>
      <c r="E1675" t="s">
        <v>181</v>
      </c>
      <c r="F1675" t="s">
        <v>54</v>
      </c>
    </row>
    <row r="1676" spans="1:6" hidden="1" outlineLevel="2">
      <c r="A1676" t="s">
        <v>6</v>
      </c>
      <c r="B1676" s="1">
        <v>45841.592835648145</v>
      </c>
      <c r="C1676">
        <v>30002</v>
      </c>
      <c r="D1676" t="s">
        <v>7</v>
      </c>
      <c r="E1676" t="s">
        <v>181</v>
      </c>
      <c r="F1676" t="s">
        <v>54</v>
      </c>
    </row>
    <row r="1677" spans="1:6" hidden="1" outlineLevel="2">
      <c r="A1677" t="s">
        <v>6</v>
      </c>
      <c r="B1677" s="1">
        <v>45841.590682870374</v>
      </c>
      <c r="C1677">
        <v>30002</v>
      </c>
      <c r="D1677" t="s">
        <v>7</v>
      </c>
      <c r="E1677" t="s">
        <v>181</v>
      </c>
      <c r="F1677" t="s">
        <v>54</v>
      </c>
    </row>
    <row r="1678" spans="1:6" hidden="1" outlineLevel="2">
      <c r="A1678" t="s">
        <v>6</v>
      </c>
      <c r="B1678" s="1">
        <v>45841.565196759257</v>
      </c>
      <c r="C1678">
        <v>30002</v>
      </c>
      <c r="D1678" t="s">
        <v>7</v>
      </c>
      <c r="E1678" t="s">
        <v>181</v>
      </c>
      <c r="F1678" t="s">
        <v>54</v>
      </c>
    </row>
    <row r="1679" spans="1:6" hidden="1" outlineLevel="2">
      <c r="A1679" t="s">
        <v>6</v>
      </c>
      <c r="B1679" s="1">
        <v>45866.310335648152</v>
      </c>
      <c r="C1679">
        <v>30002</v>
      </c>
      <c r="D1679" t="s">
        <v>7</v>
      </c>
      <c r="E1679" t="s">
        <v>181</v>
      </c>
      <c r="F1679" t="s">
        <v>97</v>
      </c>
    </row>
    <row r="1680" spans="1:6" hidden="1" outlineLevel="2">
      <c r="A1680" t="s">
        <v>6</v>
      </c>
      <c r="B1680" s="1">
        <v>45866.301550925928</v>
      </c>
      <c r="C1680">
        <v>30002</v>
      </c>
      <c r="D1680" t="s">
        <v>7</v>
      </c>
      <c r="E1680" t="s">
        <v>181</v>
      </c>
      <c r="F1680" t="s">
        <v>97</v>
      </c>
    </row>
    <row r="1681" spans="1:6" hidden="1" outlineLevel="2">
      <c r="A1681" t="s">
        <v>6</v>
      </c>
      <c r="B1681" s="1">
        <v>45851.37672453704</v>
      </c>
      <c r="C1681">
        <v>30002</v>
      </c>
      <c r="D1681" t="s">
        <v>7</v>
      </c>
      <c r="E1681" t="s">
        <v>181</v>
      </c>
      <c r="F1681" t="s">
        <v>97</v>
      </c>
    </row>
    <row r="1682" spans="1:6" hidden="1" outlineLevel="2">
      <c r="A1682" t="s">
        <v>6</v>
      </c>
      <c r="B1682" s="1">
        <v>45851.363136574073</v>
      </c>
      <c r="C1682">
        <v>30002</v>
      </c>
      <c r="D1682" t="s">
        <v>7</v>
      </c>
      <c r="E1682" t="s">
        <v>181</v>
      </c>
      <c r="F1682" t="s">
        <v>97</v>
      </c>
    </row>
    <row r="1683" spans="1:6" hidden="1" outlineLevel="2">
      <c r="A1683" t="s">
        <v>6</v>
      </c>
      <c r="B1683" s="1">
        <v>45851.362060185187</v>
      </c>
      <c r="C1683">
        <v>30002</v>
      </c>
      <c r="D1683" t="s">
        <v>7</v>
      </c>
      <c r="E1683" t="s">
        <v>181</v>
      </c>
      <c r="F1683" t="s">
        <v>97</v>
      </c>
    </row>
    <row r="1684" spans="1:6" hidden="1" outlineLevel="2">
      <c r="A1684" t="s">
        <v>6</v>
      </c>
      <c r="B1684" s="1">
        <v>45851.361793981479</v>
      </c>
      <c r="C1684">
        <v>30002</v>
      </c>
      <c r="D1684" t="s">
        <v>7</v>
      </c>
      <c r="E1684" t="s">
        <v>181</v>
      </c>
      <c r="F1684" t="s">
        <v>97</v>
      </c>
    </row>
    <row r="1685" spans="1:6" hidden="1" outlineLevel="2">
      <c r="A1685" t="s">
        <v>6</v>
      </c>
      <c r="B1685" s="1">
        <v>45851.353865740741</v>
      </c>
      <c r="C1685">
        <v>30002</v>
      </c>
      <c r="D1685" t="s">
        <v>7</v>
      </c>
      <c r="E1685" t="s">
        <v>181</v>
      </c>
      <c r="F1685" t="s">
        <v>97</v>
      </c>
    </row>
    <row r="1686" spans="1:6" hidden="1" outlineLevel="2">
      <c r="A1686" t="s">
        <v>6</v>
      </c>
      <c r="B1686" s="1">
        <v>45848.737488425926</v>
      </c>
      <c r="C1686">
        <v>30002</v>
      </c>
      <c r="D1686" t="s">
        <v>7</v>
      </c>
      <c r="E1686" t="s">
        <v>181</v>
      </c>
      <c r="F1686" t="s">
        <v>106</v>
      </c>
    </row>
    <row r="1687" spans="1:6" outlineLevel="1" collapsed="1">
      <c r="B1687" s="1"/>
      <c r="E1687" s="2" t="s">
        <v>344</v>
      </c>
      <c r="F1687">
        <f>SUBTOTAL(3,F1664:F1686)</f>
        <v>23</v>
      </c>
    </row>
    <row r="1688" spans="1:6" hidden="1" outlineLevel="2">
      <c r="A1688" t="s">
        <v>6</v>
      </c>
      <c r="B1688" s="1">
        <v>45849.466180555559</v>
      </c>
      <c r="C1688">
        <v>30002</v>
      </c>
      <c r="D1688" t="s">
        <v>7</v>
      </c>
      <c r="E1688" t="s">
        <v>182</v>
      </c>
      <c r="F1688" t="s">
        <v>178</v>
      </c>
    </row>
    <row r="1689" spans="1:6" hidden="1" outlineLevel="2">
      <c r="A1689" t="s">
        <v>6</v>
      </c>
      <c r="B1689" s="1">
        <v>45849.461875000001</v>
      </c>
      <c r="C1689">
        <v>30002</v>
      </c>
      <c r="D1689" t="s">
        <v>7</v>
      </c>
      <c r="E1689" t="s">
        <v>182</v>
      </c>
      <c r="F1689" t="s">
        <v>178</v>
      </c>
    </row>
    <row r="1690" spans="1:6" hidden="1" outlineLevel="2">
      <c r="A1690" t="s">
        <v>6</v>
      </c>
      <c r="B1690" s="1">
        <v>45839.496342592596</v>
      </c>
      <c r="C1690">
        <v>30002</v>
      </c>
      <c r="D1690" t="s">
        <v>7</v>
      </c>
      <c r="E1690" t="s">
        <v>182</v>
      </c>
      <c r="F1690" t="s">
        <v>178</v>
      </c>
    </row>
    <row r="1691" spans="1:6" hidden="1" outlineLevel="2">
      <c r="A1691" t="s">
        <v>6</v>
      </c>
      <c r="B1691" s="1">
        <v>45839.495879629627</v>
      </c>
      <c r="C1691">
        <v>30002</v>
      </c>
      <c r="D1691" t="s">
        <v>7</v>
      </c>
      <c r="E1691" t="s">
        <v>182</v>
      </c>
      <c r="F1691" t="s">
        <v>178</v>
      </c>
    </row>
    <row r="1692" spans="1:6" outlineLevel="1" collapsed="1">
      <c r="B1692" s="1"/>
      <c r="E1692" s="2" t="s">
        <v>345</v>
      </c>
      <c r="F1692">
        <f>SUBTOTAL(3,F1688:F1691)</f>
        <v>4</v>
      </c>
    </row>
    <row r="1693" spans="1:6" hidden="1" outlineLevel="2">
      <c r="A1693" t="s">
        <v>6</v>
      </c>
      <c r="B1693" s="1">
        <v>45865.473946759259</v>
      </c>
      <c r="C1693">
        <v>30002</v>
      </c>
      <c r="D1693" t="s">
        <v>7</v>
      </c>
      <c r="E1693" t="s">
        <v>183</v>
      </c>
      <c r="F1693" t="s">
        <v>19</v>
      </c>
    </row>
    <row r="1694" spans="1:6" hidden="1" outlineLevel="2">
      <c r="A1694" t="s">
        <v>6</v>
      </c>
      <c r="B1694" s="1">
        <v>45840.665034722224</v>
      </c>
      <c r="C1694">
        <v>30002</v>
      </c>
      <c r="D1694" t="s">
        <v>7</v>
      </c>
      <c r="E1694" t="s">
        <v>183</v>
      </c>
      <c r="F1694" t="s">
        <v>11</v>
      </c>
    </row>
    <row r="1695" spans="1:6" outlineLevel="1" collapsed="1">
      <c r="B1695" s="1"/>
      <c r="E1695" s="2" t="s">
        <v>346</v>
      </c>
      <c r="F1695">
        <f>SUBTOTAL(3,F1693:F1694)</f>
        <v>2</v>
      </c>
    </row>
    <row r="1696" spans="1:6" hidden="1" outlineLevel="2">
      <c r="A1696" t="s">
        <v>6</v>
      </c>
      <c r="B1696" s="1">
        <v>45839.401307870372</v>
      </c>
      <c r="C1696">
        <v>30002</v>
      </c>
      <c r="D1696" t="s">
        <v>7</v>
      </c>
      <c r="E1696" t="s">
        <v>184</v>
      </c>
      <c r="F1696" t="s">
        <v>13</v>
      </c>
    </row>
    <row r="1697" spans="1:6" hidden="1" outlineLevel="2">
      <c r="A1697" t="s">
        <v>6</v>
      </c>
      <c r="B1697" s="1">
        <v>45868.323449074072</v>
      </c>
      <c r="C1697">
        <v>30002</v>
      </c>
      <c r="D1697" t="s">
        <v>7</v>
      </c>
      <c r="E1697" t="s">
        <v>184</v>
      </c>
      <c r="F1697" t="s">
        <v>19</v>
      </c>
    </row>
    <row r="1698" spans="1:6" hidden="1" outlineLevel="2">
      <c r="A1698" t="s">
        <v>6</v>
      </c>
      <c r="B1698" s="1">
        <v>45866.295520833337</v>
      </c>
      <c r="C1698">
        <v>30002</v>
      </c>
      <c r="D1698" t="s">
        <v>7</v>
      </c>
      <c r="E1698" t="s">
        <v>184</v>
      </c>
      <c r="F1698" t="s">
        <v>19</v>
      </c>
    </row>
    <row r="1699" spans="1:6" hidden="1" outlineLevel="2">
      <c r="A1699" t="s">
        <v>6</v>
      </c>
      <c r="B1699" s="1">
        <v>45845.473981481482</v>
      </c>
      <c r="C1699">
        <v>30002</v>
      </c>
      <c r="D1699" t="s">
        <v>7</v>
      </c>
      <c r="E1699" t="s">
        <v>184</v>
      </c>
      <c r="F1699" t="s">
        <v>31</v>
      </c>
    </row>
    <row r="1700" spans="1:6" hidden="1" outlineLevel="2">
      <c r="A1700" t="s">
        <v>6</v>
      </c>
      <c r="B1700" s="1">
        <v>45845.472581018519</v>
      </c>
      <c r="C1700">
        <v>30002</v>
      </c>
      <c r="D1700" t="s">
        <v>7</v>
      </c>
      <c r="E1700" t="s">
        <v>184</v>
      </c>
      <c r="F1700" t="s">
        <v>31</v>
      </c>
    </row>
    <row r="1701" spans="1:6" hidden="1" outlineLevel="2">
      <c r="A1701" t="s">
        <v>6</v>
      </c>
      <c r="B1701" s="1">
        <v>45845.465474537035</v>
      </c>
      <c r="C1701">
        <v>30002</v>
      </c>
      <c r="D1701" t="s">
        <v>7</v>
      </c>
      <c r="E1701" t="s">
        <v>184</v>
      </c>
      <c r="F1701" t="s">
        <v>31</v>
      </c>
    </row>
    <row r="1702" spans="1:6" hidden="1" outlineLevel="2">
      <c r="A1702" t="s">
        <v>6</v>
      </c>
      <c r="B1702" s="1">
        <v>45845.465196759258</v>
      </c>
      <c r="C1702">
        <v>30002</v>
      </c>
      <c r="D1702" t="s">
        <v>7</v>
      </c>
      <c r="E1702" t="s">
        <v>184</v>
      </c>
      <c r="F1702" t="s">
        <v>31</v>
      </c>
    </row>
    <row r="1703" spans="1:6" hidden="1" outlineLevel="2">
      <c r="A1703" t="s">
        <v>6</v>
      </c>
      <c r="B1703" s="1">
        <v>45845.463993055557</v>
      </c>
      <c r="C1703">
        <v>30002</v>
      </c>
      <c r="D1703" t="s">
        <v>7</v>
      </c>
      <c r="E1703" t="s">
        <v>184</v>
      </c>
      <c r="F1703" t="s">
        <v>31</v>
      </c>
    </row>
    <row r="1704" spans="1:6" hidden="1" outlineLevel="2">
      <c r="A1704" t="s">
        <v>6</v>
      </c>
      <c r="B1704" s="1">
        <v>45845.463645833333</v>
      </c>
      <c r="C1704">
        <v>30002</v>
      </c>
      <c r="D1704" t="s">
        <v>7</v>
      </c>
      <c r="E1704" t="s">
        <v>184</v>
      </c>
      <c r="F1704" t="s">
        <v>31</v>
      </c>
    </row>
    <row r="1705" spans="1:6" hidden="1" outlineLevel="2">
      <c r="A1705" t="s">
        <v>6</v>
      </c>
      <c r="B1705" s="1">
        <v>45845.463159722225</v>
      </c>
      <c r="C1705">
        <v>30002</v>
      </c>
      <c r="D1705" t="s">
        <v>7</v>
      </c>
      <c r="E1705" t="s">
        <v>184</v>
      </c>
      <c r="F1705" t="s">
        <v>31</v>
      </c>
    </row>
    <row r="1706" spans="1:6" hidden="1" outlineLevel="2">
      <c r="A1706" t="s">
        <v>6</v>
      </c>
      <c r="B1706" s="1">
        <v>45845.462592592594</v>
      </c>
      <c r="C1706">
        <v>30002</v>
      </c>
      <c r="D1706" t="s">
        <v>7</v>
      </c>
      <c r="E1706" t="s">
        <v>184</v>
      </c>
      <c r="F1706" t="s">
        <v>31</v>
      </c>
    </row>
    <row r="1707" spans="1:6" hidden="1" outlineLevel="2">
      <c r="A1707" t="s">
        <v>6</v>
      </c>
      <c r="B1707" s="1">
        <v>45845.462337962963</v>
      </c>
      <c r="C1707">
        <v>30002</v>
      </c>
      <c r="D1707" t="s">
        <v>7</v>
      </c>
      <c r="E1707" t="s">
        <v>184</v>
      </c>
      <c r="F1707" t="s">
        <v>31</v>
      </c>
    </row>
    <row r="1708" spans="1:6" hidden="1" outlineLevel="2">
      <c r="A1708" t="s">
        <v>6</v>
      </c>
      <c r="B1708" s="1">
        <v>45845.46193287037</v>
      </c>
      <c r="C1708">
        <v>30002</v>
      </c>
      <c r="D1708" t="s">
        <v>7</v>
      </c>
      <c r="E1708" t="s">
        <v>184</v>
      </c>
      <c r="F1708" t="s">
        <v>31</v>
      </c>
    </row>
    <row r="1709" spans="1:6" hidden="1" outlineLevel="2">
      <c r="A1709" t="s">
        <v>6</v>
      </c>
      <c r="B1709" s="1">
        <v>45845.461342592593</v>
      </c>
      <c r="C1709">
        <v>30002</v>
      </c>
      <c r="D1709" t="s">
        <v>7</v>
      </c>
      <c r="E1709" t="s">
        <v>184</v>
      </c>
      <c r="F1709" t="s">
        <v>31</v>
      </c>
    </row>
    <row r="1710" spans="1:6" hidden="1" outlineLevel="2">
      <c r="A1710" t="s">
        <v>6</v>
      </c>
      <c r="B1710" s="1">
        <v>45845.461226851854</v>
      </c>
      <c r="C1710">
        <v>30002</v>
      </c>
      <c r="D1710" t="s">
        <v>7</v>
      </c>
      <c r="E1710" t="s">
        <v>184</v>
      </c>
      <c r="F1710" t="s">
        <v>31</v>
      </c>
    </row>
    <row r="1711" spans="1:6" hidden="1" outlineLevel="2">
      <c r="A1711" t="s">
        <v>6</v>
      </c>
      <c r="B1711" s="1">
        <v>45845.461099537039</v>
      </c>
      <c r="C1711">
        <v>30002</v>
      </c>
      <c r="D1711" t="s">
        <v>7</v>
      </c>
      <c r="E1711" t="s">
        <v>184</v>
      </c>
      <c r="F1711" t="s">
        <v>31</v>
      </c>
    </row>
    <row r="1712" spans="1:6" hidden="1" outlineLevel="2">
      <c r="A1712" t="s">
        <v>6</v>
      </c>
      <c r="B1712" s="1">
        <v>45845.461006944446</v>
      </c>
      <c r="C1712">
        <v>30002</v>
      </c>
      <c r="D1712" t="s">
        <v>7</v>
      </c>
      <c r="E1712" t="s">
        <v>184</v>
      </c>
      <c r="F1712" t="s">
        <v>31</v>
      </c>
    </row>
    <row r="1713" spans="1:6" hidden="1" outlineLevel="2">
      <c r="A1713" t="s">
        <v>6</v>
      </c>
      <c r="B1713" s="1">
        <v>45861.555081018516</v>
      </c>
      <c r="C1713">
        <v>30002</v>
      </c>
      <c r="D1713" t="s">
        <v>7</v>
      </c>
      <c r="E1713" t="s">
        <v>184</v>
      </c>
      <c r="F1713" t="s">
        <v>23</v>
      </c>
    </row>
    <row r="1714" spans="1:6" hidden="1" outlineLevel="2">
      <c r="A1714" t="s">
        <v>6</v>
      </c>
      <c r="B1714" s="1">
        <v>45847.74790509259</v>
      </c>
      <c r="C1714">
        <v>30002</v>
      </c>
      <c r="D1714" t="s">
        <v>7</v>
      </c>
      <c r="E1714" t="s">
        <v>184</v>
      </c>
      <c r="F1714" t="s">
        <v>185</v>
      </c>
    </row>
    <row r="1715" spans="1:6" hidden="1" outlineLevel="2">
      <c r="A1715" t="s">
        <v>6</v>
      </c>
      <c r="B1715" s="1">
        <v>45863.260879629626</v>
      </c>
      <c r="C1715">
        <v>30002</v>
      </c>
      <c r="D1715" t="s">
        <v>7</v>
      </c>
      <c r="E1715" t="s">
        <v>184</v>
      </c>
      <c r="F1715" t="s">
        <v>25</v>
      </c>
    </row>
    <row r="1716" spans="1:6" hidden="1" outlineLevel="2">
      <c r="A1716" t="s">
        <v>6</v>
      </c>
      <c r="B1716" s="1">
        <v>45863.251909722225</v>
      </c>
      <c r="C1716">
        <v>30002</v>
      </c>
      <c r="D1716" t="s">
        <v>7</v>
      </c>
      <c r="E1716" t="s">
        <v>184</v>
      </c>
      <c r="F1716" t="s">
        <v>25</v>
      </c>
    </row>
    <row r="1717" spans="1:6" hidden="1" outlineLevel="2">
      <c r="A1717" t="s">
        <v>6</v>
      </c>
      <c r="B1717" s="1">
        <v>45863.251828703702</v>
      </c>
      <c r="C1717">
        <v>30002</v>
      </c>
      <c r="D1717" t="s">
        <v>7</v>
      </c>
      <c r="E1717" t="s">
        <v>184</v>
      </c>
      <c r="F1717" t="s">
        <v>25</v>
      </c>
    </row>
    <row r="1718" spans="1:6" hidden="1" outlineLevel="2">
      <c r="A1718" t="s">
        <v>6</v>
      </c>
      <c r="B1718" s="1">
        <v>45863.250902777778</v>
      </c>
      <c r="C1718">
        <v>30002</v>
      </c>
      <c r="D1718" t="s">
        <v>7</v>
      </c>
      <c r="E1718" t="s">
        <v>184</v>
      </c>
      <c r="F1718" t="s">
        <v>25</v>
      </c>
    </row>
    <row r="1719" spans="1:6" hidden="1" outlineLevel="2">
      <c r="A1719" t="s">
        <v>6</v>
      </c>
      <c r="B1719" s="1">
        <v>45863.250787037039</v>
      </c>
      <c r="C1719">
        <v>30002</v>
      </c>
      <c r="D1719" t="s">
        <v>7</v>
      </c>
      <c r="E1719" t="s">
        <v>184</v>
      </c>
      <c r="F1719" t="s">
        <v>25</v>
      </c>
    </row>
    <row r="1720" spans="1:6" hidden="1" outlineLevel="2">
      <c r="A1720" t="s">
        <v>6</v>
      </c>
      <c r="B1720" s="1">
        <v>45863.25072916667</v>
      </c>
      <c r="C1720">
        <v>30002</v>
      </c>
      <c r="D1720" t="s">
        <v>7</v>
      </c>
      <c r="E1720" t="s">
        <v>184</v>
      </c>
      <c r="F1720" t="s">
        <v>25</v>
      </c>
    </row>
    <row r="1721" spans="1:6" hidden="1" outlineLevel="2">
      <c r="A1721" t="s">
        <v>6</v>
      </c>
      <c r="B1721" s="1">
        <v>45863.250497685185</v>
      </c>
      <c r="C1721">
        <v>30002</v>
      </c>
      <c r="D1721" t="s">
        <v>7</v>
      </c>
      <c r="E1721" t="s">
        <v>184</v>
      </c>
      <c r="F1721" t="s">
        <v>25</v>
      </c>
    </row>
    <row r="1722" spans="1:6" hidden="1" outlineLevel="2">
      <c r="A1722" t="s">
        <v>6</v>
      </c>
      <c r="B1722" s="1">
        <v>45863.25037037037</v>
      </c>
      <c r="C1722">
        <v>30002</v>
      </c>
      <c r="D1722" t="s">
        <v>7</v>
      </c>
      <c r="E1722" t="s">
        <v>184</v>
      </c>
      <c r="F1722" t="s">
        <v>25</v>
      </c>
    </row>
    <row r="1723" spans="1:6" hidden="1" outlineLevel="2">
      <c r="A1723" t="s">
        <v>6</v>
      </c>
      <c r="B1723" s="1">
        <v>45863.2502662037</v>
      </c>
      <c r="C1723">
        <v>30002</v>
      </c>
      <c r="D1723" t="s">
        <v>7</v>
      </c>
      <c r="E1723" t="s">
        <v>184</v>
      </c>
      <c r="F1723" t="s">
        <v>25</v>
      </c>
    </row>
    <row r="1724" spans="1:6" hidden="1" outlineLevel="2">
      <c r="A1724" t="s">
        <v>6</v>
      </c>
      <c r="B1724" s="1">
        <v>45863.249652777777</v>
      </c>
      <c r="C1724">
        <v>30002</v>
      </c>
      <c r="D1724" t="s">
        <v>7</v>
      </c>
      <c r="E1724" t="s">
        <v>184</v>
      </c>
      <c r="F1724" t="s">
        <v>25</v>
      </c>
    </row>
    <row r="1725" spans="1:6" hidden="1" outlineLevel="2">
      <c r="A1725" t="s">
        <v>6</v>
      </c>
      <c r="B1725" s="1">
        <v>45863.249548611115</v>
      </c>
      <c r="C1725">
        <v>30002</v>
      </c>
      <c r="D1725" t="s">
        <v>7</v>
      </c>
      <c r="E1725" t="s">
        <v>184</v>
      </c>
      <c r="F1725" t="s">
        <v>25</v>
      </c>
    </row>
    <row r="1726" spans="1:6" hidden="1" outlineLevel="2">
      <c r="A1726" t="s">
        <v>6</v>
      </c>
      <c r="B1726" s="1">
        <v>45863.249421296299</v>
      </c>
      <c r="C1726">
        <v>30002</v>
      </c>
      <c r="D1726" t="s">
        <v>7</v>
      </c>
      <c r="E1726" t="s">
        <v>184</v>
      </c>
      <c r="F1726" t="s">
        <v>25</v>
      </c>
    </row>
    <row r="1727" spans="1:6" hidden="1" outlineLevel="2">
      <c r="A1727" t="s">
        <v>6</v>
      </c>
      <c r="B1727" s="1">
        <v>45863.249131944445</v>
      </c>
      <c r="C1727">
        <v>30002</v>
      </c>
      <c r="D1727" t="s">
        <v>7</v>
      </c>
      <c r="E1727" t="s">
        <v>184</v>
      </c>
      <c r="F1727" t="s">
        <v>25</v>
      </c>
    </row>
    <row r="1728" spans="1:6" hidden="1" outlineLevel="2">
      <c r="A1728" t="s">
        <v>6</v>
      </c>
      <c r="B1728" s="1">
        <v>45863.249039351853</v>
      </c>
      <c r="C1728">
        <v>30002</v>
      </c>
      <c r="D1728" t="s">
        <v>7</v>
      </c>
      <c r="E1728" t="s">
        <v>184</v>
      </c>
      <c r="F1728" t="s">
        <v>25</v>
      </c>
    </row>
    <row r="1729" spans="1:6" hidden="1" outlineLevel="2">
      <c r="A1729" t="s">
        <v>6</v>
      </c>
      <c r="B1729" s="1">
        <v>45863.248854166668</v>
      </c>
      <c r="C1729">
        <v>30002</v>
      </c>
      <c r="D1729" t="s">
        <v>7</v>
      </c>
      <c r="E1729" t="s">
        <v>184</v>
      </c>
      <c r="F1729" t="s">
        <v>25</v>
      </c>
    </row>
    <row r="1730" spans="1:6" hidden="1" outlineLevel="2">
      <c r="A1730" t="s">
        <v>6</v>
      </c>
      <c r="B1730" s="1">
        <v>45863.248796296299</v>
      </c>
      <c r="C1730">
        <v>30002</v>
      </c>
      <c r="D1730" t="s">
        <v>7</v>
      </c>
      <c r="E1730" t="s">
        <v>184</v>
      </c>
      <c r="F1730" t="s">
        <v>25</v>
      </c>
    </row>
    <row r="1731" spans="1:6" hidden="1" outlineLevel="2">
      <c r="A1731" t="s">
        <v>6</v>
      </c>
      <c r="B1731" s="1">
        <v>45863.248645833337</v>
      </c>
      <c r="C1731">
        <v>30002</v>
      </c>
      <c r="D1731" t="s">
        <v>7</v>
      </c>
      <c r="E1731" t="s">
        <v>184</v>
      </c>
      <c r="F1731" t="s">
        <v>25</v>
      </c>
    </row>
    <row r="1732" spans="1:6" hidden="1" outlineLevel="2">
      <c r="A1732" t="s">
        <v>6</v>
      </c>
      <c r="B1732" s="1">
        <v>45863.248553240737</v>
      </c>
      <c r="C1732">
        <v>30002</v>
      </c>
      <c r="D1732" t="s">
        <v>7</v>
      </c>
      <c r="E1732" t="s">
        <v>184</v>
      </c>
      <c r="F1732" t="s">
        <v>25</v>
      </c>
    </row>
    <row r="1733" spans="1:6" hidden="1" outlineLevel="2">
      <c r="A1733" t="s">
        <v>6</v>
      </c>
      <c r="B1733" s="1">
        <v>45863.248483796298</v>
      </c>
      <c r="C1733">
        <v>30002</v>
      </c>
      <c r="D1733" t="s">
        <v>7</v>
      </c>
      <c r="E1733" t="s">
        <v>184</v>
      </c>
      <c r="F1733" t="s">
        <v>25</v>
      </c>
    </row>
    <row r="1734" spans="1:6" hidden="1" outlineLevel="2">
      <c r="A1734" t="s">
        <v>6</v>
      </c>
      <c r="B1734" s="1">
        <v>45863.248391203706</v>
      </c>
      <c r="C1734">
        <v>30002</v>
      </c>
      <c r="D1734" t="s">
        <v>7</v>
      </c>
      <c r="E1734" t="s">
        <v>184</v>
      </c>
      <c r="F1734" t="s">
        <v>25</v>
      </c>
    </row>
    <row r="1735" spans="1:6" hidden="1" outlineLevel="2">
      <c r="A1735" t="s">
        <v>6</v>
      </c>
      <c r="B1735" s="1">
        <v>45863.248287037037</v>
      </c>
      <c r="C1735">
        <v>30002</v>
      </c>
      <c r="D1735" t="s">
        <v>7</v>
      </c>
      <c r="E1735" t="s">
        <v>184</v>
      </c>
      <c r="F1735" t="s">
        <v>25</v>
      </c>
    </row>
    <row r="1736" spans="1:6" hidden="1" outlineLevel="2">
      <c r="A1736" t="s">
        <v>6</v>
      </c>
      <c r="B1736" s="1">
        <v>45863.41846064815</v>
      </c>
      <c r="C1736">
        <v>30002</v>
      </c>
      <c r="D1736" t="s">
        <v>7</v>
      </c>
      <c r="E1736" t="s">
        <v>184</v>
      </c>
      <c r="F1736" t="s">
        <v>97</v>
      </c>
    </row>
    <row r="1737" spans="1:6" hidden="1" outlineLevel="2">
      <c r="A1737" t="s">
        <v>6</v>
      </c>
      <c r="B1737" s="1">
        <v>45863.415752314817</v>
      </c>
      <c r="C1737">
        <v>30002</v>
      </c>
      <c r="D1737" t="s">
        <v>7</v>
      </c>
      <c r="E1737" t="s">
        <v>184</v>
      </c>
      <c r="F1737" t="s">
        <v>97</v>
      </c>
    </row>
    <row r="1738" spans="1:6" hidden="1" outlineLevel="2">
      <c r="A1738" t="s">
        <v>6</v>
      </c>
      <c r="B1738" s="1">
        <v>45863.410069444442</v>
      </c>
      <c r="C1738">
        <v>30002</v>
      </c>
      <c r="D1738" t="s">
        <v>7</v>
      </c>
      <c r="E1738" t="s">
        <v>184</v>
      </c>
      <c r="F1738" t="s">
        <v>97</v>
      </c>
    </row>
    <row r="1739" spans="1:6" hidden="1" outlineLevel="2">
      <c r="A1739" t="s">
        <v>6</v>
      </c>
      <c r="B1739" s="1">
        <v>45863.407812500001</v>
      </c>
      <c r="C1739">
        <v>30002</v>
      </c>
      <c r="D1739" t="s">
        <v>7</v>
      </c>
      <c r="E1739" t="s">
        <v>184</v>
      </c>
      <c r="F1739" t="s">
        <v>97</v>
      </c>
    </row>
    <row r="1740" spans="1:6" hidden="1" outlineLevel="2">
      <c r="A1740" t="s">
        <v>6</v>
      </c>
      <c r="B1740" s="1">
        <v>45863.405787037038</v>
      </c>
      <c r="C1740">
        <v>30002</v>
      </c>
      <c r="D1740" t="s">
        <v>7</v>
      </c>
      <c r="E1740" t="s">
        <v>184</v>
      </c>
      <c r="F1740" t="s">
        <v>97</v>
      </c>
    </row>
    <row r="1741" spans="1:6" hidden="1" outlineLevel="2">
      <c r="A1741" t="s">
        <v>6</v>
      </c>
      <c r="B1741" s="1">
        <v>45863.404814814814</v>
      </c>
      <c r="C1741">
        <v>30002</v>
      </c>
      <c r="D1741" t="s">
        <v>7</v>
      </c>
      <c r="E1741" t="s">
        <v>184</v>
      </c>
      <c r="F1741" t="s">
        <v>97</v>
      </c>
    </row>
    <row r="1742" spans="1:6" outlineLevel="1" collapsed="1">
      <c r="B1742" s="1"/>
      <c r="E1742" s="2" t="s">
        <v>347</v>
      </c>
      <c r="F1742">
        <f>SUBTOTAL(3,F1696:F1741)</f>
        <v>46</v>
      </c>
    </row>
    <row r="1743" spans="1:6" hidden="1" outlineLevel="2">
      <c r="A1743" t="s">
        <v>6</v>
      </c>
      <c r="B1743" s="1">
        <v>45839.264270833337</v>
      </c>
      <c r="C1743">
        <v>30002</v>
      </c>
      <c r="D1743" t="s">
        <v>7</v>
      </c>
      <c r="E1743" t="s">
        <v>186</v>
      </c>
      <c r="F1743" t="s">
        <v>19</v>
      </c>
    </row>
    <row r="1744" spans="1:6" outlineLevel="1" collapsed="1">
      <c r="B1744" s="1"/>
      <c r="E1744" s="2" t="s">
        <v>348</v>
      </c>
      <c r="F1744">
        <f>SUBTOTAL(3,F1743:F1743)</f>
        <v>1</v>
      </c>
    </row>
    <row r="1745" spans="1:6" hidden="1" outlineLevel="2">
      <c r="A1745" t="s">
        <v>6</v>
      </c>
      <c r="B1745" s="1">
        <v>45849.511574074073</v>
      </c>
      <c r="C1745">
        <v>30002</v>
      </c>
      <c r="D1745" t="s">
        <v>7</v>
      </c>
      <c r="E1745" t="s">
        <v>187</v>
      </c>
      <c r="F1745" t="s">
        <v>31</v>
      </c>
    </row>
    <row r="1746" spans="1:6" hidden="1" outlineLevel="2">
      <c r="A1746" t="s">
        <v>6</v>
      </c>
      <c r="B1746" s="1">
        <v>45849.511354166665</v>
      </c>
      <c r="C1746">
        <v>30002</v>
      </c>
      <c r="D1746" t="s">
        <v>7</v>
      </c>
      <c r="E1746" t="s">
        <v>187</v>
      </c>
      <c r="F1746" t="s">
        <v>31</v>
      </c>
    </row>
    <row r="1747" spans="1:6" hidden="1" outlineLevel="2">
      <c r="A1747" t="s">
        <v>6</v>
      </c>
      <c r="B1747" s="1">
        <v>45849.510810185187</v>
      </c>
      <c r="C1747">
        <v>30002</v>
      </c>
      <c r="D1747" t="s">
        <v>7</v>
      </c>
      <c r="E1747" t="s">
        <v>187</v>
      </c>
      <c r="F1747" t="s">
        <v>31</v>
      </c>
    </row>
    <row r="1748" spans="1:6" hidden="1" outlineLevel="2">
      <c r="A1748" t="s">
        <v>6</v>
      </c>
      <c r="B1748" s="1">
        <v>45849.494745370372</v>
      </c>
      <c r="C1748">
        <v>30002</v>
      </c>
      <c r="D1748" t="s">
        <v>7</v>
      </c>
      <c r="E1748" t="s">
        <v>187</v>
      </c>
      <c r="F1748" t="s">
        <v>31</v>
      </c>
    </row>
    <row r="1749" spans="1:6" hidden="1" outlineLevel="2">
      <c r="A1749" t="s">
        <v>6</v>
      </c>
      <c r="B1749" s="1">
        <v>45848.30777777778</v>
      </c>
      <c r="C1749">
        <v>30002</v>
      </c>
      <c r="D1749" t="s">
        <v>7</v>
      </c>
      <c r="E1749" t="s">
        <v>187</v>
      </c>
      <c r="F1749" t="s">
        <v>31</v>
      </c>
    </row>
    <row r="1750" spans="1:6" hidden="1" outlineLevel="2">
      <c r="A1750" t="s">
        <v>6</v>
      </c>
      <c r="B1750" s="1">
        <v>45848.306168981479</v>
      </c>
      <c r="C1750">
        <v>30002</v>
      </c>
      <c r="D1750" t="s">
        <v>7</v>
      </c>
      <c r="E1750" t="s">
        <v>187</v>
      </c>
      <c r="F1750" t="s">
        <v>31</v>
      </c>
    </row>
    <row r="1751" spans="1:6" hidden="1" outlineLevel="2">
      <c r="A1751" t="s">
        <v>6</v>
      </c>
      <c r="B1751" s="1">
        <v>45848.306064814817</v>
      </c>
      <c r="C1751">
        <v>30002</v>
      </c>
      <c r="D1751" t="s">
        <v>7</v>
      </c>
      <c r="E1751" t="s">
        <v>187</v>
      </c>
      <c r="F1751" t="s">
        <v>31</v>
      </c>
    </row>
    <row r="1752" spans="1:6" hidden="1" outlineLevel="2">
      <c r="A1752" t="s">
        <v>6</v>
      </c>
      <c r="B1752" s="1">
        <v>45848.305856481478</v>
      </c>
      <c r="C1752">
        <v>30002</v>
      </c>
      <c r="D1752" t="s">
        <v>7</v>
      </c>
      <c r="E1752" t="s">
        <v>187</v>
      </c>
      <c r="F1752" t="s">
        <v>31</v>
      </c>
    </row>
    <row r="1753" spans="1:6" hidden="1" outlineLevel="2">
      <c r="A1753" t="s">
        <v>6</v>
      </c>
      <c r="B1753" s="1">
        <v>45848.304236111115</v>
      </c>
      <c r="C1753">
        <v>30002</v>
      </c>
      <c r="D1753" t="s">
        <v>7</v>
      </c>
      <c r="E1753" t="s">
        <v>187</v>
      </c>
      <c r="F1753" t="s">
        <v>31</v>
      </c>
    </row>
    <row r="1754" spans="1:6" outlineLevel="1" collapsed="1">
      <c r="B1754" s="1"/>
      <c r="E1754" s="2" t="s">
        <v>349</v>
      </c>
      <c r="F1754">
        <f>SUBTOTAL(3,F1745:F1753)</f>
        <v>9</v>
      </c>
    </row>
    <row r="1755" spans="1:6" hidden="1" outlineLevel="2">
      <c r="A1755" t="s">
        <v>6</v>
      </c>
      <c r="B1755" s="1">
        <v>45868.948981481481</v>
      </c>
      <c r="C1755">
        <v>30002</v>
      </c>
      <c r="D1755" t="s">
        <v>7</v>
      </c>
      <c r="E1755" t="s">
        <v>188</v>
      </c>
      <c r="F1755" t="s">
        <v>189</v>
      </c>
    </row>
    <row r="1756" spans="1:6" hidden="1" outlineLevel="2">
      <c r="A1756" t="s">
        <v>6</v>
      </c>
      <c r="B1756" s="1">
        <v>45852.969907407409</v>
      </c>
      <c r="C1756">
        <v>30002</v>
      </c>
      <c r="D1756" t="s">
        <v>7</v>
      </c>
      <c r="E1756" t="s">
        <v>188</v>
      </c>
      <c r="F1756" t="s">
        <v>189</v>
      </c>
    </row>
    <row r="1757" spans="1:6" outlineLevel="1" collapsed="1">
      <c r="B1757" s="1"/>
      <c r="E1757" s="2" t="s">
        <v>350</v>
      </c>
      <c r="F1757">
        <f>SUBTOTAL(3,F1755:F1756)</f>
        <v>2</v>
      </c>
    </row>
    <row r="1758" spans="1:6" hidden="1" outlineLevel="2">
      <c r="A1758" t="s">
        <v>6</v>
      </c>
      <c r="B1758" s="1">
        <v>45855.479988425926</v>
      </c>
      <c r="C1758">
        <v>30002</v>
      </c>
      <c r="D1758" t="s">
        <v>7</v>
      </c>
      <c r="E1758" t="s">
        <v>190</v>
      </c>
      <c r="F1758" t="s">
        <v>13</v>
      </c>
    </row>
    <row r="1759" spans="1:6" hidden="1" outlineLevel="2">
      <c r="A1759" t="s">
        <v>6</v>
      </c>
      <c r="B1759" s="1">
        <v>45848.517951388887</v>
      </c>
      <c r="C1759">
        <v>30002</v>
      </c>
      <c r="D1759" t="s">
        <v>7</v>
      </c>
      <c r="E1759" t="s">
        <v>190</v>
      </c>
      <c r="F1759" t="s">
        <v>13</v>
      </c>
    </row>
    <row r="1760" spans="1:6" hidden="1" outlineLevel="2">
      <c r="A1760" t="s">
        <v>6</v>
      </c>
      <c r="B1760" s="1">
        <v>45848.510798611111</v>
      </c>
      <c r="C1760">
        <v>30002</v>
      </c>
      <c r="D1760" t="s">
        <v>7</v>
      </c>
      <c r="E1760" t="s">
        <v>190</v>
      </c>
      <c r="F1760" t="s">
        <v>13</v>
      </c>
    </row>
    <row r="1761" spans="1:6" hidden="1" outlineLevel="2">
      <c r="A1761" t="s">
        <v>6</v>
      </c>
      <c r="B1761" s="1">
        <v>45862.286423611113</v>
      </c>
      <c r="C1761">
        <v>30002</v>
      </c>
      <c r="D1761" t="s">
        <v>7</v>
      </c>
      <c r="E1761" t="s">
        <v>190</v>
      </c>
      <c r="F1761" t="s">
        <v>19</v>
      </c>
    </row>
    <row r="1762" spans="1:6" hidden="1" outlineLevel="2">
      <c r="A1762" t="s">
        <v>6</v>
      </c>
      <c r="B1762" s="1">
        <v>45840.27952546296</v>
      </c>
      <c r="C1762">
        <v>30002</v>
      </c>
      <c r="D1762" t="s">
        <v>7</v>
      </c>
      <c r="E1762" t="s">
        <v>190</v>
      </c>
      <c r="F1762" t="s">
        <v>19</v>
      </c>
    </row>
    <row r="1763" spans="1:6" hidden="1" outlineLevel="2">
      <c r="A1763" t="s">
        <v>6</v>
      </c>
      <c r="B1763" s="1">
        <v>45869.351099537038</v>
      </c>
      <c r="C1763">
        <v>30002</v>
      </c>
      <c r="D1763" t="s">
        <v>7</v>
      </c>
      <c r="E1763" t="s">
        <v>190</v>
      </c>
      <c r="F1763" t="s">
        <v>23</v>
      </c>
    </row>
    <row r="1764" spans="1:6" hidden="1" outlineLevel="2">
      <c r="A1764" t="s">
        <v>6</v>
      </c>
      <c r="B1764" s="1">
        <v>45868.367743055554</v>
      </c>
      <c r="C1764">
        <v>30002</v>
      </c>
      <c r="D1764" t="s">
        <v>7</v>
      </c>
      <c r="E1764" t="s">
        <v>190</v>
      </c>
      <c r="F1764" t="s">
        <v>23</v>
      </c>
    </row>
    <row r="1765" spans="1:6" hidden="1" outlineLevel="2">
      <c r="A1765" t="s">
        <v>6</v>
      </c>
      <c r="B1765" s="1">
        <v>45846.838333333333</v>
      </c>
      <c r="C1765">
        <v>30002</v>
      </c>
      <c r="D1765" t="s">
        <v>7</v>
      </c>
      <c r="E1765" t="s">
        <v>190</v>
      </c>
      <c r="F1765" t="s">
        <v>38</v>
      </c>
    </row>
    <row r="1766" spans="1:6" hidden="1" outlineLevel="2">
      <c r="A1766" t="s">
        <v>6</v>
      </c>
      <c r="B1766" s="1">
        <v>45867.639004629629</v>
      </c>
      <c r="C1766">
        <v>30002</v>
      </c>
      <c r="D1766" t="s">
        <v>7</v>
      </c>
      <c r="E1766" t="s">
        <v>190</v>
      </c>
      <c r="F1766" t="s">
        <v>24</v>
      </c>
    </row>
    <row r="1767" spans="1:6" hidden="1" outlineLevel="2">
      <c r="A1767" t="s">
        <v>6</v>
      </c>
      <c r="B1767" s="1">
        <v>45853.570937500001</v>
      </c>
      <c r="C1767">
        <v>30002</v>
      </c>
      <c r="D1767" t="s">
        <v>7</v>
      </c>
      <c r="E1767" t="s">
        <v>190</v>
      </c>
      <c r="F1767" t="s">
        <v>24</v>
      </c>
    </row>
    <row r="1768" spans="1:6" hidden="1" outlineLevel="2">
      <c r="A1768" t="s">
        <v>6</v>
      </c>
      <c r="B1768" s="1">
        <v>45853.570590277777</v>
      </c>
      <c r="C1768">
        <v>30002</v>
      </c>
      <c r="D1768" t="s">
        <v>7</v>
      </c>
      <c r="E1768" t="s">
        <v>190</v>
      </c>
      <c r="F1768" t="s">
        <v>24</v>
      </c>
    </row>
    <row r="1769" spans="1:6" hidden="1" outlineLevel="2">
      <c r="A1769" t="s">
        <v>6</v>
      </c>
      <c r="B1769" s="1">
        <v>45867.47078703704</v>
      </c>
      <c r="C1769">
        <v>30002</v>
      </c>
      <c r="D1769" t="s">
        <v>7</v>
      </c>
      <c r="E1769" t="s">
        <v>190</v>
      </c>
      <c r="F1769" t="s">
        <v>97</v>
      </c>
    </row>
    <row r="1770" spans="1:6" hidden="1" outlineLevel="2">
      <c r="A1770" t="s">
        <v>6</v>
      </c>
      <c r="B1770" s="1">
        <v>45866.53197916667</v>
      </c>
      <c r="C1770">
        <v>30002</v>
      </c>
      <c r="D1770" t="s">
        <v>7</v>
      </c>
      <c r="E1770" t="s">
        <v>190</v>
      </c>
      <c r="F1770" t="s">
        <v>97</v>
      </c>
    </row>
    <row r="1771" spans="1:6" hidden="1" outlineLevel="2">
      <c r="A1771" t="s">
        <v>6</v>
      </c>
      <c r="B1771" s="1">
        <v>45866.52716435185</v>
      </c>
      <c r="C1771">
        <v>30002</v>
      </c>
      <c r="D1771" t="s">
        <v>7</v>
      </c>
      <c r="E1771" t="s">
        <v>190</v>
      </c>
      <c r="F1771" t="s">
        <v>97</v>
      </c>
    </row>
    <row r="1772" spans="1:6" hidden="1" outlineLevel="2">
      <c r="A1772" t="s">
        <v>6</v>
      </c>
      <c r="B1772" s="1">
        <v>45866.504328703704</v>
      </c>
      <c r="C1772">
        <v>30002</v>
      </c>
      <c r="D1772" t="s">
        <v>7</v>
      </c>
      <c r="E1772" t="s">
        <v>190</v>
      </c>
      <c r="F1772" t="s">
        <v>97</v>
      </c>
    </row>
    <row r="1773" spans="1:6" hidden="1" outlineLevel="2">
      <c r="A1773" t="s">
        <v>6</v>
      </c>
      <c r="B1773" s="1">
        <v>45866.486273148148</v>
      </c>
      <c r="C1773">
        <v>30002</v>
      </c>
      <c r="D1773" t="s">
        <v>7</v>
      </c>
      <c r="E1773" t="s">
        <v>190</v>
      </c>
      <c r="F1773" t="s">
        <v>97</v>
      </c>
    </row>
    <row r="1774" spans="1:6" hidden="1" outlineLevel="2">
      <c r="A1774" t="s">
        <v>6</v>
      </c>
      <c r="B1774" s="1">
        <v>45866.485625000001</v>
      </c>
      <c r="C1774">
        <v>30002</v>
      </c>
      <c r="D1774" t="s">
        <v>7</v>
      </c>
      <c r="E1774" t="s">
        <v>190</v>
      </c>
      <c r="F1774" t="s">
        <v>97</v>
      </c>
    </row>
    <row r="1775" spans="1:6" hidden="1" outlineLevel="2">
      <c r="A1775" t="s">
        <v>6</v>
      </c>
      <c r="B1775" s="1">
        <v>45866.478692129633</v>
      </c>
      <c r="C1775">
        <v>30002</v>
      </c>
      <c r="D1775" t="s">
        <v>7</v>
      </c>
      <c r="E1775" t="s">
        <v>190</v>
      </c>
      <c r="F1775" t="s">
        <v>97</v>
      </c>
    </row>
    <row r="1776" spans="1:6" hidden="1" outlineLevel="2">
      <c r="A1776" t="s">
        <v>6</v>
      </c>
      <c r="B1776" s="1">
        <v>45849.304328703707</v>
      </c>
      <c r="C1776">
        <v>30002</v>
      </c>
      <c r="D1776" t="s">
        <v>7</v>
      </c>
      <c r="E1776" t="s">
        <v>190</v>
      </c>
      <c r="F1776" t="s">
        <v>97</v>
      </c>
    </row>
    <row r="1777" spans="1:6" hidden="1" outlineLevel="2">
      <c r="A1777" t="s">
        <v>6</v>
      </c>
      <c r="B1777" s="1">
        <v>45848.480358796296</v>
      </c>
      <c r="C1777">
        <v>30002</v>
      </c>
      <c r="D1777" t="s">
        <v>7</v>
      </c>
      <c r="E1777" t="s">
        <v>190</v>
      </c>
      <c r="F1777" t="s">
        <v>97</v>
      </c>
    </row>
    <row r="1778" spans="1:6" hidden="1" outlineLevel="2">
      <c r="A1778" t="s">
        <v>6</v>
      </c>
      <c r="B1778" s="1">
        <v>45848.3049537037</v>
      </c>
      <c r="C1778">
        <v>30002</v>
      </c>
      <c r="D1778" t="s">
        <v>7</v>
      </c>
      <c r="E1778" t="s">
        <v>190</v>
      </c>
      <c r="F1778" t="s">
        <v>97</v>
      </c>
    </row>
    <row r="1779" spans="1:6" hidden="1" outlineLevel="2">
      <c r="A1779" t="s">
        <v>6</v>
      </c>
      <c r="B1779" s="1">
        <v>45848.300810185188</v>
      </c>
      <c r="C1779">
        <v>30002</v>
      </c>
      <c r="D1779" t="s">
        <v>7</v>
      </c>
      <c r="E1779" t="s">
        <v>190</v>
      </c>
      <c r="F1779" t="s">
        <v>97</v>
      </c>
    </row>
    <row r="1780" spans="1:6" hidden="1" outlineLevel="2">
      <c r="A1780" t="s">
        <v>6</v>
      </c>
      <c r="B1780" s="1">
        <v>45846.729212962964</v>
      </c>
      <c r="C1780">
        <v>30002</v>
      </c>
      <c r="D1780" t="s">
        <v>7</v>
      </c>
      <c r="E1780" t="s">
        <v>190</v>
      </c>
      <c r="F1780" t="s">
        <v>97</v>
      </c>
    </row>
    <row r="1781" spans="1:6" hidden="1" outlineLevel="2">
      <c r="A1781" t="s">
        <v>6</v>
      </c>
      <c r="B1781" s="1">
        <v>45846.726817129631</v>
      </c>
      <c r="C1781">
        <v>30002</v>
      </c>
      <c r="D1781" t="s">
        <v>7</v>
      </c>
      <c r="E1781" t="s">
        <v>190</v>
      </c>
      <c r="F1781" t="s">
        <v>97</v>
      </c>
    </row>
    <row r="1782" spans="1:6" hidden="1" outlineLevel="2">
      <c r="A1782" t="s">
        <v>6</v>
      </c>
      <c r="B1782" s="1">
        <v>45846.721516203703</v>
      </c>
      <c r="C1782">
        <v>30002</v>
      </c>
      <c r="D1782" t="s">
        <v>7</v>
      </c>
      <c r="E1782" t="s">
        <v>190</v>
      </c>
      <c r="F1782" t="s">
        <v>97</v>
      </c>
    </row>
    <row r="1783" spans="1:6" hidden="1" outlineLevel="2">
      <c r="A1783" t="s">
        <v>6</v>
      </c>
      <c r="B1783" s="1">
        <v>45846.716111111113</v>
      </c>
      <c r="C1783">
        <v>30002</v>
      </c>
      <c r="D1783" t="s">
        <v>7</v>
      </c>
      <c r="E1783" t="s">
        <v>190</v>
      </c>
      <c r="F1783" t="s">
        <v>97</v>
      </c>
    </row>
    <row r="1784" spans="1:6" hidden="1" outlineLevel="2">
      <c r="A1784" t="s">
        <v>6</v>
      </c>
      <c r="B1784" s="1">
        <v>45846.712384259263</v>
      </c>
      <c r="C1784">
        <v>30002</v>
      </c>
      <c r="D1784" t="s">
        <v>7</v>
      </c>
      <c r="E1784" t="s">
        <v>190</v>
      </c>
      <c r="F1784" t="s">
        <v>97</v>
      </c>
    </row>
    <row r="1785" spans="1:6" hidden="1" outlineLevel="2">
      <c r="A1785" t="s">
        <v>6</v>
      </c>
      <c r="B1785" s="1">
        <v>45846.712152777778</v>
      </c>
      <c r="C1785">
        <v>30002</v>
      </c>
      <c r="D1785" t="s">
        <v>7</v>
      </c>
      <c r="E1785" t="s">
        <v>190</v>
      </c>
      <c r="F1785" t="s">
        <v>97</v>
      </c>
    </row>
    <row r="1786" spans="1:6" hidden="1" outlineLevel="2">
      <c r="A1786" t="s">
        <v>6</v>
      </c>
      <c r="B1786" s="1">
        <v>45846.689710648148</v>
      </c>
      <c r="C1786">
        <v>30002</v>
      </c>
      <c r="D1786" t="s">
        <v>7</v>
      </c>
      <c r="E1786" t="s">
        <v>190</v>
      </c>
      <c r="F1786" t="s">
        <v>97</v>
      </c>
    </row>
    <row r="1787" spans="1:6" hidden="1" outlineLevel="2">
      <c r="A1787" t="s">
        <v>6</v>
      </c>
      <c r="B1787" s="1">
        <v>45846.683506944442</v>
      </c>
      <c r="C1787">
        <v>30002</v>
      </c>
      <c r="D1787" t="s">
        <v>7</v>
      </c>
      <c r="E1787" t="s">
        <v>190</v>
      </c>
      <c r="F1787" t="s">
        <v>97</v>
      </c>
    </row>
    <row r="1788" spans="1:6" hidden="1" outlineLevel="2">
      <c r="A1788" t="s">
        <v>6</v>
      </c>
      <c r="B1788" s="1">
        <v>45846.679247685184</v>
      </c>
      <c r="C1788">
        <v>30002</v>
      </c>
      <c r="D1788" t="s">
        <v>7</v>
      </c>
      <c r="E1788" t="s">
        <v>190</v>
      </c>
      <c r="F1788" t="s">
        <v>97</v>
      </c>
    </row>
    <row r="1789" spans="1:6" hidden="1" outlineLevel="2">
      <c r="A1789" t="s">
        <v>6</v>
      </c>
      <c r="B1789" s="1">
        <v>45846.674791666665</v>
      </c>
      <c r="C1789">
        <v>30002</v>
      </c>
      <c r="D1789" t="s">
        <v>7</v>
      </c>
      <c r="E1789" t="s">
        <v>190</v>
      </c>
      <c r="F1789" t="s">
        <v>97</v>
      </c>
    </row>
    <row r="1790" spans="1:6" hidden="1" outlineLevel="2">
      <c r="A1790" t="s">
        <v>6</v>
      </c>
      <c r="B1790" s="1">
        <v>45846.670763888891</v>
      </c>
      <c r="C1790">
        <v>30002</v>
      </c>
      <c r="D1790" t="s">
        <v>7</v>
      </c>
      <c r="E1790" t="s">
        <v>190</v>
      </c>
      <c r="F1790" t="s">
        <v>97</v>
      </c>
    </row>
    <row r="1791" spans="1:6" hidden="1" outlineLevel="2">
      <c r="A1791" t="s">
        <v>6</v>
      </c>
      <c r="B1791" s="1">
        <v>45841.426620370374</v>
      </c>
      <c r="C1791">
        <v>30002</v>
      </c>
      <c r="D1791" t="s">
        <v>7</v>
      </c>
      <c r="E1791" t="s">
        <v>190</v>
      </c>
      <c r="F1791" t="s">
        <v>97</v>
      </c>
    </row>
    <row r="1792" spans="1:6" hidden="1" outlineLevel="2">
      <c r="A1792" t="s">
        <v>6</v>
      </c>
      <c r="B1792" s="1">
        <v>45852.359699074077</v>
      </c>
      <c r="C1792">
        <v>30002</v>
      </c>
      <c r="D1792" t="s">
        <v>7</v>
      </c>
      <c r="E1792" t="s">
        <v>190</v>
      </c>
      <c r="F1792" t="s">
        <v>11</v>
      </c>
    </row>
    <row r="1793" spans="1:6" outlineLevel="1" collapsed="1">
      <c r="B1793" s="1"/>
      <c r="E1793" s="2" t="s">
        <v>351</v>
      </c>
      <c r="F1793">
        <f>SUBTOTAL(3,F1758:F1792)</f>
        <v>35</v>
      </c>
    </row>
    <row r="1794" spans="1:6" hidden="1" outlineLevel="2">
      <c r="A1794" t="s">
        <v>6</v>
      </c>
      <c r="B1794" s="1">
        <v>45849.321111111109</v>
      </c>
      <c r="C1794">
        <v>30002</v>
      </c>
      <c r="D1794" t="s">
        <v>7</v>
      </c>
      <c r="E1794" t="s">
        <v>191</v>
      </c>
      <c r="F1794" t="s">
        <v>97</v>
      </c>
    </row>
    <row r="1795" spans="1:6" hidden="1" outlineLevel="2">
      <c r="A1795" t="s">
        <v>6</v>
      </c>
      <c r="B1795" s="1">
        <v>45849.311956018515</v>
      </c>
      <c r="C1795">
        <v>30002</v>
      </c>
      <c r="D1795" t="s">
        <v>7</v>
      </c>
      <c r="E1795" t="s">
        <v>191</v>
      </c>
      <c r="F1795" t="s">
        <v>97</v>
      </c>
    </row>
    <row r="1796" spans="1:6" hidden="1" outlineLevel="2">
      <c r="A1796" t="s">
        <v>6</v>
      </c>
      <c r="B1796" s="1">
        <v>45848.488935185182</v>
      </c>
      <c r="C1796">
        <v>30002</v>
      </c>
      <c r="D1796" t="s">
        <v>7</v>
      </c>
      <c r="E1796" t="s">
        <v>191</v>
      </c>
      <c r="F1796" t="s">
        <v>97</v>
      </c>
    </row>
    <row r="1797" spans="1:6" hidden="1" outlineLevel="2">
      <c r="A1797" t="s">
        <v>6</v>
      </c>
      <c r="B1797" s="1">
        <v>45848.306967592594</v>
      </c>
      <c r="C1797">
        <v>30002</v>
      </c>
      <c r="D1797" t="s">
        <v>7</v>
      </c>
      <c r="E1797" t="s">
        <v>191</v>
      </c>
      <c r="F1797" t="s">
        <v>97</v>
      </c>
    </row>
    <row r="1798" spans="1:6" hidden="1" outlineLevel="2">
      <c r="A1798" t="s">
        <v>6</v>
      </c>
      <c r="B1798" s="1">
        <v>45846.720682870371</v>
      </c>
      <c r="C1798">
        <v>30002</v>
      </c>
      <c r="D1798" t="s">
        <v>7</v>
      </c>
      <c r="E1798" t="s">
        <v>191</v>
      </c>
      <c r="F1798" t="s">
        <v>97</v>
      </c>
    </row>
    <row r="1799" spans="1:6" hidden="1" outlineLevel="2">
      <c r="A1799" t="s">
        <v>6</v>
      </c>
      <c r="B1799" s="1">
        <v>45846.682615740741</v>
      </c>
      <c r="C1799">
        <v>30002</v>
      </c>
      <c r="D1799" t="s">
        <v>7</v>
      </c>
      <c r="E1799" t="s">
        <v>191</v>
      </c>
      <c r="F1799" t="s">
        <v>97</v>
      </c>
    </row>
    <row r="1800" spans="1:6" outlineLevel="1" collapsed="1">
      <c r="B1800" s="1"/>
      <c r="E1800" s="2" t="s">
        <v>352</v>
      </c>
      <c r="F1800">
        <f>SUBTOTAL(3,F1794:F1799)</f>
        <v>6</v>
      </c>
    </row>
    <row r="1801" spans="1:6" hidden="1" outlineLevel="2">
      <c r="A1801" t="s">
        <v>6</v>
      </c>
      <c r="B1801" s="1">
        <v>45859.413912037038</v>
      </c>
      <c r="C1801">
        <v>30002</v>
      </c>
      <c r="D1801" t="s">
        <v>7</v>
      </c>
      <c r="E1801" t="s">
        <v>192</v>
      </c>
      <c r="F1801" t="s">
        <v>13</v>
      </c>
    </row>
    <row r="1802" spans="1:6" hidden="1" outlineLevel="2">
      <c r="A1802" t="s">
        <v>6</v>
      </c>
      <c r="B1802" s="1">
        <v>45859.413483796299</v>
      </c>
      <c r="C1802">
        <v>30002</v>
      </c>
      <c r="D1802" t="s">
        <v>7</v>
      </c>
      <c r="E1802" t="s">
        <v>192</v>
      </c>
      <c r="F1802" t="s">
        <v>13</v>
      </c>
    </row>
    <row r="1803" spans="1:6" hidden="1" outlineLevel="2">
      <c r="A1803" t="s">
        <v>6</v>
      </c>
      <c r="B1803" s="1">
        <v>45853.517013888886</v>
      </c>
      <c r="C1803">
        <v>30002</v>
      </c>
      <c r="D1803" t="s">
        <v>7</v>
      </c>
      <c r="E1803" t="s">
        <v>192</v>
      </c>
      <c r="F1803" t="s">
        <v>13</v>
      </c>
    </row>
    <row r="1804" spans="1:6" hidden="1" outlineLevel="2">
      <c r="A1804" t="s">
        <v>6</v>
      </c>
      <c r="B1804" s="1">
        <v>45853.504918981482</v>
      </c>
      <c r="C1804">
        <v>30002</v>
      </c>
      <c r="D1804" t="s">
        <v>7</v>
      </c>
      <c r="E1804" t="s">
        <v>192</v>
      </c>
      <c r="F1804" t="s">
        <v>13</v>
      </c>
    </row>
    <row r="1805" spans="1:6" hidden="1" outlineLevel="2">
      <c r="A1805" t="s">
        <v>6</v>
      </c>
      <c r="B1805" s="1">
        <v>45853.503807870373</v>
      </c>
      <c r="C1805">
        <v>30002</v>
      </c>
      <c r="D1805" t="s">
        <v>7</v>
      </c>
      <c r="E1805" t="s">
        <v>192</v>
      </c>
      <c r="F1805" t="s">
        <v>13</v>
      </c>
    </row>
    <row r="1806" spans="1:6" outlineLevel="1" collapsed="1">
      <c r="B1806" s="1"/>
      <c r="E1806" s="2" t="s">
        <v>353</v>
      </c>
      <c r="F1806">
        <f>SUBTOTAL(3,F1801:F1805)</f>
        <v>5</v>
      </c>
    </row>
    <row r="1807" spans="1:6" hidden="1" outlineLevel="2">
      <c r="A1807" t="s">
        <v>6</v>
      </c>
      <c r="B1807" s="1">
        <v>45856.450381944444</v>
      </c>
      <c r="C1807">
        <v>30002</v>
      </c>
      <c r="D1807" t="s">
        <v>7</v>
      </c>
      <c r="E1807" t="s">
        <v>193</v>
      </c>
      <c r="F1807" t="s">
        <v>36</v>
      </c>
    </row>
    <row r="1808" spans="1:6" outlineLevel="1" collapsed="1">
      <c r="B1808" s="1"/>
      <c r="E1808" s="2" t="s">
        <v>354</v>
      </c>
      <c r="F1808">
        <f>SUBTOTAL(3,F1807:F1807)</f>
        <v>1</v>
      </c>
    </row>
    <row r="1809" spans="1:6" hidden="1" outlineLevel="2">
      <c r="A1809" t="s">
        <v>6</v>
      </c>
      <c r="B1809" s="1">
        <v>45859.78230324074</v>
      </c>
      <c r="C1809">
        <v>30002</v>
      </c>
      <c r="D1809" t="s">
        <v>7</v>
      </c>
      <c r="E1809" t="s">
        <v>194</v>
      </c>
      <c r="F1809" t="s">
        <v>19</v>
      </c>
    </row>
    <row r="1810" spans="1:6" hidden="1" outlineLevel="2">
      <c r="A1810" t="s">
        <v>6</v>
      </c>
      <c r="B1810" s="1">
        <v>45846.248796296299</v>
      </c>
      <c r="C1810">
        <v>30002</v>
      </c>
      <c r="D1810" t="s">
        <v>7</v>
      </c>
      <c r="E1810" t="s">
        <v>194</v>
      </c>
      <c r="F1810" t="s">
        <v>19</v>
      </c>
    </row>
    <row r="1811" spans="1:6" hidden="1" outlineLevel="2">
      <c r="A1811" t="s">
        <v>6</v>
      </c>
      <c r="B1811" s="1">
        <v>45846.24763888889</v>
      </c>
      <c r="C1811">
        <v>30002</v>
      </c>
      <c r="D1811" t="s">
        <v>7</v>
      </c>
      <c r="E1811" t="s">
        <v>194</v>
      </c>
      <c r="F1811" t="s">
        <v>19</v>
      </c>
    </row>
    <row r="1812" spans="1:6" hidden="1" outlineLevel="2">
      <c r="A1812" t="s">
        <v>6</v>
      </c>
      <c r="B1812" s="1">
        <v>45841.581967592596</v>
      </c>
      <c r="C1812">
        <v>30002</v>
      </c>
      <c r="D1812" t="s">
        <v>7</v>
      </c>
      <c r="E1812" t="s">
        <v>194</v>
      </c>
      <c r="F1812" t="s">
        <v>19</v>
      </c>
    </row>
    <row r="1813" spans="1:6" hidden="1" outlineLevel="2">
      <c r="A1813" t="s">
        <v>6</v>
      </c>
      <c r="B1813" s="1">
        <v>45840.284803240742</v>
      </c>
      <c r="C1813">
        <v>30002</v>
      </c>
      <c r="D1813" t="s">
        <v>7</v>
      </c>
      <c r="E1813" t="s">
        <v>194</v>
      </c>
      <c r="F1813" t="s">
        <v>19</v>
      </c>
    </row>
    <row r="1814" spans="1:6" hidden="1" outlineLevel="2">
      <c r="A1814" t="s">
        <v>6</v>
      </c>
      <c r="B1814" s="1">
        <v>45840.209479166668</v>
      </c>
      <c r="C1814">
        <v>30002</v>
      </c>
      <c r="D1814" t="s">
        <v>7</v>
      </c>
      <c r="E1814" t="s">
        <v>194</v>
      </c>
      <c r="F1814" t="s">
        <v>19</v>
      </c>
    </row>
    <row r="1815" spans="1:6" outlineLevel="1" collapsed="1">
      <c r="B1815" s="1"/>
      <c r="E1815" s="2" t="s">
        <v>355</v>
      </c>
      <c r="F1815">
        <f>SUBTOTAL(3,F1809:F1814)</f>
        <v>6</v>
      </c>
    </row>
    <row r="1816" spans="1:6" hidden="1" outlineLevel="2">
      <c r="A1816" t="s">
        <v>6</v>
      </c>
      <c r="B1816" s="1">
        <v>45846.586944444447</v>
      </c>
      <c r="C1816">
        <v>30002</v>
      </c>
      <c r="D1816" t="s">
        <v>7</v>
      </c>
      <c r="E1816" t="s">
        <v>195</v>
      </c>
      <c r="F1816" t="s">
        <v>196</v>
      </c>
    </row>
    <row r="1817" spans="1:6" hidden="1" outlineLevel="2">
      <c r="A1817" t="s">
        <v>6</v>
      </c>
      <c r="B1817" s="1">
        <v>45846.582025462965</v>
      </c>
      <c r="C1817">
        <v>30002</v>
      </c>
      <c r="D1817" t="s">
        <v>7</v>
      </c>
      <c r="E1817" t="s">
        <v>195</v>
      </c>
      <c r="F1817" t="s">
        <v>196</v>
      </c>
    </row>
    <row r="1818" spans="1:6" hidden="1" outlineLevel="2">
      <c r="A1818" t="s">
        <v>6</v>
      </c>
      <c r="B1818" s="1">
        <v>45867.384421296294</v>
      </c>
      <c r="C1818">
        <v>30002</v>
      </c>
      <c r="D1818" t="s">
        <v>7</v>
      </c>
      <c r="E1818" t="s">
        <v>195</v>
      </c>
      <c r="F1818" t="s">
        <v>15</v>
      </c>
    </row>
    <row r="1819" spans="1:6" hidden="1" outlineLevel="2">
      <c r="A1819" t="s">
        <v>6</v>
      </c>
      <c r="B1819" s="1">
        <v>45861.439606481479</v>
      </c>
      <c r="C1819">
        <v>30002</v>
      </c>
      <c r="D1819" t="s">
        <v>7</v>
      </c>
      <c r="E1819" t="s">
        <v>195</v>
      </c>
      <c r="F1819" t="s">
        <v>15</v>
      </c>
    </row>
    <row r="1820" spans="1:6" hidden="1" outlineLevel="2">
      <c r="A1820" t="s">
        <v>6</v>
      </c>
      <c r="B1820" s="1">
        <v>45852.380972222221</v>
      </c>
      <c r="C1820">
        <v>30002</v>
      </c>
      <c r="D1820" t="s">
        <v>7</v>
      </c>
      <c r="E1820" t="s">
        <v>195</v>
      </c>
      <c r="F1820" t="s">
        <v>15</v>
      </c>
    </row>
    <row r="1821" spans="1:6" outlineLevel="1" collapsed="1">
      <c r="B1821" s="1"/>
      <c r="E1821" s="2" t="s">
        <v>356</v>
      </c>
      <c r="F1821">
        <f>SUBTOTAL(3,F1816:F1820)</f>
        <v>5</v>
      </c>
    </row>
    <row r="1822" spans="1:6" hidden="1" outlineLevel="2">
      <c r="A1822" t="s">
        <v>6</v>
      </c>
      <c r="B1822" s="1">
        <v>45839.465601851851</v>
      </c>
      <c r="C1822">
        <v>30002</v>
      </c>
      <c r="D1822" t="s">
        <v>7</v>
      </c>
      <c r="E1822" t="s">
        <v>197</v>
      </c>
      <c r="F1822" t="s">
        <v>146</v>
      </c>
    </row>
    <row r="1823" spans="1:6" outlineLevel="1" collapsed="1">
      <c r="B1823" s="1"/>
      <c r="E1823" s="2" t="s">
        <v>357</v>
      </c>
      <c r="F1823">
        <f>SUBTOTAL(3,F1822:F1822)</f>
        <v>1</v>
      </c>
    </row>
    <row r="1824" spans="1:6" hidden="1" outlineLevel="2">
      <c r="A1824" t="s">
        <v>6</v>
      </c>
      <c r="B1824" s="1">
        <v>45852.266053240739</v>
      </c>
      <c r="C1824">
        <v>30002</v>
      </c>
      <c r="D1824" t="s">
        <v>7</v>
      </c>
      <c r="E1824" t="s">
        <v>198</v>
      </c>
      <c r="F1824" t="s">
        <v>19</v>
      </c>
    </row>
    <row r="1825" spans="1:6" outlineLevel="1" collapsed="1">
      <c r="B1825" s="1"/>
      <c r="E1825" s="2" t="s">
        <v>358</v>
      </c>
      <c r="F1825">
        <f>SUBTOTAL(3,F1824:F1824)</f>
        <v>1</v>
      </c>
    </row>
    <row r="1826" spans="1:6" hidden="1" outlineLevel="2">
      <c r="A1826" t="s">
        <v>6</v>
      </c>
      <c r="B1826" s="1">
        <v>45840.524988425925</v>
      </c>
      <c r="C1826">
        <v>30002</v>
      </c>
      <c r="D1826" t="s">
        <v>7</v>
      </c>
      <c r="E1826" t="s">
        <v>199</v>
      </c>
      <c r="F1826" t="s">
        <v>101</v>
      </c>
    </row>
    <row r="1827" spans="1:6" hidden="1" outlineLevel="2">
      <c r="A1827" t="s">
        <v>6</v>
      </c>
      <c r="B1827" s="1">
        <v>45840.517083333332</v>
      </c>
      <c r="C1827">
        <v>30002</v>
      </c>
      <c r="D1827" t="s">
        <v>7</v>
      </c>
      <c r="E1827" t="s">
        <v>199</v>
      </c>
      <c r="F1827" t="s">
        <v>101</v>
      </c>
    </row>
    <row r="1828" spans="1:6" hidden="1" outlineLevel="2">
      <c r="A1828" t="s">
        <v>6</v>
      </c>
      <c r="B1828" s="1">
        <v>45840.512766203705</v>
      </c>
      <c r="C1828">
        <v>30002</v>
      </c>
      <c r="D1828" t="s">
        <v>7</v>
      </c>
      <c r="E1828" t="s">
        <v>199</v>
      </c>
      <c r="F1828" t="s">
        <v>101</v>
      </c>
    </row>
    <row r="1829" spans="1:6" hidden="1" outlineLevel="2">
      <c r="A1829" t="s">
        <v>6</v>
      </c>
      <c r="B1829" s="1">
        <v>45840.512048611112</v>
      </c>
      <c r="C1829">
        <v>30002</v>
      </c>
      <c r="D1829" t="s">
        <v>7</v>
      </c>
      <c r="E1829" t="s">
        <v>199</v>
      </c>
      <c r="F1829" t="s">
        <v>101</v>
      </c>
    </row>
    <row r="1830" spans="1:6" hidden="1" outlineLevel="2">
      <c r="A1830" t="s">
        <v>6</v>
      </c>
      <c r="B1830" s="1">
        <v>45840.511793981481</v>
      </c>
      <c r="C1830">
        <v>30002</v>
      </c>
      <c r="D1830" t="s">
        <v>7</v>
      </c>
      <c r="E1830" t="s">
        <v>199</v>
      </c>
      <c r="F1830" t="s">
        <v>101</v>
      </c>
    </row>
    <row r="1831" spans="1:6" hidden="1" outlineLevel="2">
      <c r="A1831" t="s">
        <v>6</v>
      </c>
      <c r="B1831" s="1">
        <v>45867.496157407404</v>
      </c>
      <c r="C1831">
        <v>30002</v>
      </c>
      <c r="D1831" t="s">
        <v>7</v>
      </c>
      <c r="E1831" t="s">
        <v>199</v>
      </c>
      <c r="F1831" t="s">
        <v>13</v>
      </c>
    </row>
    <row r="1832" spans="1:6" hidden="1" outlineLevel="2">
      <c r="A1832" t="s">
        <v>6</v>
      </c>
      <c r="B1832" s="1">
        <v>45867.450543981482</v>
      </c>
      <c r="C1832">
        <v>30002</v>
      </c>
      <c r="D1832" t="s">
        <v>7</v>
      </c>
      <c r="E1832" t="s">
        <v>199</v>
      </c>
      <c r="F1832" t="s">
        <v>13</v>
      </c>
    </row>
    <row r="1833" spans="1:6" hidden="1" outlineLevel="2">
      <c r="A1833" t="s">
        <v>6</v>
      </c>
      <c r="B1833" s="1">
        <v>45867.437395833331</v>
      </c>
      <c r="C1833">
        <v>30002</v>
      </c>
      <c r="D1833" t="s">
        <v>7</v>
      </c>
      <c r="E1833" t="s">
        <v>199</v>
      </c>
      <c r="F1833" t="s">
        <v>13</v>
      </c>
    </row>
    <row r="1834" spans="1:6" hidden="1" outlineLevel="2">
      <c r="A1834" t="s">
        <v>6</v>
      </c>
      <c r="B1834" s="1">
        <v>45867.423784722225</v>
      </c>
      <c r="C1834">
        <v>30002</v>
      </c>
      <c r="D1834" t="s">
        <v>7</v>
      </c>
      <c r="E1834" t="s">
        <v>199</v>
      </c>
      <c r="F1834" t="s">
        <v>13</v>
      </c>
    </row>
    <row r="1835" spans="1:6" hidden="1" outlineLevel="2">
      <c r="A1835" t="s">
        <v>6</v>
      </c>
      <c r="B1835" s="1">
        <v>45867.417546296296</v>
      </c>
      <c r="C1835">
        <v>30002</v>
      </c>
      <c r="D1835" t="s">
        <v>7</v>
      </c>
      <c r="E1835" t="s">
        <v>199</v>
      </c>
      <c r="F1835" t="s">
        <v>13</v>
      </c>
    </row>
    <row r="1836" spans="1:6" hidden="1" outlineLevel="2">
      <c r="A1836" t="s">
        <v>6</v>
      </c>
      <c r="B1836" s="1">
        <v>45867.416990740741</v>
      </c>
      <c r="C1836">
        <v>30002</v>
      </c>
      <c r="D1836" t="s">
        <v>7</v>
      </c>
      <c r="E1836" t="s">
        <v>199</v>
      </c>
      <c r="F1836" t="s">
        <v>13</v>
      </c>
    </row>
    <row r="1837" spans="1:6" hidden="1" outlineLevel="2">
      <c r="A1837" t="s">
        <v>6</v>
      </c>
      <c r="B1837" s="1">
        <v>45867.404143518521</v>
      </c>
      <c r="C1837">
        <v>30002</v>
      </c>
      <c r="D1837" t="s">
        <v>7</v>
      </c>
      <c r="E1837" t="s">
        <v>199</v>
      </c>
      <c r="F1837" t="s">
        <v>13</v>
      </c>
    </row>
    <row r="1838" spans="1:6" hidden="1" outlineLevel="2">
      <c r="A1838" t="s">
        <v>6</v>
      </c>
      <c r="B1838" s="1">
        <v>45867.400543981479</v>
      </c>
      <c r="C1838">
        <v>30002</v>
      </c>
      <c r="D1838" t="s">
        <v>7</v>
      </c>
      <c r="E1838" t="s">
        <v>199</v>
      </c>
      <c r="F1838" t="s">
        <v>13</v>
      </c>
    </row>
    <row r="1839" spans="1:6" hidden="1" outlineLevel="2">
      <c r="A1839" t="s">
        <v>6</v>
      </c>
      <c r="B1839" s="1">
        <v>45867.399861111109</v>
      </c>
      <c r="C1839">
        <v>30002</v>
      </c>
      <c r="D1839" t="s">
        <v>7</v>
      </c>
      <c r="E1839" t="s">
        <v>199</v>
      </c>
      <c r="F1839" t="s">
        <v>13</v>
      </c>
    </row>
    <row r="1840" spans="1:6" hidden="1" outlineLevel="2">
      <c r="A1840" t="s">
        <v>6</v>
      </c>
      <c r="B1840" s="1">
        <v>45867.399386574078</v>
      </c>
      <c r="C1840">
        <v>30002</v>
      </c>
      <c r="D1840" t="s">
        <v>7</v>
      </c>
      <c r="E1840" t="s">
        <v>199</v>
      </c>
      <c r="F1840" t="s">
        <v>13</v>
      </c>
    </row>
    <row r="1841" spans="1:6" hidden="1" outlineLevel="2">
      <c r="A1841" t="s">
        <v>6</v>
      </c>
      <c r="B1841" s="1">
        <v>45866.401712962965</v>
      </c>
      <c r="C1841">
        <v>30002</v>
      </c>
      <c r="D1841" t="s">
        <v>7</v>
      </c>
      <c r="E1841" t="s">
        <v>199</v>
      </c>
      <c r="F1841" t="s">
        <v>13</v>
      </c>
    </row>
    <row r="1842" spans="1:6" hidden="1" outlineLevel="2">
      <c r="A1842" t="s">
        <v>6</v>
      </c>
      <c r="B1842" s="1">
        <v>45855.486458333333</v>
      </c>
      <c r="C1842">
        <v>30002</v>
      </c>
      <c r="D1842" t="s">
        <v>7</v>
      </c>
      <c r="E1842" t="s">
        <v>199</v>
      </c>
      <c r="F1842" t="s">
        <v>13</v>
      </c>
    </row>
    <row r="1843" spans="1:6" hidden="1" outlineLevel="2">
      <c r="A1843" t="s">
        <v>6</v>
      </c>
      <c r="B1843" s="1">
        <v>45855.486087962963</v>
      </c>
      <c r="C1843">
        <v>30002</v>
      </c>
      <c r="D1843" t="s">
        <v>7</v>
      </c>
      <c r="E1843" t="s">
        <v>199</v>
      </c>
      <c r="F1843" t="s">
        <v>13</v>
      </c>
    </row>
    <row r="1844" spans="1:6" hidden="1" outlineLevel="2">
      <c r="A1844" t="s">
        <v>6</v>
      </c>
      <c r="B1844" s="1">
        <v>45855.48574074074</v>
      </c>
      <c r="C1844">
        <v>30002</v>
      </c>
      <c r="D1844" t="s">
        <v>7</v>
      </c>
      <c r="E1844" t="s">
        <v>199</v>
      </c>
      <c r="F1844" t="s">
        <v>13</v>
      </c>
    </row>
    <row r="1845" spans="1:6" hidden="1" outlineLevel="2">
      <c r="A1845" t="s">
        <v>6</v>
      </c>
      <c r="B1845" s="1">
        <v>45855.485138888886</v>
      </c>
      <c r="C1845">
        <v>30002</v>
      </c>
      <c r="D1845" t="s">
        <v>7</v>
      </c>
      <c r="E1845" t="s">
        <v>199</v>
      </c>
      <c r="F1845" t="s">
        <v>13</v>
      </c>
    </row>
    <row r="1846" spans="1:6" hidden="1" outlineLevel="2">
      <c r="A1846" t="s">
        <v>6</v>
      </c>
      <c r="B1846" s="1">
        <v>45855.484791666669</v>
      </c>
      <c r="C1846">
        <v>30002</v>
      </c>
      <c r="D1846" t="s">
        <v>7</v>
      </c>
      <c r="E1846" t="s">
        <v>199</v>
      </c>
      <c r="F1846" t="s">
        <v>13</v>
      </c>
    </row>
    <row r="1847" spans="1:6" hidden="1" outlineLevel="2">
      <c r="A1847" t="s">
        <v>6</v>
      </c>
      <c r="B1847" s="1">
        <v>45855.484189814815</v>
      </c>
      <c r="C1847">
        <v>30002</v>
      </c>
      <c r="D1847" t="s">
        <v>7</v>
      </c>
      <c r="E1847" t="s">
        <v>199</v>
      </c>
      <c r="F1847" t="s">
        <v>13</v>
      </c>
    </row>
    <row r="1848" spans="1:6" hidden="1" outlineLevel="2">
      <c r="A1848" t="s">
        <v>6</v>
      </c>
      <c r="B1848" s="1">
        <v>45855.483877314815</v>
      </c>
      <c r="C1848">
        <v>30002</v>
      </c>
      <c r="D1848" t="s">
        <v>7</v>
      </c>
      <c r="E1848" t="s">
        <v>199</v>
      </c>
      <c r="F1848" t="s">
        <v>13</v>
      </c>
    </row>
    <row r="1849" spans="1:6" hidden="1" outlineLevel="2">
      <c r="A1849" t="s">
        <v>6</v>
      </c>
      <c r="B1849" s="1">
        <v>45855.483043981483</v>
      </c>
      <c r="C1849">
        <v>30002</v>
      </c>
      <c r="D1849" t="s">
        <v>7</v>
      </c>
      <c r="E1849" t="s">
        <v>199</v>
      </c>
      <c r="F1849" t="s">
        <v>13</v>
      </c>
    </row>
    <row r="1850" spans="1:6" hidden="1" outlineLevel="2">
      <c r="A1850" t="s">
        <v>6</v>
      </c>
      <c r="B1850" s="1">
        <v>45855.482187499998</v>
      </c>
      <c r="C1850">
        <v>30002</v>
      </c>
      <c r="D1850" t="s">
        <v>7</v>
      </c>
      <c r="E1850" t="s">
        <v>199</v>
      </c>
      <c r="F1850" t="s">
        <v>13</v>
      </c>
    </row>
    <row r="1851" spans="1:6" hidden="1" outlineLevel="2">
      <c r="A1851" t="s">
        <v>6</v>
      </c>
      <c r="B1851" s="1">
        <v>45855.481226851851</v>
      </c>
      <c r="C1851">
        <v>30002</v>
      </c>
      <c r="D1851" t="s">
        <v>7</v>
      </c>
      <c r="E1851" t="s">
        <v>199</v>
      </c>
      <c r="F1851" t="s">
        <v>13</v>
      </c>
    </row>
    <row r="1852" spans="1:6" hidden="1" outlineLevel="2">
      <c r="A1852" t="s">
        <v>6</v>
      </c>
      <c r="B1852" s="1">
        <v>45855.480891203704</v>
      </c>
      <c r="C1852">
        <v>30002</v>
      </c>
      <c r="D1852" t="s">
        <v>7</v>
      </c>
      <c r="E1852" t="s">
        <v>199</v>
      </c>
      <c r="F1852" t="s">
        <v>13</v>
      </c>
    </row>
    <row r="1853" spans="1:6" hidden="1" outlineLevel="2">
      <c r="A1853" t="s">
        <v>6</v>
      </c>
      <c r="B1853" s="1">
        <v>45855.480312500003</v>
      </c>
      <c r="C1853">
        <v>30002</v>
      </c>
      <c r="D1853" t="s">
        <v>7</v>
      </c>
      <c r="E1853" t="s">
        <v>199</v>
      </c>
      <c r="F1853" t="s">
        <v>13</v>
      </c>
    </row>
    <row r="1854" spans="1:6" hidden="1" outlineLevel="2">
      <c r="A1854" t="s">
        <v>6</v>
      </c>
      <c r="B1854" s="1">
        <v>45853.503344907411</v>
      </c>
      <c r="C1854">
        <v>30002</v>
      </c>
      <c r="D1854" t="s">
        <v>7</v>
      </c>
      <c r="E1854" t="s">
        <v>199</v>
      </c>
      <c r="F1854" t="s">
        <v>13</v>
      </c>
    </row>
    <row r="1855" spans="1:6" hidden="1" outlineLevel="2">
      <c r="A1855" t="s">
        <v>6</v>
      </c>
      <c r="B1855" s="1">
        <v>45848.52789351852</v>
      </c>
      <c r="C1855">
        <v>30002</v>
      </c>
      <c r="D1855" t="s">
        <v>7</v>
      </c>
      <c r="E1855" t="s">
        <v>199</v>
      </c>
      <c r="F1855" t="s">
        <v>13</v>
      </c>
    </row>
    <row r="1856" spans="1:6" hidden="1" outlineLevel="2">
      <c r="A1856" t="s">
        <v>6</v>
      </c>
      <c r="B1856" s="1">
        <v>45848.51871527778</v>
      </c>
      <c r="C1856">
        <v>30002</v>
      </c>
      <c r="D1856" t="s">
        <v>7</v>
      </c>
      <c r="E1856" t="s">
        <v>199</v>
      </c>
      <c r="F1856" t="s">
        <v>13</v>
      </c>
    </row>
    <row r="1857" spans="1:6" hidden="1" outlineLevel="2">
      <c r="A1857" t="s">
        <v>6</v>
      </c>
      <c r="B1857" s="1">
        <v>45848.512453703705</v>
      </c>
      <c r="C1857">
        <v>30002</v>
      </c>
      <c r="D1857" t="s">
        <v>7</v>
      </c>
      <c r="E1857" t="s">
        <v>199</v>
      </c>
      <c r="F1857" t="s">
        <v>13</v>
      </c>
    </row>
    <row r="1858" spans="1:6" hidden="1" outlineLevel="2">
      <c r="A1858" t="s">
        <v>6</v>
      </c>
      <c r="B1858" s="1">
        <v>45840.386284722219</v>
      </c>
      <c r="C1858">
        <v>30002</v>
      </c>
      <c r="D1858" t="s">
        <v>7</v>
      </c>
      <c r="E1858" t="s">
        <v>199</v>
      </c>
      <c r="F1858" t="s">
        <v>13</v>
      </c>
    </row>
    <row r="1859" spans="1:6" hidden="1" outlineLevel="2">
      <c r="A1859" t="s">
        <v>6</v>
      </c>
      <c r="B1859" s="1">
        <v>45848.372511574074</v>
      </c>
      <c r="C1859">
        <v>30002</v>
      </c>
      <c r="D1859" t="s">
        <v>7</v>
      </c>
      <c r="E1859" t="s">
        <v>199</v>
      </c>
      <c r="F1859" t="s">
        <v>18</v>
      </c>
    </row>
    <row r="1860" spans="1:6" hidden="1" outlineLevel="2">
      <c r="A1860" t="s">
        <v>6</v>
      </c>
      <c r="B1860" s="1">
        <v>45848.35528935185</v>
      </c>
      <c r="C1860">
        <v>30002</v>
      </c>
      <c r="D1860" t="s">
        <v>7</v>
      </c>
      <c r="E1860" t="s">
        <v>199</v>
      </c>
      <c r="F1860" t="s">
        <v>18</v>
      </c>
    </row>
    <row r="1861" spans="1:6" hidden="1" outlineLevel="2">
      <c r="A1861" t="s">
        <v>6</v>
      </c>
      <c r="B1861" s="1">
        <v>45869.746990740743</v>
      </c>
      <c r="C1861">
        <v>30002</v>
      </c>
      <c r="D1861" t="s">
        <v>7</v>
      </c>
      <c r="E1861" t="s">
        <v>199</v>
      </c>
      <c r="F1861" t="s">
        <v>103</v>
      </c>
    </row>
    <row r="1862" spans="1:6" hidden="1" outlineLevel="2">
      <c r="A1862" t="s">
        <v>6</v>
      </c>
      <c r="B1862" s="1">
        <v>45854.409375000003</v>
      </c>
      <c r="C1862">
        <v>30002</v>
      </c>
      <c r="D1862" t="s">
        <v>7</v>
      </c>
      <c r="E1862" t="s">
        <v>199</v>
      </c>
      <c r="F1862" t="s">
        <v>103</v>
      </c>
    </row>
    <row r="1863" spans="1:6" hidden="1" outlineLevel="2">
      <c r="A1863" t="s">
        <v>6</v>
      </c>
      <c r="B1863" s="1">
        <v>45839.518553240741</v>
      </c>
      <c r="C1863">
        <v>30002</v>
      </c>
      <c r="D1863" t="s">
        <v>7</v>
      </c>
      <c r="E1863" t="s">
        <v>199</v>
      </c>
      <c r="F1863" t="s">
        <v>103</v>
      </c>
    </row>
    <row r="1864" spans="1:6" hidden="1" outlineLevel="2">
      <c r="A1864" t="s">
        <v>6</v>
      </c>
      <c r="B1864" s="1">
        <v>45839.492719907408</v>
      </c>
      <c r="C1864">
        <v>30002</v>
      </c>
      <c r="D1864" t="s">
        <v>7</v>
      </c>
      <c r="E1864" t="s">
        <v>199</v>
      </c>
      <c r="F1864" t="s">
        <v>103</v>
      </c>
    </row>
    <row r="1865" spans="1:6" hidden="1" outlineLevel="2">
      <c r="A1865" t="s">
        <v>6</v>
      </c>
      <c r="B1865" s="1">
        <v>45866.294722222221</v>
      </c>
      <c r="C1865">
        <v>30002</v>
      </c>
      <c r="D1865" t="s">
        <v>7</v>
      </c>
      <c r="E1865" t="s">
        <v>199</v>
      </c>
      <c r="F1865" t="s">
        <v>19</v>
      </c>
    </row>
    <row r="1866" spans="1:6" hidden="1" outlineLevel="2">
      <c r="A1866" t="s">
        <v>6</v>
      </c>
      <c r="B1866" s="1">
        <v>45866.289386574077</v>
      </c>
      <c r="C1866">
        <v>30002</v>
      </c>
      <c r="D1866" t="s">
        <v>7</v>
      </c>
      <c r="E1866" t="s">
        <v>199</v>
      </c>
      <c r="F1866" t="s">
        <v>19</v>
      </c>
    </row>
    <row r="1867" spans="1:6" hidden="1" outlineLevel="2">
      <c r="A1867" t="s">
        <v>6</v>
      </c>
      <c r="B1867" s="1">
        <v>45866.286539351851</v>
      </c>
      <c r="C1867">
        <v>30002</v>
      </c>
      <c r="D1867" t="s">
        <v>7</v>
      </c>
      <c r="E1867" t="s">
        <v>199</v>
      </c>
      <c r="F1867" t="s">
        <v>19</v>
      </c>
    </row>
    <row r="1868" spans="1:6" hidden="1" outlineLevel="2">
      <c r="A1868" t="s">
        <v>6</v>
      </c>
      <c r="B1868" s="1">
        <v>45866.278993055559</v>
      </c>
      <c r="C1868">
        <v>30002</v>
      </c>
      <c r="D1868" t="s">
        <v>7</v>
      </c>
      <c r="E1868" t="s">
        <v>199</v>
      </c>
      <c r="F1868" t="s">
        <v>19</v>
      </c>
    </row>
    <row r="1869" spans="1:6" hidden="1" outlineLevel="2">
      <c r="A1869" t="s">
        <v>6</v>
      </c>
      <c r="B1869" s="1">
        <v>45859.790578703702</v>
      </c>
      <c r="C1869">
        <v>30002</v>
      </c>
      <c r="D1869" t="s">
        <v>7</v>
      </c>
      <c r="E1869" t="s">
        <v>199</v>
      </c>
      <c r="F1869" t="s">
        <v>19</v>
      </c>
    </row>
    <row r="1870" spans="1:6" hidden="1" outlineLevel="2">
      <c r="A1870" t="s">
        <v>6</v>
      </c>
      <c r="B1870" s="1">
        <v>45859.782592592594</v>
      </c>
      <c r="C1870">
        <v>30002</v>
      </c>
      <c r="D1870" t="s">
        <v>7</v>
      </c>
      <c r="E1870" t="s">
        <v>199</v>
      </c>
      <c r="F1870" t="s">
        <v>19</v>
      </c>
    </row>
    <row r="1871" spans="1:6" hidden="1" outlineLevel="2">
      <c r="A1871" t="s">
        <v>6</v>
      </c>
      <c r="B1871" s="1">
        <v>45859.275358796294</v>
      </c>
      <c r="C1871">
        <v>30002</v>
      </c>
      <c r="D1871" t="s">
        <v>7</v>
      </c>
      <c r="E1871" t="s">
        <v>199</v>
      </c>
      <c r="F1871" t="s">
        <v>19</v>
      </c>
    </row>
    <row r="1872" spans="1:6" hidden="1" outlineLevel="2">
      <c r="A1872" t="s">
        <v>6</v>
      </c>
      <c r="B1872" s="1">
        <v>45841.556550925925</v>
      </c>
      <c r="C1872">
        <v>30002</v>
      </c>
      <c r="D1872" t="s">
        <v>7</v>
      </c>
      <c r="E1872" t="s">
        <v>199</v>
      </c>
      <c r="F1872" t="s">
        <v>22</v>
      </c>
    </row>
    <row r="1873" spans="1:6" hidden="1" outlineLevel="2">
      <c r="A1873" t="s">
        <v>6</v>
      </c>
      <c r="B1873" s="1">
        <v>45839.371828703705</v>
      </c>
      <c r="C1873">
        <v>30002</v>
      </c>
      <c r="D1873" t="s">
        <v>7</v>
      </c>
      <c r="E1873" t="s">
        <v>199</v>
      </c>
      <c r="F1873" t="s">
        <v>22</v>
      </c>
    </row>
    <row r="1874" spans="1:6" hidden="1" outlineLevel="2">
      <c r="A1874" t="s">
        <v>6</v>
      </c>
      <c r="B1874" s="1">
        <v>45853.573645833334</v>
      </c>
      <c r="C1874">
        <v>30002</v>
      </c>
      <c r="D1874" t="s">
        <v>7</v>
      </c>
      <c r="E1874" t="s">
        <v>199</v>
      </c>
      <c r="F1874" t="s">
        <v>24</v>
      </c>
    </row>
    <row r="1875" spans="1:6" hidden="1" outlineLevel="2">
      <c r="A1875" t="s">
        <v>6</v>
      </c>
      <c r="B1875" s="1">
        <v>45853.571828703702</v>
      </c>
      <c r="C1875">
        <v>30002</v>
      </c>
      <c r="D1875" t="s">
        <v>7</v>
      </c>
      <c r="E1875" t="s">
        <v>199</v>
      </c>
      <c r="F1875" t="s">
        <v>24</v>
      </c>
    </row>
    <row r="1876" spans="1:6" hidden="1" outlineLevel="2">
      <c r="A1876" t="s">
        <v>6</v>
      </c>
      <c r="B1876" s="1">
        <v>45855.358252314814</v>
      </c>
      <c r="C1876">
        <v>30002</v>
      </c>
      <c r="D1876" t="s">
        <v>7</v>
      </c>
      <c r="E1876" t="s">
        <v>199</v>
      </c>
      <c r="F1876" t="s">
        <v>97</v>
      </c>
    </row>
    <row r="1877" spans="1:6" hidden="1" outlineLevel="2">
      <c r="A1877" t="s">
        <v>6</v>
      </c>
      <c r="B1877" s="1">
        <v>45849.332233796296</v>
      </c>
      <c r="C1877">
        <v>30002</v>
      </c>
      <c r="D1877" t="s">
        <v>7</v>
      </c>
      <c r="E1877" t="s">
        <v>199</v>
      </c>
      <c r="F1877" t="s">
        <v>97</v>
      </c>
    </row>
    <row r="1878" spans="1:6" outlineLevel="1" collapsed="1">
      <c r="B1878" s="1"/>
      <c r="E1878" s="2" t="s">
        <v>359</v>
      </c>
      <c r="F1878">
        <f>SUBTOTAL(3,F1826:F1877)</f>
        <v>52</v>
      </c>
    </row>
    <row r="1879" spans="1:6" hidden="1" outlineLevel="2">
      <c r="A1879" t="s">
        <v>6</v>
      </c>
      <c r="B1879" s="1">
        <v>45853.525069444448</v>
      </c>
      <c r="C1879">
        <v>30002</v>
      </c>
      <c r="D1879" t="s">
        <v>7</v>
      </c>
      <c r="E1879" t="s">
        <v>200</v>
      </c>
      <c r="F1879" t="s">
        <v>36</v>
      </c>
    </row>
    <row r="1880" spans="1:6" hidden="1" outlineLevel="2">
      <c r="A1880" t="s">
        <v>6</v>
      </c>
      <c r="B1880" s="1">
        <v>45853.524988425925</v>
      </c>
      <c r="C1880">
        <v>30002</v>
      </c>
      <c r="D1880" t="s">
        <v>7</v>
      </c>
      <c r="E1880" t="s">
        <v>200</v>
      </c>
      <c r="F1880" t="s">
        <v>36</v>
      </c>
    </row>
    <row r="1881" spans="1:6" hidden="1" outlineLevel="2">
      <c r="A1881" t="s">
        <v>6</v>
      </c>
      <c r="B1881" s="1">
        <v>45869.360081018516</v>
      </c>
      <c r="C1881">
        <v>30002</v>
      </c>
      <c r="D1881" t="s">
        <v>7</v>
      </c>
      <c r="E1881" t="s">
        <v>200</v>
      </c>
      <c r="F1881" t="s">
        <v>23</v>
      </c>
    </row>
    <row r="1882" spans="1:6" hidden="1" outlineLevel="2">
      <c r="A1882" t="s">
        <v>6</v>
      </c>
      <c r="B1882" s="1">
        <v>45868.514664351853</v>
      </c>
      <c r="C1882">
        <v>30002</v>
      </c>
      <c r="D1882" t="s">
        <v>7</v>
      </c>
      <c r="E1882" t="s">
        <v>200</v>
      </c>
      <c r="F1882" t="s">
        <v>23</v>
      </c>
    </row>
    <row r="1883" spans="1:6" hidden="1" outlineLevel="2">
      <c r="A1883" t="s">
        <v>6</v>
      </c>
      <c r="B1883" s="1">
        <v>45860.331296296295</v>
      </c>
      <c r="C1883">
        <v>30002</v>
      </c>
      <c r="D1883" t="s">
        <v>7</v>
      </c>
      <c r="E1883" t="s">
        <v>200</v>
      </c>
      <c r="F1883" t="s">
        <v>23</v>
      </c>
    </row>
    <row r="1884" spans="1:6" hidden="1" outlineLevel="2">
      <c r="A1884" t="s">
        <v>6</v>
      </c>
      <c r="B1884" s="1">
        <v>45860.327430555553</v>
      </c>
      <c r="C1884">
        <v>30002</v>
      </c>
      <c r="D1884" t="s">
        <v>7</v>
      </c>
      <c r="E1884" t="s">
        <v>200</v>
      </c>
      <c r="F1884" t="s">
        <v>23</v>
      </c>
    </row>
    <row r="1885" spans="1:6" outlineLevel="1" collapsed="1">
      <c r="B1885" s="1"/>
      <c r="E1885" s="2" t="s">
        <v>360</v>
      </c>
      <c r="F1885">
        <f>SUBTOTAL(3,F1879:F1884)</f>
        <v>6</v>
      </c>
    </row>
    <row r="1886" spans="1:6" hidden="1" outlineLevel="2">
      <c r="A1886" t="s">
        <v>6</v>
      </c>
      <c r="B1886" s="1">
        <v>45853.52171296296</v>
      </c>
      <c r="C1886">
        <v>30002</v>
      </c>
      <c r="D1886" t="s">
        <v>7</v>
      </c>
      <c r="E1886" t="s">
        <v>201</v>
      </c>
      <c r="F1886" t="s">
        <v>36</v>
      </c>
    </row>
    <row r="1887" spans="1:6" outlineLevel="1" collapsed="1">
      <c r="B1887" s="1"/>
      <c r="E1887" s="2" t="s">
        <v>361</v>
      </c>
      <c r="F1887">
        <f>SUBTOTAL(3,F1886:F1886)</f>
        <v>1</v>
      </c>
    </row>
    <row r="1888" spans="1:6" hidden="1" outlineLevel="2">
      <c r="A1888" t="s">
        <v>6</v>
      </c>
      <c r="B1888" s="1">
        <v>45863.248090277775</v>
      </c>
      <c r="C1888">
        <v>30002</v>
      </c>
      <c r="D1888" t="s">
        <v>7</v>
      </c>
      <c r="E1888" t="s">
        <v>202</v>
      </c>
      <c r="F1888" t="s">
        <v>25</v>
      </c>
    </row>
    <row r="1889" spans="1:6" hidden="1" outlineLevel="2">
      <c r="A1889" t="s">
        <v>6</v>
      </c>
      <c r="B1889" s="1">
        <v>45863.244166666664</v>
      </c>
      <c r="C1889">
        <v>30002</v>
      </c>
      <c r="D1889" t="s">
        <v>7</v>
      </c>
      <c r="E1889" t="s">
        <v>202</v>
      </c>
      <c r="F1889" t="s">
        <v>25</v>
      </c>
    </row>
    <row r="1890" spans="1:6" hidden="1" outlineLevel="2">
      <c r="A1890" t="s">
        <v>6</v>
      </c>
      <c r="B1890" s="1">
        <v>45863.243981481479</v>
      </c>
      <c r="C1890">
        <v>30002</v>
      </c>
      <c r="D1890" t="s">
        <v>7</v>
      </c>
      <c r="E1890" t="s">
        <v>202</v>
      </c>
      <c r="F1890" t="s">
        <v>25</v>
      </c>
    </row>
    <row r="1891" spans="1:6" hidden="1" outlineLevel="2">
      <c r="A1891" t="s">
        <v>6</v>
      </c>
      <c r="B1891" s="1">
        <v>45863.243761574071</v>
      </c>
      <c r="C1891">
        <v>30002</v>
      </c>
      <c r="D1891" t="s">
        <v>7</v>
      </c>
      <c r="E1891" t="s">
        <v>202</v>
      </c>
      <c r="F1891" t="s">
        <v>25</v>
      </c>
    </row>
    <row r="1892" spans="1:6" hidden="1" outlineLevel="2">
      <c r="A1892" t="s">
        <v>6</v>
      </c>
      <c r="B1892" s="1">
        <v>45863.243518518517</v>
      </c>
      <c r="C1892">
        <v>30002</v>
      </c>
      <c r="D1892" t="s">
        <v>7</v>
      </c>
      <c r="E1892" t="s">
        <v>202</v>
      </c>
      <c r="F1892" t="s">
        <v>25</v>
      </c>
    </row>
    <row r="1893" spans="1:6" hidden="1" outlineLevel="2">
      <c r="A1893" t="s">
        <v>6</v>
      </c>
      <c r="B1893" s="1">
        <v>45863.243391203701</v>
      </c>
      <c r="C1893">
        <v>30002</v>
      </c>
      <c r="D1893" t="s">
        <v>7</v>
      </c>
      <c r="E1893" t="s">
        <v>202</v>
      </c>
      <c r="F1893" t="s">
        <v>25</v>
      </c>
    </row>
    <row r="1894" spans="1:6" outlineLevel="1" collapsed="1">
      <c r="B1894" s="1"/>
      <c r="E1894" s="2" t="s">
        <v>362</v>
      </c>
      <c r="F1894">
        <f>SUBTOTAL(3,F1888:F1893)</f>
        <v>6</v>
      </c>
    </row>
    <row r="1895" spans="1:6" hidden="1" outlineLevel="2">
      <c r="A1895" t="s">
        <v>6</v>
      </c>
      <c r="B1895" s="1">
        <v>45869.514976851853</v>
      </c>
      <c r="C1895">
        <v>30002</v>
      </c>
      <c r="D1895" t="s">
        <v>7</v>
      </c>
      <c r="E1895" t="s">
        <v>203</v>
      </c>
      <c r="F1895" t="s">
        <v>25</v>
      </c>
    </row>
    <row r="1896" spans="1:6" hidden="1" outlineLevel="2">
      <c r="A1896" t="s">
        <v>6</v>
      </c>
      <c r="B1896" s="1">
        <v>45845.309837962966</v>
      </c>
      <c r="C1896">
        <v>30002</v>
      </c>
      <c r="D1896" t="s">
        <v>7</v>
      </c>
      <c r="E1896" t="s">
        <v>203</v>
      </c>
      <c r="F1896" t="s">
        <v>25</v>
      </c>
    </row>
    <row r="1897" spans="1:6" hidden="1" outlineLevel="2">
      <c r="A1897" t="s">
        <v>6</v>
      </c>
      <c r="B1897" s="1">
        <v>45840.344687500001</v>
      </c>
      <c r="C1897">
        <v>30002</v>
      </c>
      <c r="D1897" t="s">
        <v>7</v>
      </c>
      <c r="E1897" t="s">
        <v>203</v>
      </c>
      <c r="F1897" t="s">
        <v>25</v>
      </c>
    </row>
    <row r="1898" spans="1:6" hidden="1" outlineLevel="2">
      <c r="A1898" t="s">
        <v>6</v>
      </c>
      <c r="B1898" s="1">
        <v>45840.335474537038</v>
      </c>
      <c r="C1898">
        <v>30002</v>
      </c>
      <c r="D1898" t="s">
        <v>7</v>
      </c>
      <c r="E1898" t="s">
        <v>203</v>
      </c>
      <c r="F1898" t="s">
        <v>25</v>
      </c>
    </row>
    <row r="1899" spans="1:6" hidden="1" outlineLevel="2">
      <c r="A1899" t="s">
        <v>6</v>
      </c>
      <c r="B1899" s="1">
        <v>45840.335243055553</v>
      </c>
      <c r="C1899">
        <v>30002</v>
      </c>
      <c r="D1899" t="s">
        <v>7</v>
      </c>
      <c r="E1899" t="s">
        <v>203</v>
      </c>
      <c r="F1899" t="s">
        <v>25</v>
      </c>
    </row>
    <row r="1900" spans="1:6" outlineLevel="1" collapsed="1">
      <c r="B1900" s="1"/>
      <c r="E1900" s="2" t="s">
        <v>363</v>
      </c>
      <c r="F1900">
        <f>SUBTOTAL(3,F1895:F1899)</f>
        <v>5</v>
      </c>
    </row>
    <row r="1901" spans="1:6" hidden="1" outlineLevel="2">
      <c r="A1901" t="s">
        <v>6</v>
      </c>
      <c r="B1901" s="1">
        <v>45840.631944444445</v>
      </c>
      <c r="C1901">
        <v>30002</v>
      </c>
      <c r="D1901" t="s">
        <v>7</v>
      </c>
      <c r="E1901" t="s">
        <v>204</v>
      </c>
      <c r="F1901" t="s">
        <v>27</v>
      </c>
    </row>
    <row r="1902" spans="1:6" hidden="1" outlineLevel="2">
      <c r="A1902" t="s">
        <v>6</v>
      </c>
      <c r="B1902" s="1">
        <v>45840.631655092591</v>
      </c>
      <c r="C1902">
        <v>30002</v>
      </c>
      <c r="D1902" t="s">
        <v>7</v>
      </c>
      <c r="E1902" t="s">
        <v>204</v>
      </c>
      <c r="F1902" t="s">
        <v>27</v>
      </c>
    </row>
    <row r="1903" spans="1:6" outlineLevel="1" collapsed="1">
      <c r="B1903" s="1"/>
      <c r="E1903" s="2" t="s">
        <v>364</v>
      </c>
      <c r="F1903">
        <f>SUBTOTAL(3,F1901:F1902)</f>
        <v>2</v>
      </c>
    </row>
    <row r="1904" spans="1:6" hidden="1" outlineLevel="2">
      <c r="A1904" t="s">
        <v>6</v>
      </c>
      <c r="B1904" s="1">
        <v>45840.633067129631</v>
      </c>
      <c r="C1904">
        <v>30002</v>
      </c>
      <c r="D1904" t="s">
        <v>7</v>
      </c>
      <c r="E1904" t="s">
        <v>205</v>
      </c>
      <c r="F1904" t="s">
        <v>27</v>
      </c>
    </row>
    <row r="1905" spans="1:6" hidden="1" outlineLevel="2">
      <c r="A1905" t="s">
        <v>6</v>
      </c>
      <c r="B1905" s="1">
        <v>45840.632199074076</v>
      </c>
      <c r="C1905">
        <v>30002</v>
      </c>
      <c r="D1905" t="s">
        <v>7</v>
      </c>
      <c r="E1905" t="s">
        <v>205</v>
      </c>
      <c r="F1905" t="s">
        <v>27</v>
      </c>
    </row>
    <row r="1906" spans="1:6" outlineLevel="1" collapsed="1">
      <c r="B1906" s="1"/>
      <c r="E1906" s="2" t="s">
        <v>365</v>
      </c>
      <c r="F1906">
        <f>SUBTOTAL(3,F1904:F1905)</f>
        <v>2</v>
      </c>
    </row>
    <row r="1907" spans="1:6" hidden="1" outlineLevel="2">
      <c r="A1907" t="s">
        <v>6</v>
      </c>
      <c r="B1907" s="1">
        <v>45840.590856481482</v>
      </c>
      <c r="C1907">
        <v>30002</v>
      </c>
      <c r="D1907" t="s">
        <v>7</v>
      </c>
      <c r="E1907" t="s">
        <v>206</v>
      </c>
      <c r="F1907" t="s">
        <v>15</v>
      </c>
    </row>
    <row r="1908" spans="1:6" outlineLevel="1" collapsed="1">
      <c r="B1908" s="1"/>
      <c r="E1908" s="2" t="s">
        <v>366</v>
      </c>
      <c r="F1908">
        <f>SUBTOTAL(3,F1907:F1907)</f>
        <v>1</v>
      </c>
    </row>
    <row r="1909" spans="1:6" hidden="1" outlineLevel="2">
      <c r="A1909" t="s">
        <v>6</v>
      </c>
      <c r="B1909" s="1">
        <v>45868.415000000001</v>
      </c>
      <c r="C1909">
        <v>30002</v>
      </c>
      <c r="D1909" t="s">
        <v>7</v>
      </c>
      <c r="E1909" t="s">
        <v>207</v>
      </c>
      <c r="F1909" t="s">
        <v>208</v>
      </c>
    </row>
    <row r="1910" spans="1:6" hidden="1" outlineLevel="2">
      <c r="A1910" t="s">
        <v>6</v>
      </c>
      <c r="B1910" s="1">
        <v>45861.538530092592</v>
      </c>
      <c r="C1910">
        <v>30002</v>
      </c>
      <c r="D1910" t="s">
        <v>7</v>
      </c>
      <c r="E1910" t="s">
        <v>207</v>
      </c>
      <c r="F1910" t="s">
        <v>208</v>
      </c>
    </row>
    <row r="1911" spans="1:6" outlineLevel="1" collapsed="1">
      <c r="B1911" s="1"/>
      <c r="E1911" s="2" t="s">
        <v>367</v>
      </c>
      <c r="F1911">
        <f>SUBTOTAL(3,F1909:F1910)</f>
        <v>2</v>
      </c>
    </row>
    <row r="1912" spans="1:6" hidden="1" outlineLevel="2">
      <c r="A1912" t="s">
        <v>6</v>
      </c>
      <c r="B1912" s="1">
        <v>45839.609606481485</v>
      </c>
      <c r="C1912">
        <v>30002</v>
      </c>
      <c r="D1912" t="s">
        <v>7</v>
      </c>
      <c r="E1912" t="s">
        <v>209</v>
      </c>
      <c r="F1912" t="s">
        <v>145</v>
      </c>
    </row>
    <row r="1913" spans="1:6" hidden="1" outlineLevel="2">
      <c r="A1913" t="s">
        <v>6</v>
      </c>
      <c r="B1913" s="1">
        <v>45839.608252314814</v>
      </c>
      <c r="C1913">
        <v>30002</v>
      </c>
      <c r="D1913" t="s">
        <v>7</v>
      </c>
      <c r="E1913" t="s">
        <v>209</v>
      </c>
      <c r="F1913" t="s">
        <v>145</v>
      </c>
    </row>
    <row r="1914" spans="1:6" hidden="1" outlineLevel="2">
      <c r="A1914" t="s">
        <v>6</v>
      </c>
      <c r="B1914" s="1">
        <v>45839.607210648152</v>
      </c>
      <c r="C1914">
        <v>30002</v>
      </c>
      <c r="D1914" t="s">
        <v>7</v>
      </c>
      <c r="E1914" t="s">
        <v>209</v>
      </c>
      <c r="F1914" t="s">
        <v>145</v>
      </c>
    </row>
    <row r="1915" spans="1:6" hidden="1" outlineLevel="2">
      <c r="A1915" t="s">
        <v>6</v>
      </c>
      <c r="B1915" s="1">
        <v>45839.604016203702</v>
      </c>
      <c r="C1915">
        <v>30002</v>
      </c>
      <c r="D1915" t="s">
        <v>7</v>
      </c>
      <c r="E1915" t="s">
        <v>209</v>
      </c>
      <c r="F1915" t="s">
        <v>145</v>
      </c>
    </row>
    <row r="1916" spans="1:6" outlineLevel="1" collapsed="1">
      <c r="B1916" s="1"/>
      <c r="E1916" s="2" t="s">
        <v>368</v>
      </c>
      <c r="F1916">
        <f>SUBTOTAL(3,F1912:F1915)</f>
        <v>4</v>
      </c>
    </row>
    <row r="1917" spans="1:6" hidden="1" outlineLevel="2">
      <c r="A1917" t="s">
        <v>6</v>
      </c>
      <c r="B1917" s="1">
        <v>45839.601331018515</v>
      </c>
      <c r="C1917">
        <v>30002</v>
      </c>
      <c r="D1917" t="s">
        <v>7</v>
      </c>
      <c r="E1917" t="s">
        <v>210</v>
      </c>
      <c r="F1917" t="s">
        <v>145</v>
      </c>
    </row>
    <row r="1918" spans="1:6" hidden="1" outlineLevel="2">
      <c r="A1918" t="s">
        <v>6</v>
      </c>
      <c r="B1918" s="1">
        <v>45839.599259259259</v>
      </c>
      <c r="C1918">
        <v>30002</v>
      </c>
      <c r="D1918" t="s">
        <v>7</v>
      </c>
      <c r="E1918" t="s">
        <v>210</v>
      </c>
      <c r="F1918" t="s">
        <v>145</v>
      </c>
    </row>
    <row r="1919" spans="1:6" outlineLevel="1" collapsed="1">
      <c r="B1919" s="1"/>
      <c r="E1919" s="2" t="s">
        <v>369</v>
      </c>
      <c r="F1919">
        <f>SUBTOTAL(3,F1917:F1918)</f>
        <v>2</v>
      </c>
    </row>
    <row r="1920" spans="1:6" hidden="1" outlineLevel="2">
      <c r="A1920" t="s">
        <v>6</v>
      </c>
      <c r="B1920" s="1">
        <v>45839.612187500003</v>
      </c>
      <c r="C1920">
        <v>30002</v>
      </c>
      <c r="D1920" t="s">
        <v>7</v>
      </c>
      <c r="E1920" t="s">
        <v>211</v>
      </c>
      <c r="F1920" t="s">
        <v>145</v>
      </c>
    </row>
    <row r="1921" spans="1:6" outlineLevel="1" collapsed="1">
      <c r="B1921" s="1"/>
      <c r="E1921" s="2" t="s">
        <v>370</v>
      </c>
      <c r="F1921">
        <f>SUBTOTAL(3,F1920:F1920)</f>
        <v>1</v>
      </c>
    </row>
    <row r="1922" spans="1:6" hidden="1" outlineLevel="2">
      <c r="A1922" t="s">
        <v>6</v>
      </c>
      <c r="B1922" s="1">
        <v>45839.616018518522</v>
      </c>
      <c r="C1922">
        <v>30002</v>
      </c>
      <c r="D1922" t="s">
        <v>7</v>
      </c>
      <c r="E1922" t="s">
        <v>212</v>
      </c>
      <c r="F1922" t="s">
        <v>145</v>
      </c>
    </row>
    <row r="1923" spans="1:6" outlineLevel="1" collapsed="1">
      <c r="B1923" s="1"/>
      <c r="E1923" s="2" t="s">
        <v>371</v>
      </c>
      <c r="F1923">
        <f>SUBTOTAL(3,F1922:F1922)</f>
        <v>1</v>
      </c>
    </row>
    <row r="1924" spans="1:6" hidden="1" outlineLevel="2">
      <c r="A1924" t="s">
        <v>6</v>
      </c>
      <c r="B1924" s="1">
        <v>45839.607557870368</v>
      </c>
      <c r="C1924">
        <v>30002</v>
      </c>
      <c r="D1924" t="s">
        <v>7</v>
      </c>
      <c r="E1924" t="s">
        <v>213</v>
      </c>
      <c r="F1924" t="s">
        <v>27</v>
      </c>
    </row>
    <row r="1925" spans="1:6" outlineLevel="1" collapsed="1">
      <c r="B1925" s="1"/>
      <c r="E1925" s="2" t="s">
        <v>372</v>
      </c>
      <c r="F1925">
        <f>SUBTOTAL(3,F1924:F1924)</f>
        <v>1</v>
      </c>
    </row>
    <row r="1926" spans="1:6" hidden="1" outlineLevel="2">
      <c r="A1926" t="s">
        <v>6</v>
      </c>
      <c r="B1926" s="1">
        <v>45839.285937499997</v>
      </c>
      <c r="C1926">
        <v>30002</v>
      </c>
      <c r="D1926" t="s">
        <v>7</v>
      </c>
      <c r="E1926" t="s">
        <v>214</v>
      </c>
      <c r="F1926" t="s">
        <v>97</v>
      </c>
    </row>
    <row r="1927" spans="1:6" hidden="1" outlineLevel="2">
      <c r="A1927" t="s">
        <v>6</v>
      </c>
      <c r="B1927" s="1">
        <v>45839.282673611109</v>
      </c>
      <c r="C1927">
        <v>30002</v>
      </c>
      <c r="D1927" t="s">
        <v>7</v>
      </c>
      <c r="E1927" t="s">
        <v>214</v>
      </c>
      <c r="F1927" t="s">
        <v>97</v>
      </c>
    </row>
    <row r="1928" spans="1:6" outlineLevel="1" collapsed="1">
      <c r="B1928" s="1"/>
      <c r="E1928" s="2" t="s">
        <v>373</v>
      </c>
      <c r="F1928">
        <f>SUBTOTAL(3,F1926:F1927)</f>
        <v>2</v>
      </c>
    </row>
    <row r="1929" spans="1:6" hidden="1" outlineLevel="2">
      <c r="A1929" t="s">
        <v>6</v>
      </c>
      <c r="B1929" s="1">
        <v>45841.330381944441</v>
      </c>
      <c r="C1929">
        <v>30002</v>
      </c>
      <c r="D1929" t="s">
        <v>7</v>
      </c>
      <c r="E1929" t="s">
        <v>215</v>
      </c>
      <c r="F1929" t="s">
        <v>9</v>
      </c>
    </row>
    <row r="1930" spans="1:6" hidden="1" outlineLevel="2">
      <c r="A1930" t="s">
        <v>6</v>
      </c>
      <c r="B1930" s="1">
        <v>45841.329652777778</v>
      </c>
      <c r="C1930">
        <v>30002</v>
      </c>
      <c r="D1930" t="s">
        <v>7</v>
      </c>
      <c r="E1930" t="s">
        <v>215</v>
      </c>
      <c r="F1930" t="s">
        <v>9</v>
      </c>
    </row>
    <row r="1931" spans="1:6" hidden="1" outlineLevel="2">
      <c r="A1931" t="s">
        <v>6</v>
      </c>
      <c r="B1931" s="1">
        <v>45841.325104166666</v>
      </c>
      <c r="C1931">
        <v>30002</v>
      </c>
      <c r="D1931" t="s">
        <v>7</v>
      </c>
      <c r="E1931" t="s">
        <v>215</v>
      </c>
      <c r="F1931" t="s">
        <v>9</v>
      </c>
    </row>
    <row r="1932" spans="1:6" outlineLevel="1" collapsed="1">
      <c r="B1932" s="1"/>
      <c r="E1932" s="2" t="s">
        <v>374</v>
      </c>
      <c r="F1932">
        <f>SUBTOTAL(3,F1929:F1931)</f>
        <v>3</v>
      </c>
    </row>
    <row r="1933" spans="1:6" hidden="1" outlineLevel="2">
      <c r="A1933" t="s">
        <v>6</v>
      </c>
      <c r="B1933" s="1">
        <v>45840.371064814812</v>
      </c>
      <c r="C1933">
        <v>30002</v>
      </c>
      <c r="D1933" t="s">
        <v>7</v>
      </c>
      <c r="E1933" t="s">
        <v>216</v>
      </c>
      <c r="F1933" t="s">
        <v>27</v>
      </c>
    </row>
    <row r="1934" spans="1:6" outlineLevel="1" collapsed="1">
      <c r="B1934" s="1"/>
      <c r="E1934" s="2" t="s">
        <v>375</v>
      </c>
      <c r="F1934">
        <f>SUBTOTAL(3,F1933:F1933)</f>
        <v>1</v>
      </c>
    </row>
    <row r="1935" spans="1:6" hidden="1" outlineLevel="2">
      <c r="A1935" t="s">
        <v>6</v>
      </c>
      <c r="B1935" s="1">
        <v>45840.319351851853</v>
      </c>
      <c r="C1935">
        <v>30002</v>
      </c>
      <c r="D1935" t="s">
        <v>7</v>
      </c>
      <c r="E1935" t="s">
        <v>217</v>
      </c>
      <c r="F1935" t="s">
        <v>11</v>
      </c>
    </row>
    <row r="1936" spans="1:6" outlineLevel="1" collapsed="1">
      <c r="B1936" s="1"/>
      <c r="E1936" s="2" t="s">
        <v>376</v>
      </c>
      <c r="F1936">
        <f>SUBTOTAL(3,F1935:F1935)</f>
        <v>1</v>
      </c>
    </row>
    <row r="1937" spans="1:6" hidden="1" outlineLevel="2">
      <c r="A1937" t="s">
        <v>6</v>
      </c>
      <c r="B1937" s="1">
        <v>45839.581689814811</v>
      </c>
      <c r="C1937">
        <v>30002</v>
      </c>
      <c r="D1937" t="s">
        <v>7</v>
      </c>
      <c r="E1937" t="s">
        <v>218</v>
      </c>
      <c r="F1937" t="s">
        <v>27</v>
      </c>
    </row>
    <row r="1938" spans="1:6" hidden="1" outlineLevel="2">
      <c r="A1938" t="s">
        <v>6</v>
      </c>
      <c r="B1938" s="1">
        <v>45839.469814814816</v>
      </c>
      <c r="C1938">
        <v>30002</v>
      </c>
      <c r="D1938" t="s">
        <v>7</v>
      </c>
      <c r="E1938" t="s">
        <v>218</v>
      </c>
      <c r="F1938" t="s">
        <v>27</v>
      </c>
    </row>
    <row r="1939" spans="1:6" hidden="1" outlineLevel="2">
      <c r="A1939" t="s">
        <v>6</v>
      </c>
      <c r="B1939" s="1">
        <v>45839.465428240743</v>
      </c>
      <c r="C1939">
        <v>30002</v>
      </c>
      <c r="D1939" t="s">
        <v>7</v>
      </c>
      <c r="E1939" t="s">
        <v>218</v>
      </c>
      <c r="F1939" t="s">
        <v>27</v>
      </c>
    </row>
    <row r="1940" spans="1:6" hidden="1" outlineLevel="2">
      <c r="A1940" t="s">
        <v>6</v>
      </c>
      <c r="B1940" s="1">
        <v>45839.465266203704</v>
      </c>
      <c r="C1940">
        <v>30002</v>
      </c>
      <c r="D1940" t="s">
        <v>7</v>
      </c>
      <c r="E1940" t="s">
        <v>218</v>
      </c>
      <c r="F1940" t="s">
        <v>27</v>
      </c>
    </row>
    <row r="1941" spans="1:6" hidden="1" outlineLevel="2">
      <c r="A1941" t="s">
        <v>6</v>
      </c>
      <c r="B1941" s="1">
        <v>45839.34547453704</v>
      </c>
      <c r="C1941">
        <v>30002</v>
      </c>
      <c r="D1941" t="s">
        <v>7</v>
      </c>
      <c r="E1941" t="s">
        <v>218</v>
      </c>
      <c r="F1941" t="s">
        <v>27</v>
      </c>
    </row>
    <row r="1942" spans="1:6" hidden="1" outlineLevel="2">
      <c r="A1942" t="s">
        <v>6</v>
      </c>
      <c r="B1942" s="1">
        <v>45839.342974537038</v>
      </c>
      <c r="C1942">
        <v>30002</v>
      </c>
      <c r="D1942" t="s">
        <v>7</v>
      </c>
      <c r="E1942" t="s">
        <v>218</v>
      </c>
      <c r="F1942" t="s">
        <v>27</v>
      </c>
    </row>
    <row r="1943" spans="1:6" hidden="1" outlineLevel="2">
      <c r="A1943" t="s">
        <v>6</v>
      </c>
      <c r="B1943" s="1">
        <v>45839.340983796297</v>
      </c>
      <c r="C1943">
        <v>30002</v>
      </c>
      <c r="D1943" t="s">
        <v>7</v>
      </c>
      <c r="E1943" t="s">
        <v>218</v>
      </c>
      <c r="F1943" t="s">
        <v>27</v>
      </c>
    </row>
    <row r="1944" spans="1:6" outlineLevel="1" collapsed="1">
      <c r="B1944" s="1"/>
      <c r="E1944" s="2" t="s">
        <v>377</v>
      </c>
      <c r="F1944">
        <f>SUBTOTAL(3,F1937:F1943)</f>
        <v>7</v>
      </c>
    </row>
    <row r="1945" spans="1:6" hidden="1" outlineLevel="2">
      <c r="A1945" t="s">
        <v>6</v>
      </c>
      <c r="B1945" s="1">
        <v>45839.606469907405</v>
      </c>
      <c r="C1945">
        <v>30002</v>
      </c>
      <c r="D1945" t="s">
        <v>7</v>
      </c>
      <c r="E1945" t="s">
        <v>219</v>
      </c>
      <c r="F1945" t="s">
        <v>27</v>
      </c>
    </row>
    <row r="1946" spans="1:6" hidden="1" outlineLevel="2">
      <c r="A1946" t="s">
        <v>6</v>
      </c>
      <c r="B1946" s="1">
        <v>45839.567719907405</v>
      </c>
      <c r="C1946">
        <v>30002</v>
      </c>
      <c r="D1946" t="s">
        <v>7</v>
      </c>
      <c r="E1946" t="s">
        <v>219</v>
      </c>
      <c r="F1946" t="s">
        <v>27</v>
      </c>
    </row>
    <row r="1947" spans="1:6" hidden="1" outlineLevel="2">
      <c r="A1947" t="s">
        <v>6</v>
      </c>
      <c r="B1947" s="1">
        <v>45839.555254629631</v>
      </c>
      <c r="C1947">
        <v>30002</v>
      </c>
      <c r="D1947" t="s">
        <v>7</v>
      </c>
      <c r="E1947" t="s">
        <v>219</v>
      </c>
      <c r="F1947" t="s">
        <v>27</v>
      </c>
    </row>
    <row r="1948" spans="1:6" hidden="1" outlineLevel="2">
      <c r="A1948" t="s">
        <v>6</v>
      </c>
      <c r="B1948" s="1">
        <v>45839.504363425927</v>
      </c>
      <c r="C1948">
        <v>30002</v>
      </c>
      <c r="D1948" t="s">
        <v>7</v>
      </c>
      <c r="E1948" t="s">
        <v>219</v>
      </c>
      <c r="F1948" t="s">
        <v>27</v>
      </c>
    </row>
    <row r="1949" spans="1:6" hidden="1" outlineLevel="2">
      <c r="A1949" t="s">
        <v>6</v>
      </c>
      <c r="B1949" s="1">
        <v>45839.451111111113</v>
      </c>
      <c r="C1949">
        <v>30002</v>
      </c>
      <c r="D1949" t="s">
        <v>7</v>
      </c>
      <c r="E1949" t="s">
        <v>219</v>
      </c>
      <c r="F1949" t="s">
        <v>27</v>
      </c>
    </row>
    <row r="1950" spans="1:6" outlineLevel="1" collapsed="1">
      <c r="B1950" s="1"/>
      <c r="E1950" s="2" t="s">
        <v>378</v>
      </c>
      <c r="F1950">
        <f>SUBTOTAL(3,F1945:F1949)</f>
        <v>5</v>
      </c>
    </row>
    <row r="1951" spans="1:6" hidden="1" outlineLevel="2">
      <c r="A1951" t="s">
        <v>6</v>
      </c>
      <c r="B1951" s="1">
        <v>45869.672847222224</v>
      </c>
      <c r="C1951">
        <v>30002</v>
      </c>
      <c r="D1951" t="s">
        <v>7</v>
      </c>
      <c r="E1951" t="s">
        <v>220</v>
      </c>
      <c r="F1951" t="s">
        <v>27</v>
      </c>
    </row>
    <row r="1952" spans="1:6" hidden="1" outlineLevel="2">
      <c r="A1952" t="s">
        <v>6</v>
      </c>
      <c r="B1952" s="1">
        <v>45869.672303240739</v>
      </c>
      <c r="C1952">
        <v>30002</v>
      </c>
      <c r="D1952" t="s">
        <v>7</v>
      </c>
      <c r="E1952" t="s">
        <v>220</v>
      </c>
      <c r="F1952" t="s">
        <v>27</v>
      </c>
    </row>
    <row r="1953" spans="1:6" hidden="1" outlineLevel="2">
      <c r="A1953" t="s">
        <v>6</v>
      </c>
      <c r="B1953" s="1">
        <v>45869.671793981484</v>
      </c>
      <c r="C1953">
        <v>30002</v>
      </c>
      <c r="D1953" t="s">
        <v>7</v>
      </c>
      <c r="E1953" t="s">
        <v>220</v>
      </c>
      <c r="F1953" t="s">
        <v>27</v>
      </c>
    </row>
    <row r="1954" spans="1:6" hidden="1" outlineLevel="2">
      <c r="A1954" t="s">
        <v>6</v>
      </c>
      <c r="B1954" s="1">
        <v>45869.667523148149</v>
      </c>
      <c r="C1954">
        <v>30002</v>
      </c>
      <c r="D1954" t="s">
        <v>7</v>
      </c>
      <c r="E1954" t="s">
        <v>220</v>
      </c>
      <c r="F1954" t="s">
        <v>27</v>
      </c>
    </row>
    <row r="1955" spans="1:6" hidden="1" outlineLevel="2">
      <c r="A1955" t="s">
        <v>6</v>
      </c>
      <c r="B1955" s="1">
        <v>45866.325740740744</v>
      </c>
      <c r="C1955">
        <v>30002</v>
      </c>
      <c r="D1955" t="s">
        <v>7</v>
      </c>
      <c r="E1955" t="s">
        <v>220</v>
      </c>
      <c r="F1955" t="s">
        <v>27</v>
      </c>
    </row>
    <row r="1956" spans="1:6" hidden="1" outlineLevel="2">
      <c r="A1956" t="s">
        <v>6</v>
      </c>
      <c r="B1956" s="1">
        <v>45839.596817129626</v>
      </c>
      <c r="C1956">
        <v>30002</v>
      </c>
      <c r="D1956" t="s">
        <v>7</v>
      </c>
      <c r="E1956" t="s">
        <v>220</v>
      </c>
      <c r="F1956" t="s">
        <v>27</v>
      </c>
    </row>
    <row r="1957" spans="1:6" hidden="1" outlineLevel="2">
      <c r="A1957" t="s">
        <v>6</v>
      </c>
      <c r="B1957" s="1">
        <v>45839.590474537035</v>
      </c>
      <c r="C1957">
        <v>30002</v>
      </c>
      <c r="D1957" t="s">
        <v>7</v>
      </c>
      <c r="E1957" t="s">
        <v>220</v>
      </c>
      <c r="F1957" t="s">
        <v>27</v>
      </c>
    </row>
    <row r="1958" spans="1:6" hidden="1" outlineLevel="2">
      <c r="A1958" t="s">
        <v>6</v>
      </c>
      <c r="B1958" s="1">
        <v>45839.582291666666</v>
      </c>
      <c r="C1958">
        <v>30002</v>
      </c>
      <c r="D1958" t="s">
        <v>7</v>
      </c>
      <c r="E1958" t="s">
        <v>220</v>
      </c>
      <c r="F1958" t="s">
        <v>27</v>
      </c>
    </row>
    <row r="1959" spans="1:6" hidden="1" outlineLevel="2">
      <c r="A1959" t="s">
        <v>6</v>
      </c>
      <c r="B1959" s="1">
        <v>45839.560185185182</v>
      </c>
      <c r="C1959">
        <v>30002</v>
      </c>
      <c r="D1959" t="s">
        <v>7</v>
      </c>
      <c r="E1959" t="s">
        <v>220</v>
      </c>
      <c r="F1959" t="s">
        <v>27</v>
      </c>
    </row>
    <row r="1960" spans="1:6" hidden="1" outlineLevel="2">
      <c r="A1960" t="s">
        <v>6</v>
      </c>
      <c r="B1960" s="1">
        <v>45839.486712962964</v>
      </c>
      <c r="C1960">
        <v>30002</v>
      </c>
      <c r="D1960" t="s">
        <v>7</v>
      </c>
      <c r="E1960" t="s">
        <v>220</v>
      </c>
      <c r="F1960" t="s">
        <v>27</v>
      </c>
    </row>
    <row r="1961" spans="1:6" hidden="1" outlineLevel="2">
      <c r="A1961" t="s">
        <v>6</v>
      </c>
      <c r="B1961" s="1">
        <v>45839.338541666664</v>
      </c>
      <c r="C1961">
        <v>30002</v>
      </c>
      <c r="D1961" t="s">
        <v>7</v>
      </c>
      <c r="E1961" t="s">
        <v>220</v>
      </c>
      <c r="F1961" t="s">
        <v>27</v>
      </c>
    </row>
    <row r="1962" spans="1:6" outlineLevel="1" collapsed="1">
      <c r="B1962" s="1"/>
      <c r="E1962" s="2" t="s">
        <v>379</v>
      </c>
      <c r="F1962">
        <f>SUBTOTAL(3,F1951:F1961)</f>
        <v>11</v>
      </c>
    </row>
    <row r="1963" spans="1:6" hidden="1" outlineLevel="2">
      <c r="A1963" t="s">
        <v>6</v>
      </c>
      <c r="B1963" s="1">
        <v>45846.581863425927</v>
      </c>
      <c r="C1963">
        <v>30002</v>
      </c>
      <c r="D1963" t="s">
        <v>7</v>
      </c>
      <c r="E1963" t="s">
        <v>221</v>
      </c>
      <c r="F1963" t="s">
        <v>196</v>
      </c>
    </row>
    <row r="1964" spans="1:6" hidden="1" outlineLevel="2">
      <c r="A1964" t="s">
        <v>6</v>
      </c>
      <c r="B1964" s="1">
        <v>45839.456180555557</v>
      </c>
      <c r="C1964">
        <v>30002</v>
      </c>
      <c r="D1964" t="s">
        <v>7</v>
      </c>
      <c r="E1964" t="s">
        <v>221</v>
      </c>
      <c r="F1964" t="s">
        <v>178</v>
      </c>
    </row>
    <row r="1965" spans="1:6" hidden="1" outlineLevel="2">
      <c r="A1965" t="s">
        <v>6</v>
      </c>
      <c r="B1965" s="1">
        <v>45839.447916666664</v>
      </c>
      <c r="C1965">
        <v>30002</v>
      </c>
      <c r="D1965" t="s">
        <v>7</v>
      </c>
      <c r="E1965" t="s">
        <v>221</v>
      </c>
      <c r="F1965" t="s">
        <v>178</v>
      </c>
    </row>
    <row r="1966" spans="1:6" hidden="1" outlineLevel="2">
      <c r="A1966" t="s">
        <v>6</v>
      </c>
      <c r="B1966" s="1">
        <v>45839.447847222225</v>
      </c>
      <c r="C1966">
        <v>30002</v>
      </c>
      <c r="D1966" t="s">
        <v>7</v>
      </c>
      <c r="E1966" t="s">
        <v>221</v>
      </c>
      <c r="F1966" t="s">
        <v>178</v>
      </c>
    </row>
    <row r="1967" spans="1:6" outlineLevel="1" collapsed="1">
      <c r="B1967" s="1"/>
      <c r="E1967" s="2" t="s">
        <v>380</v>
      </c>
      <c r="F1967">
        <f>SUBTOTAL(3,F1963:F1966)</f>
        <v>4</v>
      </c>
    </row>
    <row r="1968" spans="1:6" hidden="1" outlineLevel="2">
      <c r="A1968" t="s">
        <v>6</v>
      </c>
      <c r="B1968" s="1">
        <v>45840.471377314818</v>
      </c>
      <c r="C1968">
        <v>30002</v>
      </c>
      <c r="D1968" t="s">
        <v>7</v>
      </c>
      <c r="E1968" t="s">
        <v>222</v>
      </c>
      <c r="F1968" t="s">
        <v>178</v>
      </c>
    </row>
    <row r="1969" spans="1:6" hidden="1" outlineLevel="2">
      <c r="A1969" t="s">
        <v>6</v>
      </c>
      <c r="B1969" s="1">
        <v>45840.468206018515</v>
      </c>
      <c r="C1969">
        <v>30002</v>
      </c>
      <c r="D1969" t="s">
        <v>7</v>
      </c>
      <c r="E1969" t="s">
        <v>222</v>
      </c>
      <c r="F1969" t="s">
        <v>178</v>
      </c>
    </row>
    <row r="1970" spans="1:6" outlineLevel="1" collapsed="1">
      <c r="B1970" s="1"/>
      <c r="E1970" s="2" t="s">
        <v>381</v>
      </c>
      <c r="F1970">
        <f>SUBTOTAL(3,F1968:F1969)</f>
        <v>2</v>
      </c>
    </row>
    <row r="1971" spans="1:6" hidden="1" outlineLevel="2">
      <c r="A1971" t="s">
        <v>6</v>
      </c>
      <c r="B1971" s="1">
        <v>45852.605416666665</v>
      </c>
      <c r="C1971">
        <v>30002</v>
      </c>
      <c r="D1971" t="s">
        <v>7</v>
      </c>
      <c r="E1971" t="s">
        <v>223</v>
      </c>
      <c r="F1971" t="s">
        <v>9</v>
      </c>
    </row>
    <row r="1972" spans="1:6" outlineLevel="1" collapsed="1">
      <c r="B1972" s="1"/>
      <c r="E1972" s="2" t="s">
        <v>382</v>
      </c>
      <c r="F1972">
        <f>SUBTOTAL(3,F1971:F1971)</f>
        <v>1</v>
      </c>
    </row>
    <row r="1973" spans="1:6" hidden="1" outlineLevel="2">
      <c r="A1973" t="s">
        <v>6</v>
      </c>
      <c r="B1973" s="1">
        <v>45869.385567129626</v>
      </c>
      <c r="C1973">
        <v>30002</v>
      </c>
      <c r="D1973" t="s">
        <v>7</v>
      </c>
      <c r="E1973" t="s">
        <v>224</v>
      </c>
      <c r="F1973" t="s">
        <v>13</v>
      </c>
    </row>
    <row r="1974" spans="1:6" hidden="1" outlineLevel="2">
      <c r="A1974" t="s">
        <v>6</v>
      </c>
      <c r="B1974" s="1">
        <v>45869.377824074072</v>
      </c>
      <c r="C1974">
        <v>30002</v>
      </c>
      <c r="D1974" t="s">
        <v>7</v>
      </c>
      <c r="E1974" t="s">
        <v>224</v>
      </c>
      <c r="F1974" t="s">
        <v>13</v>
      </c>
    </row>
    <row r="1975" spans="1:6" outlineLevel="1" collapsed="1">
      <c r="B1975" s="1"/>
      <c r="E1975" s="2" t="s">
        <v>383</v>
      </c>
      <c r="F1975">
        <f>SUBTOTAL(3,F1973:F1974)</f>
        <v>2</v>
      </c>
    </row>
    <row r="1976" spans="1:6" hidden="1" outlineLevel="2">
      <c r="A1976" t="s">
        <v>6</v>
      </c>
      <c r="B1976" s="1">
        <v>45869.335879629631</v>
      </c>
      <c r="C1976">
        <v>30002</v>
      </c>
      <c r="D1976" t="s">
        <v>7</v>
      </c>
      <c r="E1976" t="s">
        <v>225</v>
      </c>
      <c r="F1976" t="s">
        <v>27</v>
      </c>
    </row>
    <row r="1977" spans="1:6" hidden="1" outlineLevel="2">
      <c r="A1977" t="s">
        <v>6</v>
      </c>
      <c r="B1977" s="1">
        <v>45868.378842592596</v>
      </c>
      <c r="C1977">
        <v>30002</v>
      </c>
      <c r="D1977" t="s">
        <v>7</v>
      </c>
      <c r="E1977" t="s">
        <v>225</v>
      </c>
      <c r="F1977" t="s">
        <v>27</v>
      </c>
    </row>
    <row r="1978" spans="1:6" hidden="1" outlineLevel="2">
      <c r="A1978" t="s">
        <v>6</v>
      </c>
      <c r="B1978" s="1">
        <v>45866.317418981482</v>
      </c>
      <c r="C1978">
        <v>30002</v>
      </c>
      <c r="D1978" t="s">
        <v>7</v>
      </c>
      <c r="E1978" t="s">
        <v>225</v>
      </c>
      <c r="F1978" t="s">
        <v>27</v>
      </c>
    </row>
    <row r="1979" spans="1:6" hidden="1" outlineLevel="2">
      <c r="A1979" t="s">
        <v>6</v>
      </c>
      <c r="B1979" s="1">
        <v>45866.316828703704</v>
      </c>
      <c r="C1979">
        <v>30002</v>
      </c>
      <c r="D1979" t="s">
        <v>7</v>
      </c>
      <c r="E1979" t="s">
        <v>225</v>
      </c>
      <c r="F1979" t="s">
        <v>27</v>
      </c>
    </row>
    <row r="1980" spans="1:6" hidden="1" outlineLevel="2">
      <c r="A1980" t="s">
        <v>6</v>
      </c>
      <c r="B1980" s="1">
        <v>45839.547465277778</v>
      </c>
      <c r="C1980">
        <v>30002</v>
      </c>
      <c r="D1980" t="s">
        <v>7</v>
      </c>
      <c r="E1980" t="s">
        <v>225</v>
      </c>
      <c r="F1980" t="s">
        <v>27</v>
      </c>
    </row>
    <row r="1981" spans="1:6" hidden="1" outlineLevel="2">
      <c r="A1981" t="s">
        <v>6</v>
      </c>
      <c r="B1981" s="1">
        <v>45839.544212962966</v>
      </c>
      <c r="C1981">
        <v>30002</v>
      </c>
      <c r="D1981" t="s">
        <v>7</v>
      </c>
      <c r="E1981" t="s">
        <v>225</v>
      </c>
      <c r="F1981" t="s">
        <v>27</v>
      </c>
    </row>
    <row r="1982" spans="1:6" hidden="1" outlineLevel="2">
      <c r="A1982" t="s">
        <v>6</v>
      </c>
      <c r="B1982" s="1">
        <v>45839.490069444444</v>
      </c>
      <c r="C1982">
        <v>30002</v>
      </c>
      <c r="D1982" t="s">
        <v>7</v>
      </c>
      <c r="E1982" t="s">
        <v>225</v>
      </c>
      <c r="F1982" t="s">
        <v>27</v>
      </c>
    </row>
    <row r="1983" spans="1:6" hidden="1" outlineLevel="2">
      <c r="A1983" t="s">
        <v>6</v>
      </c>
      <c r="B1983" s="1">
        <v>45839.487719907411</v>
      </c>
      <c r="C1983">
        <v>30002</v>
      </c>
      <c r="D1983" t="s">
        <v>7</v>
      </c>
      <c r="E1983" t="s">
        <v>225</v>
      </c>
      <c r="F1983" t="s">
        <v>27</v>
      </c>
    </row>
    <row r="1984" spans="1:6" hidden="1" outlineLevel="2">
      <c r="A1984" t="s">
        <v>6</v>
      </c>
      <c r="B1984" s="1">
        <v>45839.487708333334</v>
      </c>
      <c r="C1984">
        <v>30002</v>
      </c>
      <c r="D1984" t="s">
        <v>7</v>
      </c>
      <c r="E1984" t="s">
        <v>225</v>
      </c>
      <c r="F1984" t="s">
        <v>27</v>
      </c>
    </row>
    <row r="1985" spans="1:6" hidden="1" outlineLevel="2">
      <c r="A1985" t="s">
        <v>6</v>
      </c>
      <c r="B1985" s="1">
        <v>45839.482905092591</v>
      </c>
      <c r="C1985">
        <v>30002</v>
      </c>
      <c r="D1985" t="s">
        <v>7</v>
      </c>
      <c r="E1985" t="s">
        <v>225</v>
      </c>
      <c r="F1985" t="s">
        <v>27</v>
      </c>
    </row>
    <row r="1986" spans="1:6" hidden="1" outlineLevel="2">
      <c r="A1986" t="s">
        <v>6</v>
      </c>
      <c r="B1986" s="1">
        <v>45839.479745370372</v>
      </c>
      <c r="C1986">
        <v>30002</v>
      </c>
      <c r="D1986" t="s">
        <v>7</v>
      </c>
      <c r="E1986" t="s">
        <v>225</v>
      </c>
      <c r="F1986" t="s">
        <v>27</v>
      </c>
    </row>
    <row r="1987" spans="1:6" hidden="1" outlineLevel="2">
      <c r="A1987" t="s">
        <v>6</v>
      </c>
      <c r="B1987" s="1">
        <v>45839.460659722223</v>
      </c>
      <c r="C1987">
        <v>30002</v>
      </c>
      <c r="D1987" t="s">
        <v>7</v>
      </c>
      <c r="E1987" t="s">
        <v>225</v>
      </c>
      <c r="F1987" t="s">
        <v>27</v>
      </c>
    </row>
    <row r="1988" spans="1:6" hidden="1" outlineLevel="2">
      <c r="A1988" t="s">
        <v>6</v>
      </c>
      <c r="B1988" s="1">
        <v>45839.46056712963</v>
      </c>
      <c r="C1988">
        <v>30002</v>
      </c>
      <c r="D1988" t="s">
        <v>7</v>
      </c>
      <c r="E1988" t="s">
        <v>225</v>
      </c>
      <c r="F1988" t="s">
        <v>27</v>
      </c>
    </row>
    <row r="1989" spans="1:6" hidden="1" outlineLevel="2">
      <c r="A1989" t="s">
        <v>6</v>
      </c>
      <c r="B1989" s="1">
        <v>45839.458819444444</v>
      </c>
      <c r="C1989">
        <v>30002</v>
      </c>
      <c r="D1989" t="s">
        <v>7</v>
      </c>
      <c r="E1989" t="s">
        <v>225</v>
      </c>
      <c r="F1989" t="s">
        <v>27</v>
      </c>
    </row>
    <row r="1990" spans="1:6" hidden="1" outlineLevel="2">
      <c r="A1990" t="s">
        <v>6</v>
      </c>
      <c r="B1990" s="1">
        <v>45839.452094907407</v>
      </c>
      <c r="C1990">
        <v>30002</v>
      </c>
      <c r="D1990" t="s">
        <v>7</v>
      </c>
      <c r="E1990" t="s">
        <v>225</v>
      </c>
      <c r="F1990" t="s">
        <v>27</v>
      </c>
    </row>
    <row r="1991" spans="1:6" hidden="1" outlineLevel="2">
      <c r="A1991" t="s">
        <v>6</v>
      </c>
      <c r="B1991" s="1">
        <v>45839.451956018522</v>
      </c>
      <c r="C1991">
        <v>30002</v>
      </c>
      <c r="D1991" t="s">
        <v>7</v>
      </c>
      <c r="E1991" t="s">
        <v>225</v>
      </c>
      <c r="F1991" t="s">
        <v>27</v>
      </c>
    </row>
    <row r="1992" spans="1:6" hidden="1" outlineLevel="2">
      <c r="A1992" t="s">
        <v>6</v>
      </c>
      <c r="B1992" s="1">
        <v>45839.440185185187</v>
      </c>
      <c r="C1992">
        <v>30002</v>
      </c>
      <c r="D1992" t="s">
        <v>7</v>
      </c>
      <c r="E1992" t="s">
        <v>225</v>
      </c>
      <c r="F1992" t="s">
        <v>27</v>
      </c>
    </row>
    <row r="1993" spans="1:6" hidden="1" outlineLevel="2">
      <c r="A1993" t="s">
        <v>6</v>
      </c>
      <c r="B1993" s="1">
        <v>45839.43949074074</v>
      </c>
      <c r="C1993">
        <v>30002</v>
      </c>
      <c r="D1993" t="s">
        <v>7</v>
      </c>
      <c r="E1993" t="s">
        <v>225</v>
      </c>
      <c r="F1993" t="s">
        <v>27</v>
      </c>
    </row>
    <row r="1994" spans="1:6" hidden="1" outlineLevel="2">
      <c r="A1994" t="s">
        <v>6</v>
      </c>
      <c r="B1994" s="1">
        <v>45839.438576388886</v>
      </c>
      <c r="C1994">
        <v>30002</v>
      </c>
      <c r="D1994" t="s">
        <v>7</v>
      </c>
      <c r="E1994" t="s">
        <v>225</v>
      </c>
      <c r="F1994" t="s">
        <v>27</v>
      </c>
    </row>
    <row r="1995" spans="1:6" hidden="1" outlineLevel="2">
      <c r="A1995" t="s">
        <v>6</v>
      </c>
      <c r="B1995" s="1">
        <v>45839.435949074075</v>
      </c>
      <c r="C1995">
        <v>30002</v>
      </c>
      <c r="D1995" t="s">
        <v>7</v>
      </c>
      <c r="E1995" t="s">
        <v>225</v>
      </c>
      <c r="F1995" t="s">
        <v>27</v>
      </c>
    </row>
    <row r="1996" spans="1:6" hidden="1" outlineLevel="2">
      <c r="A1996" t="s">
        <v>6</v>
      </c>
      <c r="B1996" s="1">
        <v>45839.435937499999</v>
      </c>
      <c r="C1996">
        <v>30002</v>
      </c>
      <c r="D1996" t="s">
        <v>7</v>
      </c>
      <c r="E1996" t="s">
        <v>225</v>
      </c>
      <c r="F1996" t="s">
        <v>27</v>
      </c>
    </row>
    <row r="1997" spans="1:6" hidden="1" outlineLevel="2">
      <c r="A1997" t="s">
        <v>6</v>
      </c>
      <c r="B1997" s="1">
        <v>45839.435914351852</v>
      </c>
      <c r="C1997">
        <v>30002</v>
      </c>
      <c r="D1997" t="s">
        <v>7</v>
      </c>
      <c r="E1997" t="s">
        <v>225</v>
      </c>
      <c r="F1997" t="s">
        <v>27</v>
      </c>
    </row>
    <row r="1998" spans="1:6" hidden="1" outlineLevel="2">
      <c r="A1998" t="s">
        <v>6</v>
      </c>
      <c r="B1998" s="1">
        <v>45839.435868055552</v>
      </c>
      <c r="C1998">
        <v>30002</v>
      </c>
      <c r="D1998" t="s">
        <v>7</v>
      </c>
      <c r="E1998" t="s">
        <v>225</v>
      </c>
      <c r="F1998" t="s">
        <v>27</v>
      </c>
    </row>
    <row r="1999" spans="1:6" hidden="1" outlineLevel="2">
      <c r="A1999" t="s">
        <v>6</v>
      </c>
      <c r="B1999" s="1">
        <v>45839.435856481483</v>
      </c>
      <c r="C1999">
        <v>30002</v>
      </c>
      <c r="D1999" t="s">
        <v>7</v>
      </c>
      <c r="E1999" t="s">
        <v>225</v>
      </c>
      <c r="F1999" t="s">
        <v>27</v>
      </c>
    </row>
    <row r="2000" spans="1:6" hidden="1" outlineLevel="2">
      <c r="A2000" t="s">
        <v>6</v>
      </c>
      <c r="B2000" s="1">
        <v>45839.410590277781</v>
      </c>
      <c r="C2000">
        <v>30002</v>
      </c>
      <c r="D2000" t="s">
        <v>7</v>
      </c>
      <c r="E2000" t="s">
        <v>225</v>
      </c>
      <c r="F2000" t="s">
        <v>27</v>
      </c>
    </row>
    <row r="2001" spans="1:6" hidden="1" outlineLevel="2">
      <c r="A2001" t="s">
        <v>6</v>
      </c>
      <c r="B2001" s="1">
        <v>45839.402696759258</v>
      </c>
      <c r="C2001">
        <v>30002</v>
      </c>
      <c r="D2001" t="s">
        <v>7</v>
      </c>
      <c r="E2001" t="s">
        <v>225</v>
      </c>
      <c r="F2001" t="s">
        <v>27</v>
      </c>
    </row>
    <row r="2002" spans="1:6" hidden="1" outlineLevel="2">
      <c r="A2002" t="s">
        <v>6</v>
      </c>
      <c r="B2002" s="1">
        <v>45839.338356481479</v>
      </c>
      <c r="C2002">
        <v>30002</v>
      </c>
      <c r="D2002" t="s">
        <v>7</v>
      </c>
      <c r="E2002" t="s">
        <v>225</v>
      </c>
      <c r="F2002" t="s">
        <v>27</v>
      </c>
    </row>
    <row r="2003" spans="1:6" hidden="1" outlineLevel="2">
      <c r="A2003" t="s">
        <v>6</v>
      </c>
      <c r="B2003" s="1">
        <v>45839.337245370371</v>
      </c>
      <c r="C2003">
        <v>30002</v>
      </c>
      <c r="D2003" t="s">
        <v>7</v>
      </c>
      <c r="E2003" t="s">
        <v>225</v>
      </c>
      <c r="F2003" t="s">
        <v>27</v>
      </c>
    </row>
    <row r="2004" spans="1:6" outlineLevel="1" collapsed="1">
      <c r="B2004" s="1"/>
      <c r="E2004" s="2" t="s">
        <v>384</v>
      </c>
      <c r="F2004">
        <f>SUBTOTAL(3,F1976:F2003)</f>
        <v>28</v>
      </c>
    </row>
    <row r="2005" spans="1:6" hidden="1" outlineLevel="2">
      <c r="A2005" t="s">
        <v>6</v>
      </c>
      <c r="B2005" s="1">
        <v>45862.574340277781</v>
      </c>
      <c r="C2005">
        <v>30002</v>
      </c>
      <c r="D2005" t="s">
        <v>7</v>
      </c>
      <c r="E2005" t="s">
        <v>226</v>
      </c>
      <c r="F2005" t="s">
        <v>19</v>
      </c>
    </row>
    <row r="2006" spans="1:6" outlineLevel="1" collapsed="1">
      <c r="B2006" s="1"/>
      <c r="E2006" s="2" t="s">
        <v>385</v>
      </c>
      <c r="F2006">
        <f>SUBTOTAL(3,F2005:F2005)</f>
        <v>1</v>
      </c>
    </row>
    <row r="2007" spans="1:6" hidden="1" outlineLevel="2">
      <c r="A2007" t="s">
        <v>6</v>
      </c>
      <c r="B2007" s="1">
        <v>45847.574062500003</v>
      </c>
      <c r="C2007">
        <v>30002</v>
      </c>
      <c r="D2007" t="s">
        <v>7</v>
      </c>
      <c r="E2007" t="s">
        <v>227</v>
      </c>
      <c r="F2007" t="s">
        <v>178</v>
      </c>
    </row>
    <row r="2008" spans="1:6" hidden="1" outlineLevel="2">
      <c r="A2008" t="s">
        <v>6</v>
      </c>
      <c r="B2008" s="1">
        <v>45847.573819444442</v>
      </c>
      <c r="C2008">
        <v>30002</v>
      </c>
      <c r="D2008" t="s">
        <v>7</v>
      </c>
      <c r="E2008" t="s">
        <v>227</v>
      </c>
      <c r="F2008" t="s">
        <v>178</v>
      </c>
    </row>
    <row r="2009" spans="1:6" hidden="1" outlineLevel="2">
      <c r="A2009" t="s">
        <v>6</v>
      </c>
      <c r="B2009" s="1">
        <v>45839.495659722219</v>
      </c>
      <c r="C2009">
        <v>30002</v>
      </c>
      <c r="D2009" t="s">
        <v>7</v>
      </c>
      <c r="E2009" t="s">
        <v>227</v>
      </c>
      <c r="F2009" t="s">
        <v>178</v>
      </c>
    </row>
    <row r="2010" spans="1:6" hidden="1" outlineLevel="2">
      <c r="A2010" t="s">
        <v>6</v>
      </c>
      <c r="B2010" s="1">
        <v>45839.493726851855</v>
      </c>
      <c r="C2010">
        <v>30002</v>
      </c>
      <c r="D2010" t="s">
        <v>7</v>
      </c>
      <c r="E2010" t="s">
        <v>227</v>
      </c>
      <c r="F2010" t="s">
        <v>178</v>
      </c>
    </row>
    <row r="2011" spans="1:6" hidden="1" outlineLevel="2">
      <c r="A2011" t="s">
        <v>6</v>
      </c>
      <c r="B2011" s="1">
        <v>45839.492615740739</v>
      </c>
      <c r="C2011">
        <v>30002</v>
      </c>
      <c r="D2011" t="s">
        <v>7</v>
      </c>
      <c r="E2011" t="s">
        <v>227</v>
      </c>
      <c r="F2011" t="s">
        <v>178</v>
      </c>
    </row>
    <row r="2012" spans="1:6" hidden="1" outlineLevel="2">
      <c r="A2012" t="s">
        <v>6</v>
      </c>
      <c r="B2012" s="1">
        <v>45839.456319444442</v>
      </c>
      <c r="C2012">
        <v>30002</v>
      </c>
      <c r="D2012" t="s">
        <v>7</v>
      </c>
      <c r="E2012" t="s">
        <v>227</v>
      </c>
      <c r="F2012" t="s">
        <v>178</v>
      </c>
    </row>
    <row r="2013" spans="1:6" hidden="1" outlineLevel="2">
      <c r="A2013" t="s">
        <v>6</v>
      </c>
      <c r="B2013" s="1">
        <v>45869.652060185188</v>
      </c>
      <c r="C2013">
        <v>30002</v>
      </c>
      <c r="D2013" t="s">
        <v>7</v>
      </c>
      <c r="E2013" t="s">
        <v>227</v>
      </c>
      <c r="F2013" t="s">
        <v>54</v>
      </c>
    </row>
    <row r="2014" spans="1:6" hidden="1" outlineLevel="2">
      <c r="A2014" t="s">
        <v>6</v>
      </c>
      <c r="B2014" s="1">
        <v>45868.645312499997</v>
      </c>
      <c r="C2014">
        <v>30002</v>
      </c>
      <c r="D2014" t="s">
        <v>7</v>
      </c>
      <c r="E2014" t="s">
        <v>227</v>
      </c>
      <c r="F2014" t="s">
        <v>54</v>
      </c>
    </row>
    <row r="2015" spans="1:6" hidden="1" outlineLevel="2">
      <c r="A2015" t="s">
        <v>6</v>
      </c>
      <c r="B2015" s="1">
        <v>45868.645138888889</v>
      </c>
      <c r="C2015">
        <v>30002</v>
      </c>
      <c r="D2015" t="s">
        <v>7</v>
      </c>
      <c r="E2015" t="s">
        <v>227</v>
      </c>
      <c r="F2015" t="s">
        <v>54</v>
      </c>
    </row>
    <row r="2016" spans="1:6" hidden="1" outlineLevel="2">
      <c r="A2016" t="s">
        <v>6</v>
      </c>
      <c r="B2016" s="1">
        <v>45868.644756944443</v>
      </c>
      <c r="C2016">
        <v>30002</v>
      </c>
      <c r="D2016" t="s">
        <v>7</v>
      </c>
      <c r="E2016" t="s">
        <v>227</v>
      </c>
      <c r="F2016" t="s">
        <v>54</v>
      </c>
    </row>
    <row r="2017" spans="1:6" hidden="1" outlineLevel="2">
      <c r="A2017" t="s">
        <v>6</v>
      </c>
      <c r="B2017" s="1">
        <v>45866.496157407404</v>
      </c>
      <c r="C2017">
        <v>30002</v>
      </c>
      <c r="D2017" t="s">
        <v>7</v>
      </c>
      <c r="E2017" t="s">
        <v>227</v>
      </c>
      <c r="F2017" t="s">
        <v>54</v>
      </c>
    </row>
    <row r="2018" spans="1:6" hidden="1" outlineLevel="2">
      <c r="A2018" t="s">
        <v>6</v>
      </c>
      <c r="B2018" s="1">
        <v>45866.477476851855</v>
      </c>
      <c r="C2018">
        <v>30002</v>
      </c>
      <c r="D2018" t="s">
        <v>7</v>
      </c>
      <c r="E2018" t="s">
        <v>227</v>
      </c>
      <c r="F2018" t="s">
        <v>54</v>
      </c>
    </row>
    <row r="2019" spans="1:6" hidden="1" outlineLevel="2">
      <c r="A2019" t="s">
        <v>6</v>
      </c>
      <c r="B2019" s="1">
        <v>45860.647129629629</v>
      </c>
      <c r="C2019">
        <v>30002</v>
      </c>
      <c r="D2019" t="s">
        <v>7</v>
      </c>
      <c r="E2019" t="s">
        <v>227</v>
      </c>
      <c r="F2019" t="s">
        <v>54</v>
      </c>
    </row>
    <row r="2020" spans="1:6" hidden="1" outlineLevel="2">
      <c r="A2020" t="s">
        <v>6</v>
      </c>
      <c r="B2020" s="1">
        <v>45840.513287037036</v>
      </c>
      <c r="C2020">
        <v>30002</v>
      </c>
      <c r="D2020" t="s">
        <v>7</v>
      </c>
      <c r="E2020" t="s">
        <v>227</v>
      </c>
      <c r="F2020" t="s">
        <v>54</v>
      </c>
    </row>
    <row r="2021" spans="1:6" outlineLevel="1" collapsed="1">
      <c r="B2021" s="1"/>
      <c r="E2021" s="2" t="s">
        <v>386</v>
      </c>
      <c r="F2021">
        <f>SUBTOTAL(3,F2007:F2020)</f>
        <v>14</v>
      </c>
    </row>
    <row r="2022" spans="1:6" hidden="1" outlineLevel="2">
      <c r="A2022" t="s">
        <v>6</v>
      </c>
      <c r="B2022" s="1">
        <v>45854.604872685188</v>
      </c>
      <c r="C2022">
        <v>30002</v>
      </c>
      <c r="D2022" t="s">
        <v>7</v>
      </c>
      <c r="E2022" t="s">
        <v>228</v>
      </c>
      <c r="F2022" t="s">
        <v>9</v>
      </c>
    </row>
    <row r="2023" spans="1:6" hidden="1" outlineLevel="2">
      <c r="A2023" t="s">
        <v>6</v>
      </c>
      <c r="B2023" s="1">
        <v>45841.366493055553</v>
      </c>
      <c r="C2023">
        <v>30002</v>
      </c>
      <c r="D2023" t="s">
        <v>7</v>
      </c>
      <c r="E2023" t="s">
        <v>228</v>
      </c>
      <c r="F2023" t="s">
        <v>9</v>
      </c>
    </row>
    <row r="2024" spans="1:6" hidden="1" outlineLevel="2">
      <c r="A2024" t="s">
        <v>6</v>
      </c>
      <c r="B2024" s="1">
        <v>45841.365057870367</v>
      </c>
      <c r="C2024">
        <v>30002</v>
      </c>
      <c r="D2024" t="s">
        <v>7</v>
      </c>
      <c r="E2024" t="s">
        <v>228</v>
      </c>
      <c r="F2024" t="s">
        <v>9</v>
      </c>
    </row>
    <row r="2025" spans="1:6" hidden="1" outlineLevel="2">
      <c r="A2025" t="s">
        <v>6</v>
      </c>
      <c r="B2025" s="1">
        <v>45839.420335648145</v>
      </c>
      <c r="C2025">
        <v>30002</v>
      </c>
      <c r="D2025" t="s">
        <v>7</v>
      </c>
      <c r="E2025" t="s">
        <v>228</v>
      </c>
      <c r="F2025" t="s">
        <v>9</v>
      </c>
    </row>
    <row r="2026" spans="1:6" hidden="1" outlineLevel="2">
      <c r="A2026" t="s">
        <v>6</v>
      </c>
      <c r="B2026" s="1">
        <v>45839.414560185185</v>
      </c>
      <c r="C2026">
        <v>30002</v>
      </c>
      <c r="D2026" t="s">
        <v>7</v>
      </c>
      <c r="E2026" t="s">
        <v>228</v>
      </c>
      <c r="F2026" t="s">
        <v>9</v>
      </c>
    </row>
    <row r="2027" spans="1:6" outlineLevel="1" collapsed="1">
      <c r="B2027" s="1"/>
      <c r="E2027" s="2" t="s">
        <v>387</v>
      </c>
      <c r="F2027">
        <f>SUBTOTAL(3,F2022:F2026)</f>
        <v>5</v>
      </c>
    </row>
    <row r="2028" spans="1:6">
      <c r="B2028" s="1"/>
      <c r="E2028" s="2" t="s">
        <v>388</v>
      </c>
      <c r="F2028">
        <f>SUBTOTAL(3,F2:F2026)</f>
        <v>1868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09987-ACAC-4518-9FD5-53E3259C7624}">
  <sheetPr>
    <tabColor theme="6"/>
  </sheetPr>
  <dimension ref="A1:AF76"/>
  <sheetViews>
    <sheetView zoomScale="82" zoomScaleNormal="82" workbookViewId="0">
      <selection activeCell="C29" sqref="C29"/>
    </sheetView>
  </sheetViews>
  <sheetFormatPr defaultRowHeight="15"/>
  <cols>
    <col min="1" max="1" width="16" style="36" bestFit="1" customWidth="1"/>
    <col min="2" max="2" width="14.42578125" style="36" bestFit="1" customWidth="1"/>
    <col min="3" max="3" width="48.42578125" style="36" bestFit="1" customWidth="1"/>
    <col min="4" max="5" width="20.5703125" style="36" customWidth="1"/>
    <col min="6" max="6" width="19.85546875" style="36" customWidth="1"/>
    <col min="7" max="7" width="116.28515625" style="36" bestFit="1" customWidth="1"/>
    <col min="8" max="8" width="24.28515625" style="36" customWidth="1"/>
    <col min="9" max="23" width="14.42578125" style="36" customWidth="1"/>
    <col min="24" max="24" width="11.85546875" style="35" bestFit="1" customWidth="1"/>
    <col min="25" max="25" width="11.28515625" style="35" bestFit="1" customWidth="1"/>
    <col min="26" max="26" width="15.85546875" style="36" bestFit="1" customWidth="1"/>
    <col min="27" max="27" width="30.28515625" style="36" customWidth="1"/>
    <col min="28" max="28" width="16.85546875" style="36" bestFit="1" customWidth="1"/>
    <col min="29" max="29" width="49" style="36" bestFit="1" customWidth="1"/>
    <col min="30" max="30" width="53.7109375" style="36" customWidth="1"/>
    <col min="31" max="31" width="45.28515625" style="36" customWidth="1"/>
    <col min="32" max="32" width="10.42578125" style="36" customWidth="1"/>
    <col min="33" max="33" width="42" style="36" bestFit="1" customWidth="1"/>
    <col min="34" max="34" width="52.28515625" style="36" bestFit="1" customWidth="1"/>
    <col min="35" max="16384" width="9.140625" style="36"/>
  </cols>
  <sheetData>
    <row r="1" spans="1:32">
      <c r="A1" s="32" t="s">
        <v>389</v>
      </c>
      <c r="B1" s="33" t="s">
        <v>390</v>
      </c>
      <c r="C1" s="34" t="s">
        <v>391</v>
      </c>
      <c r="D1" s="34" t="s">
        <v>392</v>
      </c>
      <c r="E1" s="34" t="s">
        <v>393</v>
      </c>
      <c r="F1" s="34" t="s">
        <v>394</v>
      </c>
      <c r="G1" s="34" t="s">
        <v>395</v>
      </c>
      <c r="H1" s="34" t="s">
        <v>396</v>
      </c>
      <c r="I1" s="34" t="s">
        <v>397</v>
      </c>
      <c r="J1" s="34" t="s">
        <v>398</v>
      </c>
      <c r="K1" s="34" t="s">
        <v>399</v>
      </c>
      <c r="L1" s="34" t="s">
        <v>400</v>
      </c>
      <c r="M1" s="34" t="s">
        <v>401</v>
      </c>
      <c r="N1" s="34" t="s">
        <v>402</v>
      </c>
      <c r="O1" s="34" t="s">
        <v>403</v>
      </c>
      <c r="P1" s="34" t="s">
        <v>404</v>
      </c>
      <c r="Q1" s="34" t="s">
        <v>405</v>
      </c>
      <c r="R1" s="34" t="s">
        <v>406</v>
      </c>
      <c r="S1" s="34" t="s">
        <v>407</v>
      </c>
      <c r="T1" s="34" t="s">
        <v>408</v>
      </c>
      <c r="U1" s="34" t="s">
        <v>409</v>
      </c>
      <c r="V1" s="34" t="s">
        <v>410</v>
      </c>
      <c r="W1" s="34" t="s">
        <v>411</v>
      </c>
      <c r="X1" s="34" t="s">
        <v>412</v>
      </c>
      <c r="Y1" s="35" t="s">
        <v>413</v>
      </c>
      <c r="Z1" s="35" t="s">
        <v>414</v>
      </c>
      <c r="AA1" s="36" t="s">
        <v>415</v>
      </c>
      <c r="AB1" s="36" t="s">
        <v>416</v>
      </c>
      <c r="AC1" s="36" t="s">
        <v>417</v>
      </c>
      <c r="AD1" s="36" t="s">
        <v>418</v>
      </c>
      <c r="AE1" s="37" t="s">
        <v>419</v>
      </c>
      <c r="AF1" s="36" t="s">
        <v>420</v>
      </c>
    </row>
    <row r="2" spans="1:32">
      <c r="A2" s="38">
        <v>1</v>
      </c>
      <c r="B2" s="38" t="s">
        <v>421</v>
      </c>
      <c r="C2" s="38" t="s">
        <v>422</v>
      </c>
      <c r="D2" s="38" t="s">
        <v>423</v>
      </c>
      <c r="E2" s="38" t="s">
        <v>424</v>
      </c>
      <c r="F2" s="38"/>
      <c r="G2" s="38" t="str" cm="1">
        <f t="array" ref="G2">_xlfn.TEXTJOIN(",",TRUE,IF(I2:X2&lt;&gt;"",D2&amp;I2:X2,""))</f>
        <v>PDDOCO,PDDCTO,PDKCOO,PDSFXO,PDLNID</v>
      </c>
      <c r="H2" s="38" t="s">
        <v>425</v>
      </c>
      <c r="I2" s="38" t="s">
        <v>426</v>
      </c>
      <c r="J2" s="38" t="s">
        <v>427</v>
      </c>
      <c r="K2" s="38" t="s">
        <v>428</v>
      </c>
      <c r="L2" s="38" t="s">
        <v>429</v>
      </c>
      <c r="M2" s="38" t="s">
        <v>430</v>
      </c>
      <c r="N2" s="44"/>
      <c r="O2" s="38"/>
      <c r="P2" s="38"/>
      <c r="Q2" s="38"/>
      <c r="R2" s="38"/>
      <c r="S2" s="38"/>
      <c r="T2" s="38"/>
      <c r="U2" s="38"/>
      <c r="V2" s="38"/>
      <c r="W2" s="38"/>
      <c r="X2" s="38"/>
      <c r="Y2" s="40">
        <v>13809.81</v>
      </c>
      <c r="Z2" s="41">
        <f>+Table334[[#This Row],[Size (MB)]]/1024</f>
        <v>13.486142578125</v>
      </c>
      <c r="AA2" s="36" t="s">
        <v>431</v>
      </c>
      <c r="AC2" s="36" t="s">
        <v>432</v>
      </c>
      <c r="AD2" s="36" t="s">
        <v>433</v>
      </c>
      <c r="AE2" s="36" t="s">
        <v>434</v>
      </c>
      <c r="AF2" s="36" t="s">
        <v>435</v>
      </c>
    </row>
    <row r="3" spans="1:32">
      <c r="A3" s="38">
        <v>2</v>
      </c>
      <c r="B3" s="38" t="s">
        <v>436</v>
      </c>
      <c r="C3" s="38" t="s">
        <v>437</v>
      </c>
      <c r="D3" s="38" t="s">
        <v>438</v>
      </c>
      <c r="E3" s="38" t="s">
        <v>439</v>
      </c>
      <c r="F3" s="38"/>
      <c r="G3" s="38" t="str" cm="1">
        <f t="array" ref="G3">_xlfn.TEXTJOIN(",",TRUE,IF(I3:X3&lt;&gt;"",D3&amp;I3:X3,""))</f>
        <v>GLDCT,GLDOC,GLKCO,GLDGJ,GLJELN,GLLT,GLEXTL</v>
      </c>
      <c r="H3" s="38" t="s">
        <v>425</v>
      </c>
      <c r="I3" s="38" t="s">
        <v>440</v>
      </c>
      <c r="J3" s="38" t="s">
        <v>441</v>
      </c>
      <c r="K3" s="38" t="s">
        <v>442</v>
      </c>
      <c r="L3" s="38" t="s">
        <v>443</v>
      </c>
      <c r="M3" s="38" t="s">
        <v>444</v>
      </c>
      <c r="N3" s="38" t="s">
        <v>445</v>
      </c>
      <c r="O3" s="38" t="s">
        <v>446</v>
      </c>
      <c r="P3" s="38"/>
      <c r="Q3" s="38"/>
      <c r="R3" s="38"/>
      <c r="S3" s="38"/>
      <c r="T3" s="38"/>
      <c r="U3" s="38"/>
      <c r="V3" s="38"/>
      <c r="W3" s="38"/>
      <c r="X3" s="38"/>
      <c r="Y3" s="40">
        <v>136093</v>
      </c>
      <c r="Z3" s="42">
        <f>+Table334[[#This Row],[Size (MB)]]/1024</f>
        <v>132.9033203125</v>
      </c>
      <c r="AA3" s="36" t="s">
        <v>431</v>
      </c>
      <c r="AC3" s="36" t="s">
        <v>432</v>
      </c>
      <c r="AD3" s="36" t="s">
        <v>433</v>
      </c>
      <c r="AE3" s="36" t="s">
        <v>434</v>
      </c>
      <c r="AF3" s="36" t="s">
        <v>447</v>
      </c>
    </row>
    <row r="4" spans="1:32">
      <c r="A4" s="38">
        <v>3</v>
      </c>
      <c r="B4" s="38" t="s">
        <v>448</v>
      </c>
      <c r="C4" s="38" t="s">
        <v>449</v>
      </c>
      <c r="D4" s="38" t="s">
        <v>450</v>
      </c>
      <c r="E4" s="38" t="s">
        <v>451</v>
      </c>
      <c r="F4" s="38"/>
      <c r="G4" s="38" t="str" cm="1">
        <f t="array" ref="G4">_xlfn.TEXTJOIN(",",TRUE,IF(I4:X4&lt;&gt;"",D4&amp;I4:X4,""))</f>
        <v>CBVWNM,CBACTB,CBAID,CBCFY,CBLT,CBSBL,CBSBLT,CBABR1,CBABT1,CBABR2,CBABT2,CBABR3,CBABT3,CBABR4,CBABT4,CBITM</v>
      </c>
      <c r="H4" s="38" t="s">
        <v>452</v>
      </c>
      <c r="I4" s="38" t="s">
        <v>453</v>
      </c>
      <c r="J4" s="38" t="s">
        <v>454</v>
      </c>
      <c r="K4" s="38" t="s">
        <v>455</v>
      </c>
      <c r="L4" s="38" t="s">
        <v>456</v>
      </c>
      <c r="M4" s="38" t="s">
        <v>445</v>
      </c>
      <c r="N4" s="38" t="s">
        <v>457</v>
      </c>
      <c r="O4" s="38" t="s">
        <v>458</v>
      </c>
      <c r="P4" s="38" t="s">
        <v>459</v>
      </c>
      <c r="Q4" s="38" t="s">
        <v>460</v>
      </c>
      <c r="R4" s="38" t="s">
        <v>461</v>
      </c>
      <c r="S4" s="38" t="s">
        <v>462</v>
      </c>
      <c r="T4" s="38" t="s">
        <v>463</v>
      </c>
      <c r="U4" s="38" t="s">
        <v>464</v>
      </c>
      <c r="V4" s="38" t="s">
        <v>465</v>
      </c>
      <c r="W4" s="38" t="s">
        <v>466</v>
      </c>
      <c r="X4" s="38" t="s">
        <v>467</v>
      </c>
      <c r="Y4" s="35">
        <v>657</v>
      </c>
      <c r="Z4" s="35">
        <f>+Table334[[#This Row],[Size (MB)]]/1024</f>
        <v>0.6416015625</v>
      </c>
      <c r="AA4" s="36" t="s">
        <v>431</v>
      </c>
      <c r="AC4" s="36" t="s">
        <v>468</v>
      </c>
      <c r="AD4" s="36" t="s">
        <v>469</v>
      </c>
      <c r="AE4" s="36" t="s">
        <v>470</v>
      </c>
      <c r="AF4" s="36" t="s">
        <v>435</v>
      </c>
    </row>
    <row r="5" spans="1:32">
      <c r="A5" s="38">
        <v>4</v>
      </c>
      <c r="B5" s="38" t="s">
        <v>471</v>
      </c>
      <c r="C5" s="38" t="s">
        <v>472</v>
      </c>
      <c r="D5" s="38" t="s">
        <v>473</v>
      </c>
      <c r="E5" s="38" t="s">
        <v>474</v>
      </c>
      <c r="F5" s="38"/>
      <c r="G5" s="38" t="str" cm="1">
        <f t="array" ref="G5">_xlfn.TEXTJOIN(",",TRUE,IF(I5:X5&lt;&gt;"",D5&amp;I5:X5,""))</f>
        <v>PHDOCO,PHDCTO,PHKCOO,PHSFXO</v>
      </c>
      <c r="H5" s="38" t="s">
        <v>475</v>
      </c>
      <c r="I5" s="38" t="s">
        <v>426</v>
      </c>
      <c r="J5" s="38" t="s">
        <v>427</v>
      </c>
      <c r="K5" s="38" t="s">
        <v>428</v>
      </c>
      <c r="L5" s="38" t="s">
        <v>429</v>
      </c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40">
        <v>4192</v>
      </c>
      <c r="Z5" s="35">
        <f>+Table334[[#This Row],[Size (MB)]]/1024</f>
        <v>4.09375</v>
      </c>
      <c r="AA5" s="36" t="s">
        <v>431</v>
      </c>
      <c r="AD5" s="36" t="s">
        <v>433</v>
      </c>
      <c r="AE5" s="36" t="s">
        <v>434</v>
      </c>
      <c r="AF5" s="36" t="s">
        <v>435</v>
      </c>
    </row>
    <row r="6" spans="1:32">
      <c r="A6" s="38">
        <v>5</v>
      </c>
      <c r="B6" s="38" t="s">
        <v>476</v>
      </c>
      <c r="C6" s="38" t="s">
        <v>477</v>
      </c>
      <c r="D6" s="38" t="s">
        <v>478</v>
      </c>
      <c r="E6" s="38" t="s">
        <v>479</v>
      </c>
      <c r="F6" s="38"/>
      <c r="G6" s="38" t="str" cm="1">
        <f t="array" ref="G6">_xlfn.TEXTJOIN(",",TRUE,IF(I6:X6&lt;&gt;"",D6&amp;I6:X6,""))</f>
        <v>GMMCU,GMOBJ,GMSUB</v>
      </c>
      <c r="H6" s="38" t="s">
        <v>480</v>
      </c>
      <c r="I6" s="38" t="s">
        <v>481</v>
      </c>
      <c r="J6" s="38" t="s">
        <v>482</v>
      </c>
      <c r="K6" s="38" t="s">
        <v>483</v>
      </c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5">
        <v>744</v>
      </c>
      <c r="Z6" s="35">
        <f>+Table334[[#This Row],[Size (MB)]]/1024</f>
        <v>0.7265625</v>
      </c>
      <c r="AA6" s="36" t="s">
        <v>431</v>
      </c>
      <c r="AC6" s="36" t="s">
        <v>484</v>
      </c>
      <c r="AD6" s="36" t="s">
        <v>469</v>
      </c>
      <c r="AE6" s="36" t="s">
        <v>470</v>
      </c>
      <c r="AF6" s="36" t="s">
        <v>435</v>
      </c>
    </row>
    <row r="7" spans="1:32">
      <c r="A7" s="38">
        <v>6</v>
      </c>
      <c r="B7" s="38" t="s">
        <v>485</v>
      </c>
      <c r="C7" s="38" t="s">
        <v>486</v>
      </c>
      <c r="D7" s="38" t="s">
        <v>487</v>
      </c>
      <c r="E7" s="38" t="s">
        <v>488</v>
      </c>
      <c r="F7" s="38" t="s">
        <v>489</v>
      </c>
      <c r="G7" s="38" t="str" cm="1">
        <f t="array" ref="G7">_xlfn.TEXTJOIN(",",TRUE,IF(I7:X7&lt;&gt;"",D7&amp;I7:X7,""))</f>
        <v>SDDOCO,SDDCTO,SDKCOO,SDLNID</v>
      </c>
      <c r="H7" s="38" t="s">
        <v>425</v>
      </c>
      <c r="I7" s="38" t="s">
        <v>426</v>
      </c>
      <c r="J7" s="38" t="s">
        <v>427</v>
      </c>
      <c r="K7" s="38" t="s">
        <v>428</v>
      </c>
      <c r="L7" s="38" t="s">
        <v>430</v>
      </c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40">
        <v>66817.31</v>
      </c>
      <c r="Z7" s="41">
        <f>+Table334[[#This Row],[Size (MB)]]/1024</f>
        <v>65.251279296874998</v>
      </c>
      <c r="AA7" s="36" t="s">
        <v>431</v>
      </c>
      <c r="AD7" s="36" t="s">
        <v>433</v>
      </c>
      <c r="AE7" s="36" t="s">
        <v>434</v>
      </c>
      <c r="AF7" s="36" t="s">
        <v>447</v>
      </c>
    </row>
    <row r="8" spans="1:32">
      <c r="A8" s="38">
        <v>7</v>
      </c>
      <c r="B8" s="38" t="s">
        <v>490</v>
      </c>
      <c r="C8" s="38" t="s">
        <v>491</v>
      </c>
      <c r="D8" s="38" t="s">
        <v>492</v>
      </c>
      <c r="E8" s="38" t="s">
        <v>493</v>
      </c>
      <c r="F8" s="38"/>
      <c r="G8" s="38" t="str" cm="1">
        <f t="array" ref="G8">_xlfn.TEXTJOIN(",",TRUE,IF(I8:X8&lt;&gt;"",D8&amp;I8:X8,""))</f>
        <v>DRSY,DRRT,DRKY</v>
      </c>
      <c r="H8" s="38" t="s">
        <v>494</v>
      </c>
      <c r="I8" s="38" t="s">
        <v>495</v>
      </c>
      <c r="J8" s="38" t="s">
        <v>496</v>
      </c>
      <c r="K8" s="38" t="s">
        <v>497</v>
      </c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5">
        <v>37</v>
      </c>
      <c r="Z8" s="35">
        <f>+Table334[[#This Row],[Size (MB)]]/1024</f>
        <v>3.61328125E-2</v>
      </c>
      <c r="AA8" s="36" t="s">
        <v>498</v>
      </c>
      <c r="AC8" s="36" t="s">
        <v>468</v>
      </c>
      <c r="AD8" s="36" t="s">
        <v>469</v>
      </c>
      <c r="AE8" s="36" t="s">
        <v>470</v>
      </c>
      <c r="AF8" s="36" t="s">
        <v>435</v>
      </c>
    </row>
    <row r="9" spans="1:32">
      <c r="A9" s="38">
        <v>8</v>
      </c>
      <c r="B9" s="38" t="s">
        <v>499</v>
      </c>
      <c r="C9" s="38" t="s">
        <v>500</v>
      </c>
      <c r="D9" s="38" t="s">
        <v>501</v>
      </c>
      <c r="E9" s="38" t="s">
        <v>502</v>
      </c>
      <c r="F9" s="38"/>
      <c r="G9" s="38" t="str" cm="1">
        <f t="array" ref="G9">_xlfn.TEXTJOIN(",",TRUE,IF(I9:X9&lt;&gt;"",D9&amp;I9:X9,""))</f>
        <v>MCMCU</v>
      </c>
      <c r="H9" s="38" t="s">
        <v>480</v>
      </c>
      <c r="I9" s="38" t="s">
        <v>481</v>
      </c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5">
        <v>8</v>
      </c>
      <c r="Z9" s="35">
        <f>+Table334[[#This Row],[Size (MB)]]/1024</f>
        <v>7.8125E-3</v>
      </c>
      <c r="AA9" s="36" t="s">
        <v>431</v>
      </c>
      <c r="AC9" s="36" t="s">
        <v>468</v>
      </c>
      <c r="AD9" s="36" t="s">
        <v>469</v>
      </c>
      <c r="AE9" s="36" t="s">
        <v>470</v>
      </c>
      <c r="AF9" s="36" t="s">
        <v>435</v>
      </c>
    </row>
    <row r="10" spans="1:32">
      <c r="A10" s="38">
        <v>9</v>
      </c>
      <c r="B10" s="38" t="s">
        <v>503</v>
      </c>
      <c r="C10" s="38" t="s">
        <v>504</v>
      </c>
      <c r="D10" s="38" t="s">
        <v>505</v>
      </c>
      <c r="E10" s="38" t="s">
        <v>506</v>
      </c>
      <c r="F10" s="38"/>
      <c r="G10" s="38" t="str" cm="1">
        <f t="array" ref="G10">_xlfn.TEXTJOIN(",",TRUE,IF(I10:X10&lt;&gt;"",D10&amp;I10:X10,""))</f>
        <v>CCCO</v>
      </c>
      <c r="H10" s="38" t="s">
        <v>507</v>
      </c>
      <c r="I10" s="38" t="s">
        <v>508</v>
      </c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5">
        <v>0.06</v>
      </c>
      <c r="Z10" s="35">
        <f>+Table334[[#This Row],[Size (MB)]]/1024</f>
        <v>5.8593749999999998E-5</v>
      </c>
      <c r="AA10" s="36" t="s">
        <v>431</v>
      </c>
      <c r="AC10" s="36" t="s">
        <v>484</v>
      </c>
      <c r="AD10" s="36" t="s">
        <v>469</v>
      </c>
      <c r="AE10" s="36" t="s">
        <v>470</v>
      </c>
      <c r="AF10" s="36" t="s">
        <v>435</v>
      </c>
    </row>
    <row r="11" spans="1:32">
      <c r="A11" s="38">
        <v>10</v>
      </c>
      <c r="B11" s="38" t="s">
        <v>509</v>
      </c>
      <c r="C11" s="38" t="s">
        <v>510</v>
      </c>
      <c r="D11" s="38" t="s">
        <v>511</v>
      </c>
      <c r="E11" s="38" t="s">
        <v>512</v>
      </c>
      <c r="F11" s="38"/>
      <c r="G11" s="38" t="str" cm="1">
        <f t="array" ref="G11">_xlfn.TEXTJOIN(",",TRUE,IF(I11:X11&lt;&gt;"",D11&amp;I11:X11,""))</f>
        <v>ABAN8</v>
      </c>
      <c r="H11" s="38" t="s">
        <v>480</v>
      </c>
      <c r="I11" s="38" t="s">
        <v>513</v>
      </c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Z11" s="35">
        <f>+Table334[[#This Row],[Size (MB)]]/1024</f>
        <v>0</v>
      </c>
      <c r="AA11" s="36" t="s">
        <v>431</v>
      </c>
      <c r="AB11" s="36" t="s">
        <v>514</v>
      </c>
      <c r="AC11" s="36" t="s">
        <v>468</v>
      </c>
      <c r="AD11" s="36" t="s">
        <v>469</v>
      </c>
      <c r="AE11" s="36" t="s">
        <v>470</v>
      </c>
      <c r="AF11" s="36" t="s">
        <v>435</v>
      </c>
    </row>
    <row r="12" spans="1:32">
      <c r="A12" s="38">
        <v>11</v>
      </c>
      <c r="B12" s="38" t="s">
        <v>515</v>
      </c>
      <c r="C12" s="38" t="s">
        <v>516</v>
      </c>
      <c r="D12" s="38" t="s">
        <v>517</v>
      </c>
      <c r="E12" s="38" t="s">
        <v>518</v>
      </c>
      <c r="F12" s="38"/>
      <c r="G12" s="38" t="str" cm="1">
        <f t="array" ref="G12">_xlfn.TEXTJOIN(",",TRUE,IF(I12:X12&lt;&gt;"",D12&amp;I12:X12,""))</f>
        <v xml:space="preserve">ALAN8,ALEFTB	</v>
      </c>
      <c r="H12" s="38" t="s">
        <v>519</v>
      </c>
      <c r="I12" s="38" t="s">
        <v>513</v>
      </c>
      <c r="J12" s="38" t="s">
        <v>520</v>
      </c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Z12" s="35">
        <f>+Table334[[#This Row],[Size (MB)]]/1024</f>
        <v>0</v>
      </c>
      <c r="AA12" s="36" t="s">
        <v>431</v>
      </c>
      <c r="AB12" s="36" t="s">
        <v>514</v>
      </c>
      <c r="AC12" s="36" t="s">
        <v>468</v>
      </c>
      <c r="AD12" s="36" t="s">
        <v>469</v>
      </c>
      <c r="AE12" s="36" t="s">
        <v>470</v>
      </c>
      <c r="AF12" s="36" t="s">
        <v>435</v>
      </c>
    </row>
    <row r="13" spans="1:32">
      <c r="A13" s="38">
        <v>12</v>
      </c>
      <c r="B13" s="38" t="s">
        <v>521</v>
      </c>
      <c r="C13" s="38" t="s">
        <v>522</v>
      </c>
      <c r="D13" s="38" t="s">
        <v>523</v>
      </c>
      <c r="E13" s="38" t="s">
        <v>524</v>
      </c>
      <c r="F13" s="38"/>
      <c r="G13" s="38" t="str" cm="1">
        <f t="array" ref="G13">_xlfn.TEXTJOIN(",",TRUE,IF(I13:X13&lt;&gt;"",D13&amp;I13:X13,""))</f>
        <v>AIAN8,AICO</v>
      </c>
      <c r="H13" s="38" t="s">
        <v>480</v>
      </c>
      <c r="I13" s="38" t="s">
        <v>513</v>
      </c>
      <c r="J13" s="38" t="s">
        <v>508</v>
      </c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Z13" s="35">
        <f>+Table334[[#This Row],[Size (MB)]]/1024</f>
        <v>0</v>
      </c>
      <c r="AA13" s="36" t="s">
        <v>431</v>
      </c>
      <c r="AB13" s="36" t="s">
        <v>514</v>
      </c>
      <c r="AC13" s="36" t="s">
        <v>468</v>
      </c>
      <c r="AD13" s="36" t="s">
        <v>469</v>
      </c>
      <c r="AE13" s="36" t="s">
        <v>470</v>
      </c>
      <c r="AF13" s="36" t="s">
        <v>435</v>
      </c>
    </row>
    <row r="14" spans="1:32">
      <c r="A14" s="38">
        <v>13</v>
      </c>
      <c r="B14" s="38" t="s">
        <v>525</v>
      </c>
      <c r="C14" s="38" t="s">
        <v>526</v>
      </c>
      <c r="D14" s="38" t="s">
        <v>527</v>
      </c>
      <c r="E14" s="38" t="s">
        <v>528</v>
      </c>
      <c r="F14" s="38"/>
      <c r="G14" s="38" t="str" cm="1">
        <f t="array" ref="G14">_xlfn.TEXTJOIN(",",TRUE,IF(I14:X14&lt;&gt;"",D14&amp;I14:X14,""))</f>
        <v>IMITM</v>
      </c>
      <c r="H14" s="38" t="s">
        <v>480</v>
      </c>
      <c r="I14" s="38" t="s">
        <v>467</v>
      </c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5">
        <v>149.94</v>
      </c>
      <c r="Z14" s="35">
        <f>+Table334[[#This Row],[Size (MB)]]/1024</f>
        <v>0.14642578125</v>
      </c>
      <c r="AA14" s="36" t="s">
        <v>431</v>
      </c>
      <c r="AC14" s="36" t="s">
        <v>468</v>
      </c>
      <c r="AD14" s="36" t="s">
        <v>469</v>
      </c>
      <c r="AE14" s="36" t="s">
        <v>470</v>
      </c>
      <c r="AF14" s="36" t="s">
        <v>435</v>
      </c>
    </row>
    <row r="15" spans="1:32">
      <c r="A15" s="38">
        <v>14</v>
      </c>
      <c r="B15" s="38" t="s">
        <v>529</v>
      </c>
      <c r="C15" s="38" t="s">
        <v>530</v>
      </c>
      <c r="D15" s="38" t="s">
        <v>531</v>
      </c>
      <c r="E15" s="38" t="s">
        <v>532</v>
      </c>
      <c r="F15" s="38"/>
      <c r="G15" s="38" t="str" cm="1">
        <f t="array" ref="G15">_xlfn.TEXTJOIN(",",TRUE,IF(I15:X15&lt;&gt;"",D15&amp;I15:X15,""))</f>
        <v>UMMCU,UMITM,UMUM,UMRUM</v>
      </c>
      <c r="H15" s="38" t="s">
        <v>533</v>
      </c>
      <c r="I15" s="38" t="s">
        <v>481</v>
      </c>
      <c r="J15" s="38" t="s">
        <v>467</v>
      </c>
      <c r="K15" s="38" t="s">
        <v>531</v>
      </c>
      <c r="L15" s="38" t="s">
        <v>534</v>
      </c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5">
        <v>3</v>
      </c>
      <c r="Z15" s="35">
        <f>+Table334[[#This Row],[Size (MB)]]/1024</f>
        <v>2.9296875E-3</v>
      </c>
      <c r="AA15" s="36" t="s">
        <v>431</v>
      </c>
      <c r="AC15" s="36" t="s">
        <v>468</v>
      </c>
      <c r="AD15" s="36" t="s">
        <v>469</v>
      </c>
      <c r="AE15" s="36" t="s">
        <v>470</v>
      </c>
      <c r="AF15" s="36" t="s">
        <v>435</v>
      </c>
    </row>
    <row r="16" spans="1:32">
      <c r="A16" s="38">
        <v>15</v>
      </c>
      <c r="B16" s="38" t="s">
        <v>535</v>
      </c>
      <c r="C16" s="38" t="s">
        <v>536</v>
      </c>
      <c r="D16" s="38" t="s">
        <v>537</v>
      </c>
      <c r="E16" s="38" t="s">
        <v>538</v>
      </c>
      <c r="F16" s="38"/>
      <c r="G16" s="38" t="str" cm="1">
        <f t="array" ref="G16">_xlfn.TEXTJOIN(",",TRUE,IF(I16:X16&lt;&gt;"",D16&amp;I16:X16,""))</f>
        <v>UCUM,UCRUM</v>
      </c>
      <c r="H16" s="38" t="s">
        <v>533</v>
      </c>
      <c r="I16" s="38" t="s">
        <v>531</v>
      </c>
      <c r="J16" s="38" t="s">
        <v>534</v>
      </c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5">
        <v>0.06</v>
      </c>
      <c r="Z16" s="35">
        <f>+Table334[[#This Row],[Size (MB)]]/1024</f>
        <v>5.8593749999999998E-5</v>
      </c>
      <c r="AA16" s="36" t="s">
        <v>431</v>
      </c>
      <c r="AD16" s="36" t="s">
        <v>539</v>
      </c>
      <c r="AE16" s="36" t="s">
        <v>434</v>
      </c>
      <c r="AF16" s="36" t="s">
        <v>435</v>
      </c>
    </row>
    <row r="17" spans="1:32">
      <c r="A17" s="38">
        <v>16</v>
      </c>
      <c r="B17" s="38" t="s">
        <v>540</v>
      </c>
      <c r="C17" s="38" t="s">
        <v>541</v>
      </c>
      <c r="D17" s="38" t="s">
        <v>542</v>
      </c>
      <c r="E17" s="38" t="s">
        <v>543</v>
      </c>
      <c r="F17" s="38"/>
      <c r="G17" s="38" t="str" cm="1">
        <f t="array" ref="G17">_xlfn.TEXTJOIN(",",TRUE,IF(I17:X17&lt;&gt;"",D17&amp;I17:X17,""))</f>
        <v>DTSY,DTRT</v>
      </c>
      <c r="H17" s="38" t="s">
        <v>494</v>
      </c>
      <c r="I17" s="38" t="s">
        <v>495</v>
      </c>
      <c r="J17" s="38" t="s">
        <v>496</v>
      </c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5">
        <v>2</v>
      </c>
      <c r="Z17" s="35">
        <f>+Table334[[#This Row],[Size (MB)]]/1024</f>
        <v>1.953125E-3</v>
      </c>
      <c r="AA17" s="36" t="s">
        <v>498</v>
      </c>
      <c r="AC17" s="36" t="s">
        <v>468</v>
      </c>
      <c r="AD17" s="36" t="s">
        <v>469</v>
      </c>
      <c r="AE17" s="36" t="s">
        <v>470</v>
      </c>
      <c r="AF17" s="36" t="s">
        <v>435</v>
      </c>
    </row>
    <row r="18" spans="1:32">
      <c r="A18" s="38">
        <v>17</v>
      </c>
      <c r="B18" s="38" t="s">
        <v>544</v>
      </c>
      <c r="C18" s="38" t="s">
        <v>545</v>
      </c>
      <c r="D18" s="38" t="s">
        <v>546</v>
      </c>
      <c r="E18" s="38" t="s">
        <v>547</v>
      </c>
      <c r="F18" s="38"/>
      <c r="G18" s="38" t="str" cm="1">
        <f t="array" ref="G18">_xlfn.TEXTJOIN(",",TRUE,IF(I18:X18&lt;&gt;"",D18&amp;I18:X18,""))</f>
        <v>ADITM,ADAST,ADAN8,ADIGID,ADCGID,ADOGID,ADCRCD,ADUOM,ADMNQ,ADEXDJ,ADUPMJ,ADTDAY</v>
      </c>
      <c r="H18" s="38" t="s">
        <v>425</v>
      </c>
      <c r="I18" s="38" t="s">
        <v>467</v>
      </c>
      <c r="J18" s="38" t="s">
        <v>548</v>
      </c>
      <c r="K18" s="38" t="s">
        <v>513</v>
      </c>
      <c r="L18" s="38" t="s">
        <v>549</v>
      </c>
      <c r="M18" s="38" t="s">
        <v>550</v>
      </c>
      <c r="N18" s="38" t="s">
        <v>551</v>
      </c>
      <c r="O18" s="38" t="s">
        <v>552</v>
      </c>
      <c r="P18" s="38" t="s">
        <v>553</v>
      </c>
      <c r="Q18" s="38" t="s">
        <v>554</v>
      </c>
      <c r="R18" s="38" t="s">
        <v>555</v>
      </c>
      <c r="S18" s="38" t="s">
        <v>556</v>
      </c>
      <c r="T18" s="38" t="s">
        <v>557</v>
      </c>
      <c r="U18" s="38"/>
      <c r="V18" s="38"/>
      <c r="W18" s="38"/>
      <c r="X18" s="38"/>
      <c r="Y18" s="40"/>
      <c r="Z18" s="35">
        <f>+Table334[[#This Row],[Size (MB)]]/1024</f>
        <v>0</v>
      </c>
    </row>
    <row r="19" spans="1:32">
      <c r="A19" s="38">
        <v>19</v>
      </c>
      <c r="B19" s="38" t="s">
        <v>558</v>
      </c>
      <c r="C19" s="38" t="s">
        <v>559</v>
      </c>
      <c r="D19" s="38" t="s">
        <v>517</v>
      </c>
      <c r="E19" s="38" t="s">
        <v>518</v>
      </c>
      <c r="F19" s="38"/>
      <c r="G19" s="38" t="str" cm="1">
        <f t="array" ref="G19">_xlfn.TEXTJOIN(",",TRUE,IF(I19:X19&lt;&gt;"",D19&amp;I19:X19,""))</f>
        <v>ALDOCO,ALDCTO,ALKCOO,ALSFXO,ALLNID,ALAKID,ALSRCFD,ALOSEQ,ALSUBSEQ,ALTIER,ALPA04</v>
      </c>
      <c r="H19" s="38" t="s">
        <v>560</v>
      </c>
      <c r="I19" s="38" t="s">
        <v>426</v>
      </c>
      <c r="J19" s="38" t="s">
        <v>427</v>
      </c>
      <c r="K19" s="38" t="s">
        <v>428</v>
      </c>
      <c r="L19" s="38" t="s">
        <v>429</v>
      </c>
      <c r="M19" s="38" t="s">
        <v>430</v>
      </c>
      <c r="N19" s="38" t="s">
        <v>561</v>
      </c>
      <c r="O19" s="38" t="s">
        <v>562</v>
      </c>
      <c r="P19" s="38" t="s">
        <v>563</v>
      </c>
      <c r="Q19" s="38" t="s">
        <v>564</v>
      </c>
      <c r="R19" s="38" t="s">
        <v>565</v>
      </c>
      <c r="S19" s="38" t="s">
        <v>566</v>
      </c>
      <c r="T19" s="38"/>
      <c r="U19" s="38"/>
      <c r="V19" s="38"/>
      <c r="W19" s="38"/>
      <c r="X19" s="38"/>
      <c r="Y19" s="40">
        <v>30294</v>
      </c>
      <c r="Z19" s="41">
        <f>+Table334[[#This Row],[Size (MB)]]/1024</f>
        <v>29.583984375</v>
      </c>
      <c r="AA19" s="36" t="s">
        <v>431</v>
      </c>
      <c r="AD19" s="36" t="s">
        <v>433</v>
      </c>
      <c r="AE19" s="36" t="s">
        <v>434</v>
      </c>
      <c r="AF19" s="36" t="s">
        <v>567</v>
      </c>
    </row>
    <row r="20" spans="1:32">
      <c r="A20" s="38">
        <v>20</v>
      </c>
      <c r="B20" s="38" t="s">
        <v>568</v>
      </c>
      <c r="C20" s="38" t="s">
        <v>569</v>
      </c>
      <c r="D20" s="38" t="s">
        <v>570</v>
      </c>
      <c r="E20" s="38" t="s">
        <v>571</v>
      </c>
      <c r="F20" s="38"/>
      <c r="G20" s="38" t="str" cm="1">
        <f t="array" ref="G20">_xlfn.TEXTJOIN(",",TRUE,IF(I20:X20&lt;&gt;"",D20&amp;I20:X20,""))</f>
        <v>ILDOC,ILDCT,ILKCO,ILDGL,ILJELN,IL	UKID (pk)</v>
      </c>
      <c r="H20" s="38" t="s">
        <v>425</v>
      </c>
      <c r="I20" s="38" t="s">
        <v>441</v>
      </c>
      <c r="J20" s="38" t="s">
        <v>440</v>
      </c>
      <c r="K20" s="38" t="s">
        <v>442</v>
      </c>
      <c r="L20" s="38" t="s">
        <v>572</v>
      </c>
      <c r="M20" s="38" t="s">
        <v>444</v>
      </c>
      <c r="N20" s="38" t="s">
        <v>573</v>
      </c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40">
        <v>17509</v>
      </c>
      <c r="Z20" s="41">
        <f>+Table334[[#This Row],[Size (MB)]]/1024</f>
        <v>17.0986328125</v>
      </c>
      <c r="AA20" s="36" t="s">
        <v>431</v>
      </c>
      <c r="AD20" s="36" t="s">
        <v>433</v>
      </c>
      <c r="AE20" s="36" t="s">
        <v>434</v>
      </c>
      <c r="AF20" s="36" t="s">
        <v>567</v>
      </c>
    </row>
    <row r="21" spans="1:32">
      <c r="A21" s="38">
        <v>21</v>
      </c>
      <c r="B21" s="38" t="s">
        <v>574</v>
      </c>
      <c r="C21" s="38" t="s">
        <v>575</v>
      </c>
      <c r="D21" s="38" t="s">
        <v>576</v>
      </c>
      <c r="E21" s="38" t="s">
        <v>577</v>
      </c>
      <c r="F21" s="38"/>
      <c r="G21" s="38" t="str" cm="1">
        <f t="array" ref="G21">_xlfn.TEXTJOIN(",",TRUE,IF(I21:X21&lt;&gt;"",D21&amp;I21:X21,""))</f>
        <v>PRMATC,PRDOCO,PRDCTO,PRKCOO,PRSFXO,PRLNID,PRNLIN,PRDOC</v>
      </c>
      <c r="H21" s="38" t="s">
        <v>425</v>
      </c>
      <c r="I21" s="38" t="s">
        <v>578</v>
      </c>
      <c r="J21" s="38" t="s">
        <v>426</v>
      </c>
      <c r="K21" s="38" t="s">
        <v>427</v>
      </c>
      <c r="L21" s="38" t="s">
        <v>428</v>
      </c>
      <c r="M21" s="38" t="s">
        <v>429</v>
      </c>
      <c r="N21" s="38" t="s">
        <v>430</v>
      </c>
      <c r="O21" s="38" t="s">
        <v>579</v>
      </c>
      <c r="P21" s="38" t="s">
        <v>441</v>
      </c>
      <c r="Q21" s="38"/>
      <c r="R21" s="38"/>
      <c r="S21" s="38"/>
      <c r="T21" s="38"/>
      <c r="U21" s="38"/>
      <c r="V21" s="38"/>
      <c r="W21" s="38"/>
      <c r="X21" s="38"/>
      <c r="Y21" s="40">
        <v>16106</v>
      </c>
      <c r="Z21" s="41">
        <f>+Table334[[#This Row],[Size (MB)]]/1024</f>
        <v>15.728515625</v>
      </c>
      <c r="AA21" s="36" t="s">
        <v>431</v>
      </c>
      <c r="AD21" s="36" t="s">
        <v>433</v>
      </c>
      <c r="AE21" s="36" t="s">
        <v>434</v>
      </c>
      <c r="AF21" s="36" t="s">
        <v>567</v>
      </c>
    </row>
    <row r="22" spans="1:32">
      <c r="A22" s="38">
        <v>22</v>
      </c>
      <c r="B22" s="38" t="s">
        <v>580</v>
      </c>
      <c r="C22" s="38" t="s">
        <v>581</v>
      </c>
      <c r="D22" s="38" t="s">
        <v>582</v>
      </c>
      <c r="E22" s="38" t="s">
        <v>583</v>
      </c>
      <c r="F22" s="38"/>
      <c r="G22" s="38" t="str" cm="1">
        <f t="array" ref="G22">_xlfn.TEXTJOIN(",",TRUE,IF(I22:X22&lt;&gt;"",D22&amp;I22:X22,""))</f>
        <v>XHSHPN</v>
      </c>
      <c r="H22" s="38" t="s">
        <v>584</v>
      </c>
      <c r="I22" s="38" t="s">
        <v>585</v>
      </c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40">
        <v>12329.25</v>
      </c>
      <c r="Z22" s="41">
        <f>+Table334[[#This Row],[Size (MB)]]/1024</f>
        <v>12.040283203125</v>
      </c>
      <c r="AA22" s="36" t="s">
        <v>431</v>
      </c>
      <c r="AD22" s="36" t="s">
        <v>433</v>
      </c>
      <c r="AE22" s="36" t="s">
        <v>434</v>
      </c>
      <c r="AF22" s="36" t="s">
        <v>435</v>
      </c>
    </row>
    <row r="23" spans="1:32">
      <c r="A23" s="38">
        <v>23</v>
      </c>
      <c r="B23" s="38" t="s">
        <v>586</v>
      </c>
      <c r="C23" s="38" t="s">
        <v>587</v>
      </c>
      <c r="D23" s="38" t="s">
        <v>588</v>
      </c>
      <c r="E23" s="38" t="s">
        <v>589</v>
      </c>
      <c r="F23" s="38"/>
      <c r="G23" s="38" t="str" cm="1">
        <f t="array" ref="G23">_xlfn.TEXTJOIN(",",TRUE,IF(I23:X23&lt;&gt;"",D23&amp;I23:X23,""))</f>
        <v>RPDOC,RPDCT,RPKCO,RPSFX</v>
      </c>
      <c r="H23" s="38" t="s">
        <v>425</v>
      </c>
      <c r="I23" s="38" t="s">
        <v>441</v>
      </c>
      <c r="J23" s="38" t="s">
        <v>440</v>
      </c>
      <c r="K23" s="38" t="s">
        <v>442</v>
      </c>
      <c r="L23" s="38" t="s">
        <v>590</v>
      </c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40">
        <v>11237</v>
      </c>
      <c r="Z23" s="41">
        <f>+Table334[[#This Row],[Size (MB)]]/1024</f>
        <v>10.9736328125</v>
      </c>
      <c r="AA23" s="36" t="s">
        <v>431</v>
      </c>
      <c r="AD23" s="36" t="s">
        <v>433</v>
      </c>
      <c r="AE23" s="36" t="s">
        <v>434</v>
      </c>
      <c r="AF23" s="36" t="s">
        <v>435</v>
      </c>
    </row>
    <row r="24" spans="1:32">
      <c r="A24" s="38">
        <v>24</v>
      </c>
      <c r="B24" s="38" t="s">
        <v>591</v>
      </c>
      <c r="C24" s="38" t="s">
        <v>592</v>
      </c>
      <c r="D24" s="38" t="s">
        <v>593</v>
      </c>
      <c r="E24" s="38" t="s">
        <v>594</v>
      </c>
      <c r="F24" s="38"/>
      <c r="G24" s="38" t="str" cm="1">
        <f t="array" ref="G24">_xlfn.TEXTJOIN(",",TRUE,IF(I24:X24&lt;&gt;"",D24&amp;I24:X24,""))</f>
        <v>RZPYID,RZRC5</v>
      </c>
      <c r="H24" s="38" t="s">
        <v>425</v>
      </c>
      <c r="I24" s="38" t="s">
        <v>595</v>
      </c>
      <c r="J24" s="38" t="s">
        <v>596</v>
      </c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40">
        <v>10251</v>
      </c>
      <c r="Z24" s="41">
        <f>+Table334[[#This Row],[Size (MB)]]/1024</f>
        <v>10.0107421875</v>
      </c>
      <c r="AA24" s="36" t="s">
        <v>431</v>
      </c>
      <c r="AD24" s="36" t="s">
        <v>433</v>
      </c>
      <c r="AE24" s="36" t="s">
        <v>434</v>
      </c>
      <c r="AF24" s="36" t="s">
        <v>435</v>
      </c>
    </row>
    <row r="25" spans="1:32">
      <c r="A25" s="38">
        <v>25</v>
      </c>
      <c r="B25" s="38" t="s">
        <v>597</v>
      </c>
      <c r="C25" s="38" t="s">
        <v>598</v>
      </c>
      <c r="D25" s="38" t="s">
        <v>588</v>
      </c>
      <c r="E25" s="38" t="s">
        <v>589</v>
      </c>
      <c r="F25" s="38"/>
      <c r="G25" s="38" t="str" cm="1">
        <f t="array" ref="G25">_xlfn.TEXTJOIN(",",TRUE,IF(I25:X25&lt;&gt;"",D25&amp;I25:X25,""))</f>
        <v>RPDOC,RPDCT,RPKCO,RPSFX,RPSFXE</v>
      </c>
      <c r="H25" s="38" t="s">
        <v>425</v>
      </c>
      <c r="I25" s="38" t="s">
        <v>441</v>
      </c>
      <c r="J25" s="38" t="s">
        <v>440</v>
      </c>
      <c r="K25" s="38" t="s">
        <v>442</v>
      </c>
      <c r="L25" s="38" t="s">
        <v>590</v>
      </c>
      <c r="M25" s="38" t="s">
        <v>599</v>
      </c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40">
        <v>9637</v>
      </c>
      <c r="Z25" s="41">
        <f>+Table334[[#This Row],[Size (MB)]]/1024</f>
        <v>9.4111328125</v>
      </c>
      <c r="AA25" s="36" t="s">
        <v>431</v>
      </c>
      <c r="AD25" s="36" t="s">
        <v>433</v>
      </c>
      <c r="AE25" s="36" t="s">
        <v>434</v>
      </c>
      <c r="AF25" s="36" t="s">
        <v>435</v>
      </c>
    </row>
    <row r="26" spans="1:32">
      <c r="A26" s="38">
        <v>26</v>
      </c>
      <c r="B26" s="38" t="s">
        <v>600</v>
      </c>
      <c r="C26" s="38" t="s">
        <v>601</v>
      </c>
      <c r="D26" s="38" t="s">
        <v>602</v>
      </c>
      <c r="E26" s="38" t="s">
        <v>603</v>
      </c>
      <c r="F26" s="38"/>
      <c r="G26" s="38" t="str" cm="1">
        <f t="array" ref="G26">_xlfn.TEXTJOIN(",",TRUE,IF(I26:X26&lt;&gt;"",D26&amp;I26:X26,""))</f>
        <v>FLAID,FLCTRY,FLFY,FLFQ,FLNUMB,FLSBL,FLSBLT,FLLT</v>
      </c>
      <c r="H26" s="38" t="s">
        <v>452</v>
      </c>
      <c r="I26" s="38" t="s">
        <v>455</v>
      </c>
      <c r="J26" s="38" t="s">
        <v>604</v>
      </c>
      <c r="K26" s="38" t="s">
        <v>605</v>
      </c>
      <c r="L26" s="38" t="s">
        <v>606</v>
      </c>
      <c r="M26" s="38" t="s">
        <v>607</v>
      </c>
      <c r="N26" s="38" t="s">
        <v>457</v>
      </c>
      <c r="O26" s="38" t="s">
        <v>458</v>
      </c>
      <c r="P26" s="38" t="s">
        <v>445</v>
      </c>
      <c r="Q26" s="38"/>
      <c r="R26" s="38"/>
      <c r="S26" s="38"/>
      <c r="T26" s="38"/>
      <c r="U26" s="38"/>
      <c r="V26" s="38"/>
      <c r="W26" s="38"/>
      <c r="X26" s="38"/>
      <c r="Y26" s="40">
        <v>8740</v>
      </c>
      <c r="Z26" s="41">
        <f>+Table334[[#This Row],[Size (MB)]]/1024</f>
        <v>8.53515625</v>
      </c>
      <c r="AA26" s="36" t="s">
        <v>431</v>
      </c>
      <c r="AD26" s="36" t="s">
        <v>433</v>
      </c>
      <c r="AE26" s="36" t="s">
        <v>434</v>
      </c>
      <c r="AF26" s="36" t="s">
        <v>435</v>
      </c>
    </row>
    <row r="27" spans="1:32">
      <c r="A27" s="38">
        <v>27</v>
      </c>
      <c r="B27" s="38" t="s">
        <v>608</v>
      </c>
      <c r="C27" s="38" t="s">
        <v>609</v>
      </c>
      <c r="D27" s="38" t="s">
        <v>610</v>
      </c>
      <c r="E27" s="38" t="s">
        <v>611</v>
      </c>
      <c r="F27" s="38"/>
      <c r="G27" s="38" t="str" cm="1">
        <f t="array" ref="G27">_xlfn.TEXTJOIN(",",TRUE,IF(I27:X27&lt;&gt;"",D27&amp;I27:X27,""))</f>
        <v xml:space="preserve">GBAID,GBCTRY,GBFY,GBFQ,GBLT,GBSBL,GBSBLT,GBCRCD	</v>
      </c>
      <c r="H27" s="38" t="s">
        <v>452</v>
      </c>
      <c r="I27" s="38" t="s">
        <v>455</v>
      </c>
      <c r="J27" s="38" t="s">
        <v>604</v>
      </c>
      <c r="K27" s="38" t="s">
        <v>605</v>
      </c>
      <c r="L27" s="38" t="s">
        <v>606</v>
      </c>
      <c r="M27" s="38" t="s">
        <v>445</v>
      </c>
      <c r="N27" s="38" t="s">
        <v>457</v>
      </c>
      <c r="O27" s="38" t="s">
        <v>458</v>
      </c>
      <c r="P27" s="38" t="s">
        <v>612</v>
      </c>
      <c r="Q27" s="38"/>
      <c r="R27" s="38"/>
      <c r="S27" s="38"/>
      <c r="T27" s="38"/>
      <c r="U27" s="38"/>
      <c r="V27" s="38"/>
      <c r="W27" s="38"/>
      <c r="X27" s="38"/>
      <c r="Y27" s="40">
        <v>8225</v>
      </c>
      <c r="Z27" s="41">
        <f>+Table334[[#This Row],[Size (MB)]]/1024</f>
        <v>8.0322265625</v>
      </c>
      <c r="AA27" s="36" t="s">
        <v>431</v>
      </c>
      <c r="AD27" s="36" t="s">
        <v>433</v>
      </c>
      <c r="AE27" s="36" t="s">
        <v>434</v>
      </c>
      <c r="AF27" s="36" t="s">
        <v>435</v>
      </c>
    </row>
    <row r="28" spans="1:32">
      <c r="A28" s="38">
        <v>28</v>
      </c>
      <c r="B28" s="38" t="s">
        <v>613</v>
      </c>
      <c r="C28" s="38" t="s">
        <v>614</v>
      </c>
      <c r="D28" s="38" t="s">
        <v>615</v>
      </c>
      <c r="E28" s="38" t="s">
        <v>616</v>
      </c>
      <c r="F28" s="38"/>
      <c r="G28" s="38" t="str" cm="1">
        <f t="array" ref="G28">_xlfn.TEXTJOIN(",",TRUE,IF(I28:X28&lt;&gt;"",D28&amp;I28:X28,""))</f>
        <v>SHDOCO,SHDCTO,SHKCOO</v>
      </c>
      <c r="H28" s="38" t="s">
        <v>475</v>
      </c>
      <c r="I28" s="38" t="s">
        <v>426</v>
      </c>
      <c r="J28" s="38" t="s">
        <v>427</v>
      </c>
      <c r="K28" s="38" t="s">
        <v>428</v>
      </c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40">
        <v>6829.88</v>
      </c>
      <c r="Z28" s="41">
        <f>+Table334[[#This Row],[Size (MB)]]/1024</f>
        <v>6.6698046875000001</v>
      </c>
      <c r="AA28" s="36" t="s">
        <v>431</v>
      </c>
      <c r="AD28" s="36" t="s">
        <v>433</v>
      </c>
      <c r="AE28" s="36" t="s">
        <v>434</v>
      </c>
      <c r="AF28" s="36" t="s">
        <v>435</v>
      </c>
    </row>
    <row r="29" spans="1:32">
      <c r="A29" s="38">
        <v>29</v>
      </c>
      <c r="B29" s="38" t="s">
        <v>617</v>
      </c>
      <c r="C29" s="38" t="s">
        <v>618</v>
      </c>
      <c r="D29" s="38" t="s">
        <v>619</v>
      </c>
      <c r="E29" s="38" t="s">
        <v>620</v>
      </c>
      <c r="F29" s="38"/>
      <c r="G29" s="38" t="str" cm="1">
        <f t="array" ref="G29">_xlfn.TEXTJOIN(",",TRUE,IF(I29:X29&lt;&gt;"",D29&amp;I29:X29,""))</f>
        <v>FHSHPN,FHRSSN,FHSDSQ,FHSCSN,FHUK01 (pk)</v>
      </c>
      <c r="H29" s="38" t="s">
        <v>560</v>
      </c>
      <c r="I29" s="38" t="s">
        <v>585</v>
      </c>
      <c r="J29" s="38" t="s">
        <v>621</v>
      </c>
      <c r="K29" s="38" t="s">
        <v>622</v>
      </c>
      <c r="L29" s="38" t="s">
        <v>623</v>
      </c>
      <c r="M29" s="38" t="s">
        <v>624</v>
      </c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40">
        <v>4936</v>
      </c>
      <c r="Z29" s="41">
        <f>+Table334[[#This Row],[Size (MB)]]/1024</f>
        <v>4.8203125</v>
      </c>
      <c r="AA29" s="36" t="s">
        <v>431</v>
      </c>
      <c r="AD29" s="36" t="s">
        <v>433</v>
      </c>
      <c r="AE29" s="36" t="s">
        <v>434</v>
      </c>
      <c r="AF29" s="36" t="s">
        <v>435</v>
      </c>
    </row>
    <row r="30" spans="1:32">
      <c r="A30" s="38">
        <v>30</v>
      </c>
      <c r="B30" s="38" t="s">
        <v>625</v>
      </c>
      <c r="C30" s="38" t="s">
        <v>626</v>
      </c>
      <c r="D30" s="38" t="s">
        <v>627</v>
      </c>
      <c r="E30" s="38" t="s">
        <v>628</v>
      </c>
      <c r="F30" s="38"/>
      <c r="G30" s="38" t="str" cm="1">
        <f t="array" ref="G30">_xlfn.TEXTJOIN(",",TRUE,IF(I30:X30&lt;&gt;"",D30&amp;I30:X30,""))</f>
        <v>RNPYID,RNRC5</v>
      </c>
      <c r="H30" s="38" t="s">
        <v>425</v>
      </c>
      <c r="I30" s="38" t="s">
        <v>595</v>
      </c>
      <c r="J30" s="38" t="s">
        <v>596</v>
      </c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40">
        <v>3922</v>
      </c>
      <c r="Z30" s="41">
        <f>+Table334[[#This Row],[Size (MB)]]/1024</f>
        <v>3.830078125</v>
      </c>
      <c r="AA30" s="36" t="s">
        <v>431</v>
      </c>
      <c r="AD30" s="36" t="s">
        <v>433</v>
      </c>
      <c r="AE30" s="36" t="s">
        <v>434</v>
      </c>
      <c r="AF30" s="36" t="s">
        <v>435</v>
      </c>
    </row>
    <row r="31" spans="1:32">
      <c r="A31" s="38">
        <v>31</v>
      </c>
      <c r="B31" s="38" t="s">
        <v>629</v>
      </c>
      <c r="C31" s="38" t="s">
        <v>630</v>
      </c>
      <c r="D31" s="38" t="s">
        <v>631</v>
      </c>
      <c r="E31" s="38" t="s">
        <v>632</v>
      </c>
      <c r="F31" s="38"/>
      <c r="G31" s="38" t="str" cm="1">
        <f t="array" ref="G31">_xlfn.TEXTJOIN(",",TRUE,IF(I31:X31&lt;&gt;"",D31&amp;I31:X31,""))</f>
        <v/>
      </c>
      <c r="H31" s="38" t="s">
        <v>584</v>
      </c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40">
        <v>3205</v>
      </c>
      <c r="Z31" s="41">
        <f>+Table334[[#This Row],[Size (MB)]]/1024</f>
        <v>3.1298828125</v>
      </c>
      <c r="AA31" s="36" t="s">
        <v>431</v>
      </c>
      <c r="AD31" s="36" t="s">
        <v>433</v>
      </c>
      <c r="AE31" s="36" t="s">
        <v>434</v>
      </c>
      <c r="AF31" s="36" t="s">
        <v>435</v>
      </c>
    </row>
    <row r="32" spans="1:32">
      <c r="A32" s="38">
        <v>32</v>
      </c>
      <c r="B32" s="38" t="s">
        <v>633</v>
      </c>
      <c r="C32" s="38" t="s">
        <v>634</v>
      </c>
      <c r="D32" s="38" t="s">
        <v>635</v>
      </c>
      <c r="E32" s="38" t="s">
        <v>636</v>
      </c>
      <c r="F32" s="38"/>
      <c r="G32" s="38" t="str" cm="1">
        <f t="array" ref="G32">_xlfn.TEXTJOIN(",",TRUE,IF(I32:X32&lt;&gt;"",D32&amp;I32:X32,""))</f>
        <v>INDCT,INFY,INCTRY,INITM,INMCU,INLOCN,INLOTN,INGLPT,INAN8,INSHAN</v>
      </c>
      <c r="H32" s="38" t="s">
        <v>637</v>
      </c>
      <c r="I32" s="38" t="s">
        <v>440</v>
      </c>
      <c r="J32" s="38" t="s">
        <v>605</v>
      </c>
      <c r="K32" s="38" t="s">
        <v>604</v>
      </c>
      <c r="L32" s="38" t="s">
        <v>467</v>
      </c>
      <c r="M32" s="38" t="s">
        <v>481</v>
      </c>
      <c r="N32" s="38" t="s">
        <v>638</v>
      </c>
      <c r="O32" s="38" t="s">
        <v>639</v>
      </c>
      <c r="P32" s="38" t="s">
        <v>640</v>
      </c>
      <c r="Q32" s="38" t="s">
        <v>513</v>
      </c>
      <c r="R32" s="38" t="s">
        <v>641</v>
      </c>
      <c r="S32" s="38"/>
      <c r="T32" s="38"/>
      <c r="U32" s="38"/>
      <c r="V32" s="38"/>
      <c r="W32" s="38"/>
      <c r="X32" s="38"/>
      <c r="Y32" s="40">
        <v>2616</v>
      </c>
      <c r="Z32" s="35">
        <f>+Table334[[#This Row],[Size (MB)]]/1024</f>
        <v>2.5546875</v>
      </c>
      <c r="AA32" s="36" t="s">
        <v>431</v>
      </c>
      <c r="AD32" s="36" t="s">
        <v>433</v>
      </c>
      <c r="AE32" s="36" t="s">
        <v>434</v>
      </c>
      <c r="AF32" s="36" t="s">
        <v>435</v>
      </c>
    </row>
    <row r="33" spans="1:32">
      <c r="A33" s="38">
        <v>33</v>
      </c>
      <c r="B33" s="38" t="s">
        <v>642</v>
      </c>
      <c r="C33" s="38" t="s">
        <v>643</v>
      </c>
      <c r="D33" s="38" t="s">
        <v>644</v>
      </c>
      <c r="E33" s="38" t="s">
        <v>645</v>
      </c>
      <c r="F33" s="38"/>
      <c r="G33" s="38" t="str" cm="1">
        <f t="array" ref="G33">_xlfn.TEXTJOIN(",",TRUE,IF(I33:X33&lt;&gt;"",D33&amp;I33:X33,""))</f>
        <v>PJCYNO,PJLITM,PJMCU,PJLOCN,PJLOTN,PJSTUN</v>
      </c>
      <c r="H33" s="38" t="s">
        <v>425</v>
      </c>
      <c r="I33" s="38" t="s">
        <v>646</v>
      </c>
      <c r="J33" s="38" t="s">
        <v>647</v>
      </c>
      <c r="K33" s="38" t="s">
        <v>481</v>
      </c>
      <c r="L33" s="38" t="s">
        <v>638</v>
      </c>
      <c r="M33" s="38" t="s">
        <v>639</v>
      </c>
      <c r="N33" s="38" t="s">
        <v>648</v>
      </c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40">
        <v>2502</v>
      </c>
      <c r="Z33" s="35">
        <f>+Table334[[#This Row],[Size (MB)]]/1024</f>
        <v>2.443359375</v>
      </c>
      <c r="AA33" s="36" t="s">
        <v>431</v>
      </c>
      <c r="AD33" s="36" t="s">
        <v>433</v>
      </c>
      <c r="AE33" s="36" t="s">
        <v>434</v>
      </c>
      <c r="AF33" s="36" t="s">
        <v>435</v>
      </c>
    </row>
    <row r="34" spans="1:32">
      <c r="A34" s="38">
        <v>34</v>
      </c>
      <c r="B34" s="38" t="s">
        <v>649</v>
      </c>
      <c r="C34" s="38" t="s">
        <v>650</v>
      </c>
      <c r="D34" s="38" t="s">
        <v>651</v>
      </c>
      <c r="E34" s="38" t="s">
        <v>652</v>
      </c>
      <c r="F34" s="38"/>
      <c r="G34" s="38" t="str" cm="1">
        <f t="array" ref="G34">_xlfn.TEXTJOIN(",",TRUE,IF(I34:X34&lt;&gt;"",D34&amp;I34:X34,""))</f>
        <v>WADOCO</v>
      </c>
      <c r="H34" s="38" t="s">
        <v>480</v>
      </c>
      <c r="I34" s="38" t="s">
        <v>426</v>
      </c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40">
        <v>938</v>
      </c>
      <c r="Z34" s="35">
        <f>+Table334[[#This Row],[Size (MB)]]/1024</f>
        <v>0.916015625</v>
      </c>
      <c r="AA34" s="36" t="s">
        <v>431</v>
      </c>
      <c r="AD34" s="36" t="s">
        <v>433</v>
      </c>
      <c r="AE34" s="36" t="s">
        <v>434</v>
      </c>
      <c r="AF34" s="36" t="s">
        <v>435</v>
      </c>
    </row>
    <row r="35" spans="1:32">
      <c r="A35" s="38">
        <v>35</v>
      </c>
      <c r="B35" s="38" t="s">
        <v>653</v>
      </c>
      <c r="C35" s="38" t="s">
        <v>654</v>
      </c>
      <c r="D35" s="38" t="s">
        <v>651</v>
      </c>
      <c r="E35" s="38" t="s">
        <v>652</v>
      </c>
      <c r="F35" s="38"/>
      <c r="G35" s="38" t="str" cm="1">
        <f t="array" ref="G35">_xlfn.TEXTJOIN(",",TRUE,IF(I35:X35&lt;&gt;"",D35&amp;I35:X35,""))</f>
        <v>WADOCO</v>
      </c>
      <c r="H35" s="38" t="s">
        <v>480</v>
      </c>
      <c r="I35" s="38" t="s">
        <v>426</v>
      </c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40">
        <v>808</v>
      </c>
      <c r="Z35" s="35">
        <f>+Table334[[#This Row],[Size (MB)]]/1024</f>
        <v>0.7890625</v>
      </c>
      <c r="AA35" s="36" t="s">
        <v>431</v>
      </c>
      <c r="AD35" s="36" t="s">
        <v>433</v>
      </c>
      <c r="AE35" s="36" t="s">
        <v>434</v>
      </c>
      <c r="AF35" s="36" t="s">
        <v>435</v>
      </c>
    </row>
    <row r="36" spans="1:32">
      <c r="A36" s="38">
        <v>36</v>
      </c>
      <c r="B36" s="38" t="s">
        <v>655</v>
      </c>
      <c r="C36" s="38" t="s">
        <v>656</v>
      </c>
      <c r="D36" s="38" t="s">
        <v>657</v>
      </c>
      <c r="E36" s="38" t="s">
        <v>658</v>
      </c>
      <c r="F36" s="38"/>
      <c r="G36" s="38" t="str" cm="1">
        <f t="array" ref="G36">_xlfn.TEXTJOIN(",",TRUE,IF(I36:X36&lt;&gt;"",D36&amp;I36:X36,""))</f>
        <v>WMDOCO,WMOPSQ,WMBSEQ</v>
      </c>
      <c r="H36" s="38" t="s">
        <v>519</v>
      </c>
      <c r="I36" s="38" t="s">
        <v>426</v>
      </c>
      <c r="J36" s="38" t="s">
        <v>659</v>
      </c>
      <c r="K36" s="38" t="s">
        <v>660</v>
      </c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40">
        <v>738</v>
      </c>
      <c r="Z36" s="35">
        <f>+Table334[[#This Row],[Size (MB)]]/1024</f>
        <v>0.720703125</v>
      </c>
      <c r="AA36" s="36" t="s">
        <v>431</v>
      </c>
      <c r="AD36" s="36" t="s">
        <v>433</v>
      </c>
      <c r="AE36" s="36" t="s">
        <v>434</v>
      </c>
      <c r="AF36" s="36" t="s">
        <v>435</v>
      </c>
    </row>
    <row r="37" spans="1:32">
      <c r="A37" s="38">
        <v>37</v>
      </c>
      <c r="B37" s="38" t="s">
        <v>661</v>
      </c>
      <c r="C37" s="38" t="s">
        <v>662</v>
      </c>
      <c r="D37" s="38" t="s">
        <v>663</v>
      </c>
      <c r="E37" s="38" t="s">
        <v>664</v>
      </c>
      <c r="F37" s="38"/>
      <c r="G37" s="38" t="str" cm="1">
        <f t="array" ref="G37">_xlfn.TEXTJOIN(",",TRUE,IF(I37:X37&lt;&gt;"",D37&amp;I37:X37,""))</f>
        <v>RYPYID</v>
      </c>
      <c r="H37" s="38" t="s">
        <v>475</v>
      </c>
      <c r="I37" s="38" t="s">
        <v>595</v>
      </c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40">
        <v>376</v>
      </c>
      <c r="Z37" s="35">
        <f>+Table334[[#This Row],[Size (MB)]]/1024</f>
        <v>0.3671875</v>
      </c>
      <c r="AA37" s="36" t="s">
        <v>431</v>
      </c>
      <c r="AD37" s="36" t="s">
        <v>433</v>
      </c>
      <c r="AE37" s="36" t="s">
        <v>434</v>
      </c>
      <c r="AF37" s="36" t="s">
        <v>435</v>
      </c>
    </row>
    <row r="38" spans="1:32">
      <c r="A38" s="38">
        <v>38</v>
      </c>
      <c r="B38" s="38" t="s">
        <v>665</v>
      </c>
      <c r="C38" s="38" t="s">
        <v>666</v>
      </c>
      <c r="D38" s="38" t="s">
        <v>667</v>
      </c>
      <c r="E38" s="38" t="s">
        <v>668</v>
      </c>
      <c r="F38" s="38"/>
      <c r="G38" s="38" t="str" cm="1">
        <f t="array" ref="G38">_xlfn.TEXTJOIN(",",TRUE,IF(I38:X38&lt;&gt;"",D38&amp;I38:X38,""))</f>
        <v>HOHCOD,HODCTO,HODOCO,HOKCOO,HOSFXO,HOLNID,HODLNID,HORDJ,HORDT,HOASTS,HORPER</v>
      </c>
      <c r="H38" s="38" t="s">
        <v>560</v>
      </c>
      <c r="I38" s="38" t="s">
        <v>669</v>
      </c>
      <c r="J38" s="38" t="s">
        <v>427</v>
      </c>
      <c r="K38" s="38" t="s">
        <v>426</v>
      </c>
      <c r="L38" s="38" t="s">
        <v>428</v>
      </c>
      <c r="M38" s="38" t="s">
        <v>429</v>
      </c>
      <c r="N38" s="38" t="s">
        <v>430</v>
      </c>
      <c r="O38" s="38" t="s">
        <v>670</v>
      </c>
      <c r="P38" s="38" t="s">
        <v>671</v>
      </c>
      <c r="Q38" s="38" t="s">
        <v>672</v>
      </c>
      <c r="R38" s="38" t="s">
        <v>673</v>
      </c>
      <c r="S38" s="38" t="s">
        <v>674</v>
      </c>
      <c r="T38" s="38"/>
      <c r="U38" s="38"/>
      <c r="V38" s="38"/>
      <c r="W38" s="38"/>
      <c r="X38" s="38"/>
      <c r="Y38" s="40">
        <v>324</v>
      </c>
      <c r="Z38" s="35">
        <f>+Table334[[#This Row],[Size (MB)]]/1024</f>
        <v>0.31640625</v>
      </c>
      <c r="AA38" s="36" t="s">
        <v>431</v>
      </c>
      <c r="AD38" s="36" t="s">
        <v>433</v>
      </c>
      <c r="AE38" s="36" t="s">
        <v>434</v>
      </c>
      <c r="AF38" s="36" t="s">
        <v>435</v>
      </c>
    </row>
    <row r="39" spans="1:32">
      <c r="A39" s="38">
        <v>39</v>
      </c>
      <c r="B39" s="38" t="s">
        <v>675</v>
      </c>
      <c r="C39" s="38" t="s">
        <v>676</v>
      </c>
      <c r="D39" s="38" t="s">
        <v>677</v>
      </c>
      <c r="E39" s="38" t="s">
        <v>678</v>
      </c>
      <c r="F39" s="38"/>
      <c r="G39" s="38" t="str" cm="1">
        <f t="array" ref="G39">_xlfn.TEXTJOIN(",",TRUE,IF(I39:X39&lt;&gt;"",D39&amp;I39:X39,""))</f>
        <v>RMPYID</v>
      </c>
      <c r="H39" s="38" t="s">
        <v>475</v>
      </c>
      <c r="I39" s="38" t="s">
        <v>595</v>
      </c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40">
        <v>288</v>
      </c>
      <c r="Z39" s="35">
        <f>+Table334[[#This Row],[Size (MB)]]/1024</f>
        <v>0.28125</v>
      </c>
      <c r="AA39" s="36" t="s">
        <v>431</v>
      </c>
      <c r="AD39" s="36" t="s">
        <v>433</v>
      </c>
      <c r="AE39" s="36" t="s">
        <v>434</v>
      </c>
      <c r="AF39" s="36" t="s">
        <v>435</v>
      </c>
    </row>
    <row r="40" spans="1:32">
      <c r="A40" s="38">
        <v>40</v>
      </c>
      <c r="B40" s="38" t="s">
        <v>679</v>
      </c>
      <c r="C40" s="38" t="s">
        <v>680</v>
      </c>
      <c r="D40" s="38" t="s">
        <v>681</v>
      </c>
      <c r="E40" s="38" t="s">
        <v>682</v>
      </c>
      <c r="F40" s="38"/>
      <c r="G40" s="38" t="str" cm="1">
        <f t="array" ref="G40">_xlfn.TEXTJOIN(",",TRUE,IF(I40:X40&lt;&gt;"",D40&amp;I40:X40,""))</f>
        <v>LIITM,LIMCU,LILOCN,LILOTN</v>
      </c>
      <c r="H40" s="38" t="s">
        <v>560</v>
      </c>
      <c r="I40" s="38" t="s">
        <v>467</v>
      </c>
      <c r="J40" s="38" t="s">
        <v>481</v>
      </c>
      <c r="K40" s="38" t="s">
        <v>638</v>
      </c>
      <c r="L40" s="38" t="s">
        <v>639</v>
      </c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40">
        <v>249.63</v>
      </c>
      <c r="Z40" s="35">
        <f>+Table334[[#This Row],[Size (MB)]]/1024</f>
        <v>0.243779296875</v>
      </c>
      <c r="AA40" s="36" t="s">
        <v>431</v>
      </c>
      <c r="AD40" s="36" t="s">
        <v>433</v>
      </c>
      <c r="AE40" s="36" t="s">
        <v>434</v>
      </c>
      <c r="AF40" s="36" t="s">
        <v>435</v>
      </c>
    </row>
    <row r="41" spans="1:32">
      <c r="A41" s="38">
        <v>41</v>
      </c>
      <c r="B41" s="38" t="s">
        <v>683</v>
      </c>
      <c r="C41" s="38" t="s">
        <v>684</v>
      </c>
      <c r="D41" s="38" t="s">
        <v>685</v>
      </c>
      <c r="E41" s="38" t="s">
        <v>686</v>
      </c>
      <c r="F41" s="38"/>
      <c r="G41" s="38" t="str" cm="1">
        <f t="array" ref="G41">_xlfn.TEXTJOIN(",",TRUE,IF(I41:X41&lt;&gt;"",D41&amp;I41:X41,""))</f>
        <v/>
      </c>
      <c r="H41" s="38" t="s">
        <v>425</v>
      </c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40">
        <v>200</v>
      </c>
      <c r="Z41" s="35">
        <f>+Table334[[#This Row],[Size (MB)]]/1024</f>
        <v>0.1953125</v>
      </c>
      <c r="AA41" s="36" t="s">
        <v>431</v>
      </c>
      <c r="AD41" s="36" t="s">
        <v>433</v>
      </c>
      <c r="AE41" s="36" t="s">
        <v>434</v>
      </c>
      <c r="AF41" s="36" t="s">
        <v>435</v>
      </c>
    </row>
    <row r="42" spans="1:32">
      <c r="A42" s="38">
        <v>42</v>
      </c>
      <c r="B42" s="38" t="s">
        <v>687</v>
      </c>
      <c r="C42" s="38" t="s">
        <v>688</v>
      </c>
      <c r="D42" s="38" t="s">
        <v>689</v>
      </c>
      <c r="E42" s="38" t="s">
        <v>690</v>
      </c>
      <c r="F42" s="38"/>
      <c r="G42" s="38" t="str" cm="1">
        <f t="array" ref="G42">_xlfn.TEXTJOIN(",",TRUE,IF(I42:X42&lt;&gt;"",D42&amp;I42:X42,""))</f>
        <v>FWAPID,FWMSTS,FWSRVT,FWCPLD,FWUKID (pk)</v>
      </c>
      <c r="H42" s="38" t="s">
        <v>560</v>
      </c>
      <c r="I42" s="38" t="s">
        <v>691</v>
      </c>
      <c r="J42" s="38" t="s">
        <v>692</v>
      </c>
      <c r="K42" s="38" t="s">
        <v>693</v>
      </c>
      <c r="L42" s="38" t="s">
        <v>694</v>
      </c>
      <c r="M42" s="38" t="s">
        <v>695</v>
      </c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40">
        <v>160</v>
      </c>
      <c r="Z42" s="35">
        <f>+Table334[[#This Row],[Size (MB)]]/1024</f>
        <v>0.15625</v>
      </c>
      <c r="AA42" s="36" t="s">
        <v>431</v>
      </c>
      <c r="AD42" s="36" t="s">
        <v>433</v>
      </c>
      <c r="AE42" s="36" t="s">
        <v>434</v>
      </c>
      <c r="AF42" s="36" t="s">
        <v>435</v>
      </c>
    </row>
    <row r="43" spans="1:32">
      <c r="A43" s="38">
        <v>43</v>
      </c>
      <c r="B43" s="38" t="s">
        <v>696</v>
      </c>
      <c r="C43" s="38" t="s">
        <v>697</v>
      </c>
      <c r="D43" s="38" t="s">
        <v>698</v>
      </c>
      <c r="E43" s="38" t="s">
        <v>699</v>
      </c>
      <c r="F43" s="38"/>
      <c r="G43" s="38" t="str" cm="1">
        <f t="array" ref="G43">_xlfn.TEXTJOIN(",",TRUE,IF(I43:X43&lt;&gt;"",D43&amp;I43:X43,""))</f>
        <v/>
      </c>
      <c r="H43" s="38" t="s">
        <v>475</v>
      </c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40">
        <v>153</v>
      </c>
      <c r="Z43" s="35">
        <f>+Table334[[#This Row],[Size (MB)]]/1024</f>
        <v>0.1494140625</v>
      </c>
      <c r="AA43" s="36" t="s">
        <v>431</v>
      </c>
      <c r="AD43" s="36" t="s">
        <v>433</v>
      </c>
      <c r="AE43" s="36" t="s">
        <v>434</v>
      </c>
      <c r="AF43" s="36" t="s">
        <v>435</v>
      </c>
    </row>
    <row r="44" spans="1:32">
      <c r="A44" s="38">
        <v>44</v>
      </c>
      <c r="B44" s="38" t="s">
        <v>700</v>
      </c>
      <c r="C44" s="38" t="s">
        <v>701</v>
      </c>
      <c r="D44" s="38" t="s">
        <v>702</v>
      </c>
      <c r="E44" s="38" t="s">
        <v>703</v>
      </c>
      <c r="F44" s="38"/>
      <c r="G44" s="38" t="str" cm="1">
        <f t="array" ref="G44">_xlfn.TEXTJOIN(",",TRUE,IF(I44:X44&lt;&gt;"",D44&amp;I44:X44,""))</f>
        <v>IBMCU,IBITM</v>
      </c>
      <c r="H44" s="38" t="s">
        <v>475</v>
      </c>
      <c r="I44" s="38" t="s">
        <v>481</v>
      </c>
      <c r="J44" s="38" t="s">
        <v>467</v>
      </c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40">
        <v>143.13</v>
      </c>
      <c r="Z44" s="35">
        <f>+Table334[[#This Row],[Size (MB)]]/1024</f>
        <v>0.139775390625</v>
      </c>
      <c r="AA44" s="36" t="s">
        <v>431</v>
      </c>
      <c r="AD44" s="36" t="s">
        <v>433</v>
      </c>
      <c r="AE44" s="36" t="s">
        <v>434</v>
      </c>
      <c r="AF44" s="36" t="s">
        <v>435</v>
      </c>
    </row>
    <row r="45" spans="1:32">
      <c r="A45" s="38">
        <v>45</v>
      </c>
      <c r="B45" s="38" t="s">
        <v>704</v>
      </c>
      <c r="C45" s="38" t="s">
        <v>705</v>
      </c>
      <c r="D45" s="38" t="s">
        <v>706</v>
      </c>
      <c r="E45" s="38" t="s">
        <v>707</v>
      </c>
      <c r="F45" s="38"/>
      <c r="G45" s="38" t="str" cm="1">
        <f t="array" ref="G45">_xlfn.TEXTJOIN(",",TRUE,IF(I45:X45&lt;&gt;"",D45&amp;I45:X45,""))</f>
        <v>WWAN8,WWIDLN</v>
      </c>
      <c r="H45" s="38" t="s">
        <v>519</v>
      </c>
      <c r="I45" s="38" t="s">
        <v>513</v>
      </c>
      <c r="J45" s="38" t="s">
        <v>708</v>
      </c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40">
        <v>133</v>
      </c>
      <c r="Z45" s="35">
        <f>+Table334[[#This Row],[Size (MB)]]/1024</f>
        <v>0.1298828125</v>
      </c>
      <c r="AA45" s="36" t="s">
        <v>431</v>
      </c>
      <c r="AD45" s="36" t="s">
        <v>433</v>
      </c>
      <c r="AE45" s="36" t="s">
        <v>434</v>
      </c>
      <c r="AF45" s="36" t="s">
        <v>435</v>
      </c>
    </row>
    <row r="46" spans="1:32">
      <c r="A46" s="38">
        <v>46</v>
      </c>
      <c r="B46" s="38" t="s">
        <v>709</v>
      </c>
      <c r="C46" s="38" t="s">
        <v>710</v>
      </c>
      <c r="D46" s="38" t="s">
        <v>711</v>
      </c>
      <c r="E46" s="38" t="s">
        <v>712</v>
      </c>
      <c r="F46" s="38"/>
      <c r="G46" s="38" t="str" cm="1">
        <f t="array" ref="G46">_xlfn.TEXTJOIN(",",TRUE,IF(I46:X46&lt;&gt;"",D46&amp;I46:X46,""))</f>
        <v>IVITM,IVXRT,IVAN8,IVCITM,IVEXDJ,IVCIRV</v>
      </c>
      <c r="H46" s="38" t="s">
        <v>533</v>
      </c>
      <c r="I46" s="38" t="s">
        <v>467</v>
      </c>
      <c r="J46" s="38" t="s">
        <v>713</v>
      </c>
      <c r="K46" s="43" t="s">
        <v>513</v>
      </c>
      <c r="L46" s="38" t="s">
        <v>714</v>
      </c>
      <c r="M46" s="38" t="s">
        <v>555</v>
      </c>
      <c r="N46" s="38" t="s">
        <v>715</v>
      </c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40">
        <v>121</v>
      </c>
      <c r="Z46" s="35">
        <f>+Table334[[#This Row],[Size (MB)]]/1024</f>
        <v>0.1181640625</v>
      </c>
      <c r="AA46" s="36" t="s">
        <v>431</v>
      </c>
      <c r="AD46" s="36" t="s">
        <v>433</v>
      </c>
      <c r="AE46" s="36" t="s">
        <v>434</v>
      </c>
      <c r="AF46" s="36" t="s">
        <v>435</v>
      </c>
    </row>
    <row r="47" spans="1:32">
      <c r="A47" s="38">
        <v>47</v>
      </c>
      <c r="B47" s="38" t="s">
        <v>716</v>
      </c>
      <c r="C47" s="38" t="s">
        <v>717</v>
      </c>
      <c r="D47" s="38" t="s">
        <v>718</v>
      </c>
      <c r="E47" s="38" t="s">
        <v>719</v>
      </c>
      <c r="F47" s="38"/>
      <c r="G47" s="38" t="str" cm="1">
        <f t="array" ref="G47">_xlfn.TEXTJOIN(",",TRUE,IF(I47:X47&lt;&gt;"",D47&amp;I47:X47,""))</f>
        <v>SZITM,SZMCU,SZLOCN,SZLOTN,SZLEDG</v>
      </c>
      <c r="H47" s="38" t="s">
        <v>519</v>
      </c>
      <c r="I47" s="38" t="s">
        <v>467</v>
      </c>
      <c r="J47" s="38" t="s">
        <v>481</v>
      </c>
      <c r="K47" s="38" t="s">
        <v>638</v>
      </c>
      <c r="L47" s="38" t="s">
        <v>639</v>
      </c>
      <c r="M47" s="38" t="s">
        <v>720</v>
      </c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40">
        <v>120</v>
      </c>
      <c r="Z47" s="35">
        <f>+Table334[[#This Row],[Size (MB)]]/1024</f>
        <v>0.1171875</v>
      </c>
      <c r="AA47" s="36" t="s">
        <v>431</v>
      </c>
      <c r="AD47" s="36" t="s">
        <v>433</v>
      </c>
      <c r="AE47" s="36" t="s">
        <v>434</v>
      </c>
      <c r="AF47" s="36" t="s">
        <v>435</v>
      </c>
    </row>
    <row r="48" spans="1:32">
      <c r="A48" s="38">
        <v>48</v>
      </c>
      <c r="B48" s="38" t="s">
        <v>721</v>
      </c>
      <c r="C48" s="38" t="s">
        <v>722</v>
      </c>
      <c r="D48" s="38" t="s">
        <v>487</v>
      </c>
      <c r="E48" s="38" t="s">
        <v>488</v>
      </c>
      <c r="F48" s="38"/>
      <c r="G48" s="38" t="str" cm="1">
        <f t="array" ref="G48">_xlfn.TEXTJOIN(",",TRUE,IF(I48:X48&lt;&gt;"",D48&amp;I48:X48,""))</f>
        <v>SDICUT,SDUSER,SDDOCO,SDDOC,SDDGJ</v>
      </c>
      <c r="H48" s="38" t="s">
        <v>533</v>
      </c>
      <c r="I48" s="38" t="s">
        <v>723</v>
      </c>
      <c r="J48" s="38" t="s">
        <v>724</v>
      </c>
      <c r="K48" s="38" t="s">
        <v>426</v>
      </c>
      <c r="L48" s="38" t="s">
        <v>441</v>
      </c>
      <c r="M48" s="38" t="s">
        <v>443</v>
      </c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40">
        <v>113</v>
      </c>
      <c r="Z48" s="35">
        <f>+Table334[[#This Row],[Size (MB)]]/1024</f>
        <v>0.1103515625</v>
      </c>
      <c r="AA48" s="36" t="s">
        <v>431</v>
      </c>
      <c r="AD48" s="36" t="s">
        <v>433</v>
      </c>
      <c r="AE48" s="36" t="s">
        <v>434</v>
      </c>
      <c r="AF48" s="36" t="s">
        <v>435</v>
      </c>
    </row>
    <row r="49" spans="1:32">
      <c r="A49" s="38">
        <v>49</v>
      </c>
      <c r="B49" s="38" t="s">
        <v>725</v>
      </c>
      <c r="C49" s="38" t="s">
        <v>726</v>
      </c>
      <c r="D49" s="38" t="s">
        <v>727</v>
      </c>
      <c r="E49" s="38" t="s">
        <v>728</v>
      </c>
      <c r="F49" s="38"/>
      <c r="G49" s="38" t="str" cm="1">
        <f t="array" ref="G49">_xlfn.TEXTJOIN(",",TRUE,IF(I49:X49&lt;&gt;"",D49&amp;I49:X49,""))</f>
        <v>WLDOCO,WLOPSQ,WLOPSC,WLMCU</v>
      </c>
      <c r="H49" s="38" t="s">
        <v>560</v>
      </c>
      <c r="I49" s="38" t="s">
        <v>426</v>
      </c>
      <c r="J49" s="38" t="s">
        <v>659</v>
      </c>
      <c r="K49" s="38" t="s">
        <v>729</v>
      </c>
      <c r="L49" s="38" t="s">
        <v>481</v>
      </c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40">
        <v>96</v>
      </c>
      <c r="Z49" s="35">
        <f>+Table334[[#This Row],[Size (MB)]]/1024</f>
        <v>9.375E-2</v>
      </c>
      <c r="AA49" s="36" t="s">
        <v>431</v>
      </c>
      <c r="AD49" s="36" t="s">
        <v>433</v>
      </c>
      <c r="AE49" s="36" t="s">
        <v>434</v>
      </c>
      <c r="AF49" s="36" t="s">
        <v>435</v>
      </c>
    </row>
    <row r="50" spans="1:32">
      <c r="A50" s="38">
        <v>50</v>
      </c>
      <c r="B50" s="38" t="s">
        <v>730</v>
      </c>
      <c r="C50" s="38" t="s">
        <v>731</v>
      </c>
      <c r="D50" s="38" t="s">
        <v>732</v>
      </c>
      <c r="E50" s="38" t="s">
        <v>733</v>
      </c>
      <c r="F50" s="38"/>
      <c r="G50" s="38" t="str" cm="1">
        <f t="array" ref="G50">_xlfn.TEXTJOIN(",",TRUE,IF(I50:X50&lt;&gt;"",D50&amp;I50:X50,""))</f>
        <v>IEITM,IEMMCU,IELOCN,IELOTN,IELEDG,IECOST</v>
      </c>
      <c r="H50" s="38" t="s">
        <v>480</v>
      </c>
      <c r="I50" s="38" t="s">
        <v>467</v>
      </c>
      <c r="J50" s="38" t="s">
        <v>734</v>
      </c>
      <c r="K50" s="38" t="s">
        <v>638</v>
      </c>
      <c r="L50" s="38" t="s">
        <v>639</v>
      </c>
      <c r="M50" s="38" t="s">
        <v>720</v>
      </c>
      <c r="N50" s="38" t="s">
        <v>735</v>
      </c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40">
        <v>96</v>
      </c>
      <c r="Z50" s="35">
        <f>+Table334[[#This Row],[Size (MB)]]/1024</f>
        <v>9.375E-2</v>
      </c>
      <c r="AA50" s="36" t="s">
        <v>431</v>
      </c>
      <c r="AD50" s="36" t="s">
        <v>433</v>
      </c>
      <c r="AE50" s="36" t="s">
        <v>434</v>
      </c>
      <c r="AF50" s="36" t="s">
        <v>435</v>
      </c>
    </row>
    <row r="51" spans="1:32">
      <c r="A51" s="38">
        <v>51</v>
      </c>
      <c r="B51" s="38" t="s">
        <v>736</v>
      </c>
      <c r="C51" s="38" t="s">
        <v>737</v>
      </c>
      <c r="D51" s="38" t="s">
        <v>738</v>
      </c>
      <c r="E51" s="38" t="s">
        <v>739</v>
      </c>
      <c r="F51" s="38"/>
      <c r="G51" s="38" t="str" cm="1">
        <f t="array" ref="G51">_xlfn.TEXTJOIN(",",TRUE,IF(I51:X51&lt;&gt;"",D51&amp;I51:X51,""))</f>
        <v>FANUMB</v>
      </c>
      <c r="H51" s="38" t="s">
        <v>480</v>
      </c>
      <c r="I51" s="38" t="s">
        <v>607</v>
      </c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5">
        <v>72</v>
      </c>
      <c r="Z51" s="35">
        <f>+Table334[[#This Row],[Size (MB)]]/1024</f>
        <v>7.03125E-2</v>
      </c>
      <c r="AA51" s="36" t="s">
        <v>431</v>
      </c>
      <c r="AD51" s="36" t="s">
        <v>539</v>
      </c>
      <c r="AE51" s="36" t="s">
        <v>434</v>
      </c>
      <c r="AF51" s="36" t="s">
        <v>435</v>
      </c>
    </row>
    <row r="52" spans="1:32">
      <c r="A52" s="38">
        <v>52</v>
      </c>
      <c r="B52" s="38" t="s">
        <v>740</v>
      </c>
      <c r="C52" s="38" t="s">
        <v>741</v>
      </c>
      <c r="D52" s="38" t="s">
        <v>742</v>
      </c>
      <c r="E52" s="38" t="s">
        <v>743</v>
      </c>
      <c r="F52" s="38"/>
      <c r="G52" s="38" t="str" cm="1">
        <f t="array" ref="G52">_xlfn.TEXTJOIN(",",TRUE,IF(I52:X52&lt;&gt;"",D52&amp;I52:X52,""))</f>
        <v>BPITM,BPMCU,BPLOCN,BPLOTN,BPAN8,BPLOTG,BPFRMP,BPCRCD	,BPUOM,BPEXDJ</v>
      </c>
      <c r="H52" s="38" t="s">
        <v>519</v>
      </c>
      <c r="I52" s="38" t="s">
        <v>467</v>
      </c>
      <c r="J52" s="38" t="s">
        <v>481</v>
      </c>
      <c r="K52" s="38" t="s">
        <v>638</v>
      </c>
      <c r="L52" s="38" t="s">
        <v>639</v>
      </c>
      <c r="M52" s="38" t="s">
        <v>513</v>
      </c>
      <c r="N52" s="38" t="s">
        <v>744</v>
      </c>
      <c r="O52" s="38" t="s">
        <v>745</v>
      </c>
      <c r="P52" s="38" t="s">
        <v>612</v>
      </c>
      <c r="Q52" s="38" t="s">
        <v>553</v>
      </c>
      <c r="R52" s="38" t="s">
        <v>555</v>
      </c>
      <c r="S52" s="38"/>
      <c r="T52" s="38"/>
      <c r="U52" s="38"/>
      <c r="V52" s="38"/>
      <c r="W52" s="38"/>
      <c r="X52" s="38"/>
      <c r="Y52" s="35">
        <v>49</v>
      </c>
      <c r="Z52" s="35">
        <f>+Table334[[#This Row],[Size (MB)]]/1024</f>
        <v>4.78515625E-2</v>
      </c>
      <c r="AA52" s="36" t="s">
        <v>431</v>
      </c>
      <c r="AD52" s="36" t="s">
        <v>539</v>
      </c>
      <c r="AE52" s="36" t="s">
        <v>434</v>
      </c>
      <c r="AF52" s="36" t="s">
        <v>435</v>
      </c>
    </row>
    <row r="53" spans="1:32">
      <c r="A53" s="38">
        <v>53</v>
      </c>
      <c r="B53" s="38" t="s">
        <v>746</v>
      </c>
      <c r="C53" s="38" t="s">
        <v>747</v>
      </c>
      <c r="D53" s="38" t="s">
        <v>748</v>
      </c>
      <c r="E53" s="38" t="s">
        <v>749</v>
      </c>
      <c r="F53" s="38"/>
      <c r="G53" s="38" t="str" cm="1">
        <f t="array" ref="G53">_xlfn.TEXTJOIN(",",TRUE,IF(I53:X53&lt;&gt;"",D53&amp;I53:X53,""))</f>
        <v>IOLOTN,IOITM,IOMCU</v>
      </c>
      <c r="H53" s="38" t="s">
        <v>480</v>
      </c>
      <c r="I53" s="38" t="s">
        <v>639</v>
      </c>
      <c r="J53" s="38" t="s">
        <v>467</v>
      </c>
      <c r="K53" s="38" t="s">
        <v>481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5">
        <v>37</v>
      </c>
      <c r="Z53" s="35">
        <f>+Table334[[#This Row],[Size (MB)]]/1024</f>
        <v>3.61328125E-2</v>
      </c>
      <c r="AA53" s="36" t="s">
        <v>431</v>
      </c>
      <c r="AD53" s="36" t="s">
        <v>539</v>
      </c>
      <c r="AE53" s="36" t="s">
        <v>434</v>
      </c>
      <c r="AF53" s="36" t="s">
        <v>435</v>
      </c>
    </row>
    <row r="54" spans="1:32">
      <c r="A54" s="38">
        <v>54</v>
      </c>
      <c r="B54" s="38" t="s">
        <v>750</v>
      </c>
      <c r="C54" s="38" t="s">
        <v>751</v>
      </c>
      <c r="D54" s="38" t="s">
        <v>752</v>
      </c>
      <c r="E54" s="38" t="s">
        <v>753</v>
      </c>
      <c r="F54" s="38"/>
      <c r="G54" s="38" t="str" cm="1">
        <f t="array" ref="G54">_xlfn.TEXTJOIN(",",TRUE,IF(I54:X54&lt;&gt;"",D54&amp;I54:X54,""))</f>
        <v>PLNUMB,PLUKID</v>
      </c>
      <c r="H54" s="38" t="s">
        <v>480</v>
      </c>
      <c r="I54" s="38" t="s">
        <v>607</v>
      </c>
      <c r="J54" s="38" t="s">
        <v>754</v>
      </c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5">
        <v>31</v>
      </c>
      <c r="Z54" s="35">
        <f>+Table334[[#This Row],[Size (MB)]]/1024</f>
        <v>3.02734375E-2</v>
      </c>
      <c r="AA54" s="36" t="s">
        <v>431</v>
      </c>
      <c r="AD54" s="36" t="s">
        <v>539</v>
      </c>
      <c r="AE54" s="36" t="s">
        <v>434</v>
      </c>
      <c r="AF54" s="36" t="s">
        <v>435</v>
      </c>
    </row>
    <row r="55" spans="1:32">
      <c r="A55" s="38">
        <v>55</v>
      </c>
      <c r="B55" s="38" t="s">
        <v>755</v>
      </c>
      <c r="C55" s="38" t="s">
        <v>756</v>
      </c>
      <c r="D55" s="38" t="s">
        <v>757</v>
      </c>
      <c r="E55" s="38" t="s">
        <v>758</v>
      </c>
      <c r="F55" s="38"/>
      <c r="G55" s="38" t="str" cm="1">
        <f t="array" ref="G55">_xlfn.TEXTJOIN(",",TRUE,IF(I55:X55&lt;&gt;"",D55&amp;I55:X55,""))</f>
        <v>WRNUMB</v>
      </c>
      <c r="H55" s="38" t="s">
        <v>480</v>
      </c>
      <c r="I55" s="38" t="s">
        <v>607</v>
      </c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5">
        <v>18</v>
      </c>
      <c r="Z55" s="35">
        <f>+Table334[[#This Row],[Size (MB)]]/1024</f>
        <v>1.7578125E-2</v>
      </c>
      <c r="AA55" s="36" t="s">
        <v>431</v>
      </c>
      <c r="AD55" s="36" t="s">
        <v>539</v>
      </c>
      <c r="AE55" s="36" t="s">
        <v>434</v>
      </c>
      <c r="AF55" s="36" t="s">
        <v>435</v>
      </c>
    </row>
    <row r="56" spans="1:32">
      <c r="A56" s="38">
        <v>56</v>
      </c>
      <c r="B56" s="38" t="s">
        <v>759</v>
      </c>
      <c r="C56" s="38" t="s">
        <v>760</v>
      </c>
      <c r="D56" s="38" t="s">
        <v>761</v>
      </c>
      <c r="E56" s="38" t="s">
        <v>762</v>
      </c>
      <c r="F56" s="38"/>
      <c r="G56" s="38" t="str" cm="1">
        <f t="array" ref="G56">_xlfn.TEXTJOIN(",",TRUE,IF(I56:X56&lt;&gt;"",D56&amp;I56:X56,""))</f>
        <v>EAAN8,EAIDLN,EARCK7</v>
      </c>
      <c r="H56" s="38" t="s">
        <v>519</v>
      </c>
      <c r="I56" s="38" t="s">
        <v>513</v>
      </c>
      <c r="J56" s="38" t="s">
        <v>708</v>
      </c>
      <c r="K56" s="38" t="s">
        <v>763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5">
        <v>14</v>
      </c>
      <c r="Z56" s="35">
        <f>+Table334[[#This Row],[Size (MB)]]/1024</f>
        <v>1.3671875E-2</v>
      </c>
      <c r="AA56" s="36" t="s">
        <v>431</v>
      </c>
      <c r="AD56" s="36" t="s">
        <v>539</v>
      </c>
      <c r="AE56" s="36" t="s">
        <v>434</v>
      </c>
      <c r="AF56" s="36" t="s">
        <v>435</v>
      </c>
    </row>
    <row r="57" spans="1:32">
      <c r="A57" s="38">
        <v>57</v>
      </c>
      <c r="B57" s="38" t="s">
        <v>764</v>
      </c>
      <c r="C57" s="38" t="s">
        <v>765</v>
      </c>
      <c r="D57" s="38" t="s">
        <v>766</v>
      </c>
      <c r="E57" s="38" t="s">
        <v>767</v>
      </c>
      <c r="F57" s="38"/>
      <c r="G57" s="38" t="str" cm="1">
        <f t="array" ref="G57">_xlfn.TEXTJOIN(",",TRUE,IF(I57:X57&lt;&gt;"",D57&amp;I57:X57,""))</f>
        <v>WPAN8,WPIDLN,WPCNLN,WPRCK7</v>
      </c>
      <c r="H57" s="38" t="s">
        <v>519</v>
      </c>
      <c r="I57" s="38" t="s">
        <v>513</v>
      </c>
      <c r="J57" s="38" t="s">
        <v>708</v>
      </c>
      <c r="K57" s="38" t="s">
        <v>768</v>
      </c>
      <c r="L57" s="38" t="s">
        <v>763</v>
      </c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5">
        <v>12</v>
      </c>
      <c r="Z57" s="35">
        <f>+Table334[[#This Row],[Size (MB)]]/1024</f>
        <v>1.171875E-2</v>
      </c>
      <c r="AA57" s="36" t="s">
        <v>431</v>
      </c>
      <c r="AD57" s="36" t="s">
        <v>539</v>
      </c>
      <c r="AE57" s="36" t="s">
        <v>434</v>
      </c>
      <c r="AF57" s="36" t="s">
        <v>435</v>
      </c>
    </row>
    <row r="58" spans="1:32">
      <c r="A58" s="38">
        <v>58</v>
      </c>
      <c r="B58" s="38" t="s">
        <v>769</v>
      </c>
      <c r="C58" s="38" t="s">
        <v>770</v>
      </c>
      <c r="D58" s="38" t="s">
        <v>771</v>
      </c>
      <c r="E58" s="38" t="s">
        <v>772</v>
      </c>
      <c r="F58" s="38"/>
      <c r="G58" s="38" t="str" cm="1">
        <f t="array" ref="G58">_xlfn.TEXTJOIN(",",TRUE,IF(I58:X58&lt;&gt;"",D58&amp;I58:X58,""))</f>
        <v>OADOCO,OADCTO,OAKCOO,OAANTY</v>
      </c>
      <c r="H58" s="38" t="s">
        <v>519</v>
      </c>
      <c r="I58" s="38" t="s">
        <v>426</v>
      </c>
      <c r="J58" s="38" t="s">
        <v>427</v>
      </c>
      <c r="K58" s="38" t="s">
        <v>428</v>
      </c>
      <c r="L58" s="38" t="s">
        <v>773</v>
      </c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5">
        <v>8</v>
      </c>
      <c r="Z58" s="35">
        <f>+Table334[[#This Row],[Size (MB)]]/1024</f>
        <v>7.8125E-3</v>
      </c>
      <c r="AA58" s="36" t="s">
        <v>431</v>
      </c>
      <c r="AD58" s="36" t="s">
        <v>539</v>
      </c>
      <c r="AE58" s="36" t="s">
        <v>434</v>
      </c>
      <c r="AF58" s="36" t="s">
        <v>435</v>
      </c>
    </row>
    <row r="59" spans="1:32">
      <c r="A59" s="38">
        <v>59</v>
      </c>
      <c r="B59" s="38" t="s">
        <v>774</v>
      </c>
      <c r="C59" s="38" t="s">
        <v>775</v>
      </c>
      <c r="D59" s="38" t="s">
        <v>776</v>
      </c>
      <c r="E59" s="38" t="s">
        <v>777</v>
      </c>
      <c r="F59" s="38"/>
      <c r="G59" s="38" t="str" cm="1">
        <f t="array" ref="G59">_xlfn.TEXTJOIN(",",TRUE,IF(I59:X59&lt;&gt;"",D59&amp;I59:X59,""))</f>
        <v>MAOSTP,MAPA8,MAAN8</v>
      </c>
      <c r="H59" s="38" t="s">
        <v>480</v>
      </c>
      <c r="I59" s="38" t="s">
        <v>778</v>
      </c>
      <c r="J59" s="38" t="s">
        <v>779</v>
      </c>
      <c r="K59" s="38" t="s">
        <v>513</v>
      </c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5">
        <v>7</v>
      </c>
      <c r="Z59" s="35">
        <f>+Table334[[#This Row],[Size (MB)]]/1024</f>
        <v>6.8359375E-3</v>
      </c>
      <c r="AA59" s="36" t="s">
        <v>431</v>
      </c>
      <c r="AD59" s="36" t="s">
        <v>539</v>
      </c>
      <c r="AE59" s="36" t="s">
        <v>434</v>
      </c>
      <c r="AF59" s="36" t="s">
        <v>435</v>
      </c>
    </row>
    <row r="60" spans="1:32">
      <c r="A60" s="38">
        <v>60</v>
      </c>
      <c r="B60" s="38" t="s">
        <v>780</v>
      </c>
      <c r="C60" s="38" t="s">
        <v>781</v>
      </c>
      <c r="D60" s="38" t="s">
        <v>782</v>
      </c>
      <c r="E60" s="38" t="s">
        <v>783</v>
      </c>
      <c r="F60" s="38"/>
      <c r="G60" s="38" t="str" cm="1">
        <f t="array" ref="G60">_xlfn.TEXTJOIN(",",TRUE,IF(I60:X60&lt;&gt;"",D60&amp;I60:X60,""))</f>
        <v>CZMMCU,CZWDCT,CZWDCK,CZYR,CZMT,CZSHFT</v>
      </c>
      <c r="H60" s="38" t="s">
        <v>637</v>
      </c>
      <c r="I60" s="38" t="s">
        <v>734</v>
      </c>
      <c r="J60" s="38" t="s">
        <v>784</v>
      </c>
      <c r="K60" s="38" t="s">
        <v>785</v>
      </c>
      <c r="L60" s="38" t="s">
        <v>786</v>
      </c>
      <c r="M60" s="38" t="s">
        <v>787</v>
      </c>
      <c r="N60" s="38" t="s">
        <v>788</v>
      </c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5">
        <v>6</v>
      </c>
      <c r="Z60" s="35">
        <f>+Table334[[#This Row],[Size (MB)]]/1024</f>
        <v>5.859375E-3</v>
      </c>
      <c r="AA60" s="36" t="s">
        <v>431</v>
      </c>
      <c r="AD60" s="36" t="s">
        <v>539</v>
      </c>
      <c r="AE60" s="36" t="s">
        <v>434</v>
      </c>
      <c r="AF60" s="36" t="s">
        <v>435</v>
      </c>
    </row>
    <row r="61" spans="1:32">
      <c r="A61" s="38">
        <v>61</v>
      </c>
      <c r="B61" s="38" t="s">
        <v>789</v>
      </c>
      <c r="C61" s="38" t="s">
        <v>790</v>
      </c>
      <c r="D61" s="38" t="s">
        <v>791</v>
      </c>
      <c r="E61" s="38" t="s">
        <v>792</v>
      </c>
      <c r="F61" s="38"/>
      <c r="G61" s="38" t="str" cm="1">
        <f t="array" ref="G61">_xlfn.TEXTJOIN(",",TRUE,IF(I61:X61&lt;&gt;"",D61&amp;I61:X61,""))</f>
        <v>LMMCU,LMLOCN</v>
      </c>
      <c r="H61" s="38" t="s">
        <v>480</v>
      </c>
      <c r="I61" s="38" t="s">
        <v>481</v>
      </c>
      <c r="J61" s="38" t="s">
        <v>638</v>
      </c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5">
        <v>5</v>
      </c>
      <c r="Z61" s="35">
        <f>+Table334[[#This Row],[Size (MB)]]/1024</f>
        <v>4.8828125E-3</v>
      </c>
      <c r="AA61" s="36" t="s">
        <v>431</v>
      </c>
      <c r="AD61" s="36" t="s">
        <v>539</v>
      </c>
      <c r="AE61" s="36" t="s">
        <v>434</v>
      </c>
      <c r="AF61" s="36" t="s">
        <v>435</v>
      </c>
    </row>
    <row r="62" spans="1:32">
      <c r="A62" s="38">
        <v>62</v>
      </c>
      <c r="B62" s="38" t="s">
        <v>793</v>
      </c>
      <c r="C62" s="38" t="s">
        <v>794</v>
      </c>
      <c r="D62" s="38" t="s">
        <v>795</v>
      </c>
      <c r="E62" s="38" t="s">
        <v>796</v>
      </c>
      <c r="F62" s="38"/>
      <c r="G62" s="38" t="str" cm="1">
        <f t="array" ref="G62">_xlfn.TEXTJOIN(",",TRUE,IF(I62:X62&lt;&gt;"",D62&amp;I62:X62,""))</f>
        <v>PICYNO</v>
      </c>
      <c r="H62" s="38" t="s">
        <v>584</v>
      </c>
      <c r="I62" s="38" t="s">
        <v>646</v>
      </c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5">
        <v>3</v>
      </c>
      <c r="Z62" s="35">
        <f>+Table334[[#This Row],[Size (MB)]]/1024</f>
        <v>2.9296875E-3</v>
      </c>
      <c r="AA62" s="36" t="s">
        <v>431</v>
      </c>
      <c r="AD62" s="36" t="s">
        <v>539</v>
      </c>
      <c r="AE62" s="36" t="s">
        <v>434</v>
      </c>
      <c r="AF62" s="36" t="s">
        <v>435</v>
      </c>
    </row>
    <row r="63" spans="1:32">
      <c r="A63" s="38">
        <v>63</v>
      </c>
      <c r="B63" s="38" t="s">
        <v>797</v>
      </c>
      <c r="C63" s="38" t="s">
        <v>798</v>
      </c>
      <c r="D63" s="38" t="s">
        <v>423</v>
      </c>
      <c r="E63" s="38" t="s">
        <v>424</v>
      </c>
      <c r="F63" s="38"/>
      <c r="G63" s="38" t="str" cm="1">
        <f t="array" ref="G63">_xlfn.TEXTJOIN(",",TRUE,IF(I63:X63&lt;&gt;"",D63&amp;I63:X63,""))</f>
        <v/>
      </c>
      <c r="H63" s="38" t="s">
        <v>425</v>
      </c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5">
        <v>2</v>
      </c>
      <c r="Z63" s="35">
        <f>+Table334[[#This Row],[Size (MB)]]/1024</f>
        <v>1.953125E-3</v>
      </c>
      <c r="AA63" s="36" t="s">
        <v>431</v>
      </c>
      <c r="AD63" s="36" t="s">
        <v>539</v>
      </c>
      <c r="AE63" s="36" t="s">
        <v>434</v>
      </c>
      <c r="AF63" s="36" t="s">
        <v>435</v>
      </c>
    </row>
    <row r="64" spans="1:32">
      <c r="A64" s="38">
        <v>64</v>
      </c>
      <c r="B64" s="38" t="s">
        <v>799</v>
      </c>
      <c r="C64" s="38" t="s">
        <v>800</v>
      </c>
      <c r="D64" s="38" t="s">
        <v>496</v>
      </c>
      <c r="E64" s="38" t="s">
        <v>801</v>
      </c>
      <c r="F64" s="38"/>
      <c r="G64" s="38" t="str" cm="1">
        <f t="array" ref="G64">_xlfn.TEXTJOIN(",",TRUE,IF(I64:X64&lt;&gt;"",D64&amp;I64:X64,""))</f>
        <v>RTAN8,RTPART,RTCO</v>
      </c>
      <c r="H64" s="38" t="s">
        <v>637</v>
      </c>
      <c r="I64" s="38" t="s">
        <v>513</v>
      </c>
      <c r="J64" s="38" t="s">
        <v>802</v>
      </c>
      <c r="K64" s="38" t="s">
        <v>508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5">
        <v>2</v>
      </c>
      <c r="Z64" s="35">
        <f>+Table334[[#This Row],[Size (MB)]]/1024</f>
        <v>1.953125E-3</v>
      </c>
      <c r="AA64" s="36" t="s">
        <v>431</v>
      </c>
      <c r="AD64" s="36" t="s">
        <v>539</v>
      </c>
      <c r="AE64" s="36" t="s">
        <v>434</v>
      </c>
      <c r="AF64" s="36" t="s">
        <v>435</v>
      </c>
    </row>
    <row r="65" spans="1:32">
      <c r="A65" s="38">
        <v>65</v>
      </c>
      <c r="B65" s="38" t="s">
        <v>803</v>
      </c>
      <c r="C65" s="38" t="s">
        <v>804</v>
      </c>
      <c r="D65" s="38" t="s">
        <v>805</v>
      </c>
      <c r="E65" s="38" t="s">
        <v>806</v>
      </c>
      <c r="F65" s="38"/>
      <c r="G65" s="38" t="str" cm="1">
        <f t="array" ref="G65">_xlfn.TEXTJOIN(",",TRUE,IF(I65:X65&lt;&gt;"",D65&amp;I65:X65,""))</f>
        <v>RWDOC,RWDCT,RWKCO,RWSFX,RWSFXE</v>
      </c>
      <c r="H65" s="38" t="s">
        <v>425</v>
      </c>
      <c r="I65" s="38" t="s">
        <v>441</v>
      </c>
      <c r="J65" s="38" t="s">
        <v>440</v>
      </c>
      <c r="K65" s="38" t="s">
        <v>442</v>
      </c>
      <c r="L65" s="38" t="s">
        <v>590</v>
      </c>
      <c r="M65" s="38" t="s">
        <v>599</v>
      </c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5">
        <v>0.13</v>
      </c>
      <c r="Z65" s="35">
        <f>+Table334[[#This Row],[Size (MB)]]/1024</f>
        <v>1.26953125E-4</v>
      </c>
      <c r="AA65" s="36" t="s">
        <v>431</v>
      </c>
      <c r="AD65" s="36" t="s">
        <v>539</v>
      </c>
      <c r="AE65" s="36" t="s">
        <v>434</v>
      </c>
      <c r="AF65" s="36" t="s">
        <v>435</v>
      </c>
    </row>
    <row r="66" spans="1:32">
      <c r="A66" s="38">
        <v>66</v>
      </c>
      <c r="B66" s="38" t="s">
        <v>807</v>
      </c>
      <c r="C66" s="38" t="s">
        <v>808</v>
      </c>
      <c r="D66" s="38" t="s">
        <v>809</v>
      </c>
      <c r="E66" s="38" t="s">
        <v>810</v>
      </c>
      <c r="F66" s="38"/>
      <c r="G66" s="38" t="str" cm="1">
        <f t="array" ref="G66">_xlfn.TEXTJOIN(",",TRUE,IF(I66:X66&lt;&gt;"",D66&amp;I66:X66,""))</f>
        <v>IWMMCU,IWMCU,IWLEDG</v>
      </c>
      <c r="H66" s="38" t="s">
        <v>519</v>
      </c>
      <c r="I66" s="38" t="s">
        <v>734</v>
      </c>
      <c r="J66" s="38" t="s">
        <v>481</v>
      </c>
      <c r="K66" s="38" t="s">
        <v>720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5">
        <v>0.13</v>
      </c>
      <c r="Z66" s="35">
        <f>+Table334[[#This Row],[Size (MB)]]/1024</f>
        <v>1.26953125E-4</v>
      </c>
      <c r="AA66" s="36" t="s">
        <v>431</v>
      </c>
      <c r="AD66" s="36" t="s">
        <v>539</v>
      </c>
      <c r="AE66" s="36" t="s">
        <v>434</v>
      </c>
      <c r="AF66" s="36" t="s">
        <v>435</v>
      </c>
    </row>
    <row r="67" spans="1:32">
      <c r="A67" s="38">
        <v>67</v>
      </c>
      <c r="B67" s="38" t="s">
        <v>811</v>
      </c>
      <c r="C67" s="38" t="s">
        <v>812</v>
      </c>
      <c r="D67" s="38" t="s">
        <v>813</v>
      </c>
      <c r="E67" s="38" t="s">
        <v>814</v>
      </c>
      <c r="F67" s="38"/>
      <c r="G67" s="38" t="str" cm="1">
        <f t="array" ref="G67">_xlfn.TEXTJOIN(",",TRUE,IF(I67:X67&lt;&gt;"",D67&amp;I67:X67,""))</f>
        <v>RCDCID,RCLNID</v>
      </c>
      <c r="H67" s="38" t="s">
        <v>560</v>
      </c>
      <c r="I67" s="38" t="s">
        <v>815</v>
      </c>
      <c r="J67" s="38" t="s">
        <v>430</v>
      </c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5">
        <v>0.06</v>
      </c>
      <c r="Z67" s="35">
        <f>+Table334[[#This Row],[Size (MB)]]/1024</f>
        <v>5.8593749999999998E-5</v>
      </c>
      <c r="AA67" s="36" t="s">
        <v>431</v>
      </c>
      <c r="AD67" s="36" t="s">
        <v>539</v>
      </c>
      <c r="AE67" s="36" t="s">
        <v>434</v>
      </c>
      <c r="AF67" s="36" t="s">
        <v>435</v>
      </c>
    </row>
    <row r="68" spans="1:32">
      <c r="A68" s="38">
        <v>68</v>
      </c>
      <c r="B68" s="38" t="s">
        <v>816</v>
      </c>
      <c r="C68" s="38" t="s">
        <v>817</v>
      </c>
      <c r="D68" s="38" t="s">
        <v>818</v>
      </c>
      <c r="E68" s="38" t="s">
        <v>819</v>
      </c>
      <c r="F68" s="38"/>
      <c r="G68" s="38" t="str" cm="1">
        <f t="array" ref="G68">_xlfn.TEXTJOIN(",",TRUE,IF(I68:X68&lt;&gt;"",D68&amp;I68:X68,""))</f>
        <v>LHLT</v>
      </c>
      <c r="H68" s="38" t="s">
        <v>507</v>
      </c>
      <c r="I68" s="38" t="s">
        <v>445</v>
      </c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5">
        <v>0.06</v>
      </c>
      <c r="Z68" s="35">
        <f>+Table334[[#This Row],[Size (MB)]]/1024</f>
        <v>5.8593749999999998E-5</v>
      </c>
      <c r="AA68" s="36" t="s">
        <v>431</v>
      </c>
      <c r="AD68" s="36" t="s">
        <v>539</v>
      </c>
      <c r="AE68" s="36" t="s">
        <v>434</v>
      </c>
      <c r="AF68" s="36" t="s">
        <v>435</v>
      </c>
    </row>
    <row r="69" spans="1:32">
      <c r="A69" s="38">
        <v>69</v>
      </c>
      <c r="B69" s="38" t="s">
        <v>820</v>
      </c>
      <c r="C69" s="38" t="s">
        <v>821</v>
      </c>
      <c r="D69" s="38" t="s">
        <v>822</v>
      </c>
      <c r="E69" s="38" t="s">
        <v>823</v>
      </c>
      <c r="F69" s="38"/>
      <c r="G69" s="38" t="str" cm="1">
        <f t="array" ref="G69">_xlfn.TEXTJOIN(",",TRUE,IF(I69:X69&lt;&gt;"",D69&amp;I69:X69,""))</f>
        <v>FZNUMB,FZACL1,FZACL2,FZACL3,FZACL4,FZACL5,FZACL6,FZACL7,FZACL8,FZACL9,FZACL0,FZSRVT</v>
      </c>
      <c r="H69" s="38" t="s">
        <v>560</v>
      </c>
      <c r="I69" s="38" t="s">
        <v>607</v>
      </c>
      <c r="J69" s="38" t="s">
        <v>824</v>
      </c>
      <c r="K69" s="38" t="s">
        <v>825</v>
      </c>
      <c r="L69" s="38" t="s">
        <v>826</v>
      </c>
      <c r="M69" s="38" t="s">
        <v>827</v>
      </c>
      <c r="N69" s="38" t="s">
        <v>828</v>
      </c>
      <c r="O69" s="38" t="s">
        <v>829</v>
      </c>
      <c r="P69" s="38" t="s">
        <v>830</v>
      </c>
      <c r="Q69" s="38" t="s">
        <v>831</v>
      </c>
      <c r="R69" s="38" t="s">
        <v>832</v>
      </c>
      <c r="S69" s="38" t="s">
        <v>833</v>
      </c>
      <c r="T69" s="38" t="s">
        <v>693</v>
      </c>
      <c r="U69" s="38"/>
      <c r="V69" s="38"/>
      <c r="W69" s="38"/>
      <c r="X69" s="38"/>
      <c r="Y69" s="35">
        <v>0.06</v>
      </c>
      <c r="Z69" s="35">
        <f>+Table334[[#This Row],[Size (MB)]]/1024</f>
        <v>5.8593749999999998E-5</v>
      </c>
      <c r="AA69" s="36" t="s">
        <v>431</v>
      </c>
      <c r="AD69" s="36" t="s">
        <v>539</v>
      </c>
      <c r="AE69" s="36" t="s">
        <v>434</v>
      </c>
      <c r="AF69" s="36" t="s">
        <v>435</v>
      </c>
    </row>
    <row r="70" spans="1:32">
      <c r="A70" s="38">
        <v>70</v>
      </c>
      <c r="B70" s="38" t="s">
        <v>834</v>
      </c>
      <c r="C70" s="38" t="s">
        <v>835</v>
      </c>
      <c r="D70" s="38" t="s">
        <v>487</v>
      </c>
      <c r="E70" s="38" t="s">
        <v>488</v>
      </c>
      <c r="F70" s="38"/>
      <c r="G70" s="38" t="str" cm="1">
        <f t="array" ref="G70">_xlfn.TEXTJOIN(",",TRUE,IF(I70:X70&lt;&gt;"",D70&amp;I70:X70,""))</f>
        <v>SDDOCO,SDDCTO,SDKCOO,SDLNID</v>
      </c>
      <c r="H70" s="38" t="s">
        <v>560</v>
      </c>
      <c r="I70" s="38" t="s">
        <v>426</v>
      </c>
      <c r="J70" s="38" t="s">
        <v>427</v>
      </c>
      <c r="K70" s="38" t="s">
        <v>428</v>
      </c>
      <c r="L70" s="38" t="s">
        <v>430</v>
      </c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5">
        <v>0.06</v>
      </c>
      <c r="Z70" s="35">
        <f>+Table334[[#This Row],[Size (MB)]]/1024</f>
        <v>5.8593749999999998E-5</v>
      </c>
      <c r="AA70" s="36" t="s">
        <v>431</v>
      </c>
      <c r="AD70" s="36" t="s">
        <v>539</v>
      </c>
      <c r="AE70" s="36" t="s">
        <v>434</v>
      </c>
      <c r="AF70" s="36" t="s">
        <v>435</v>
      </c>
    </row>
    <row r="71" spans="1:32">
      <c r="A71" s="38">
        <v>71</v>
      </c>
      <c r="B71" s="38" t="s">
        <v>836</v>
      </c>
      <c r="C71" s="38" t="s">
        <v>837</v>
      </c>
      <c r="D71" s="38" t="s">
        <v>838</v>
      </c>
      <c r="E71" s="38" t="s">
        <v>839</v>
      </c>
      <c r="F71" s="38"/>
      <c r="G71" s="38" t="str" cm="1">
        <f t="array" ref="G71">_xlfn.TEXTJOIN(",",TRUE,IF(I71:X71&lt;&gt;"",D71&amp;I71:X71,""))</f>
        <v>PNDCID</v>
      </c>
      <c r="H71" s="38" t="s">
        <v>507</v>
      </c>
      <c r="I71" s="38" t="s">
        <v>815</v>
      </c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5">
        <v>0.06</v>
      </c>
      <c r="Z71" s="35">
        <f>+Table334[[#This Row],[Size (MB)]]/1024</f>
        <v>5.8593749999999998E-5</v>
      </c>
      <c r="AA71" s="36" t="s">
        <v>431</v>
      </c>
      <c r="AD71" s="36" t="s">
        <v>539</v>
      </c>
      <c r="AE71" s="36" t="s">
        <v>434</v>
      </c>
      <c r="AF71" s="36" t="s">
        <v>435</v>
      </c>
    </row>
    <row r="72" spans="1:32">
      <c r="A72" s="38">
        <v>72</v>
      </c>
      <c r="B72" s="38" t="s">
        <v>840</v>
      </c>
      <c r="C72" s="38" t="s">
        <v>841</v>
      </c>
      <c r="D72" s="38" t="s">
        <v>842</v>
      </c>
      <c r="E72" s="38" t="s">
        <v>843</v>
      </c>
      <c r="F72" s="38"/>
      <c r="G72" s="38" t="str" cm="1">
        <f t="array" ref="G72">_xlfn.TEXTJOIN(",",TRUE,IF(I72:X72&lt;&gt;"",D72&amp;I72:X72,""))</f>
        <v>RBDCID</v>
      </c>
      <c r="H72" s="38" t="s">
        <v>560</v>
      </c>
      <c r="I72" s="38" t="s">
        <v>815</v>
      </c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5">
        <v>0.06</v>
      </c>
      <c r="Z72" s="35">
        <f>+Table334[[#This Row],[Size (MB)]]/1024</f>
        <v>5.8593749999999998E-5</v>
      </c>
      <c r="AA72" s="36" t="s">
        <v>431</v>
      </c>
      <c r="AD72" s="36" t="s">
        <v>539</v>
      </c>
      <c r="AE72" s="36" t="s">
        <v>434</v>
      </c>
      <c r="AF72" s="36" t="s">
        <v>435</v>
      </c>
    </row>
    <row r="73" spans="1:32">
      <c r="A73" s="39">
        <v>73</v>
      </c>
      <c r="B73" s="39" t="s">
        <v>844</v>
      </c>
      <c r="C73" s="39" t="s">
        <v>845</v>
      </c>
      <c r="D73" s="38" t="s">
        <v>846</v>
      </c>
      <c r="E73" s="38" t="s">
        <v>847</v>
      </c>
      <c r="F73" s="39"/>
      <c r="G73" s="39" t="str" cm="1">
        <f t="array" ref="G73">_xlfn.TEXTJOIN(",",TRUE,IF(I73:X73&lt;&gt;"",D73&amp;I73:X73,""))</f>
        <v/>
      </c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5">
        <v>0.06</v>
      </c>
      <c r="Z73" s="35">
        <f>+Table334[[#This Row],[Size (MB)]]/1024</f>
        <v>5.8593749999999998E-5</v>
      </c>
      <c r="AA73" s="36" t="s">
        <v>431</v>
      </c>
      <c r="AD73" s="36" t="s">
        <v>539</v>
      </c>
      <c r="AE73" s="36" t="s">
        <v>434</v>
      </c>
      <c r="AF73" s="36" t="s">
        <v>435</v>
      </c>
    </row>
    <row r="74" spans="1:32">
      <c r="A74" s="39">
        <v>74</v>
      </c>
      <c r="B74" s="39" t="s">
        <v>848</v>
      </c>
      <c r="C74" s="39" t="s">
        <v>849</v>
      </c>
      <c r="D74" s="38" t="s">
        <v>850</v>
      </c>
      <c r="E74" s="38" t="s">
        <v>851</v>
      </c>
      <c r="F74" s="39"/>
      <c r="G74" s="39" t="str" cm="1">
        <f t="array" ref="G74">_xlfn.TEXTJOIN(",",TRUE,IF(I74:X74&lt;&gt;"",D74&amp;I74:X74,""))</f>
        <v/>
      </c>
      <c r="H74" s="39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5">
        <v>0.06</v>
      </c>
      <c r="Z74" s="35">
        <f>+Table334[[#This Row],[Size (MB)]]/1024</f>
        <v>5.8593749999999998E-5</v>
      </c>
      <c r="AA74" s="36" t="s">
        <v>431</v>
      </c>
      <c r="AD74" s="36" t="s">
        <v>539</v>
      </c>
      <c r="AE74" s="36" t="s">
        <v>434</v>
      </c>
      <c r="AF74" s="36" t="s">
        <v>435</v>
      </c>
    </row>
    <row r="75" spans="1:32">
      <c r="A75" s="38">
        <v>75</v>
      </c>
      <c r="B75" s="38" t="s">
        <v>852</v>
      </c>
      <c r="C75" s="38" t="s">
        <v>853</v>
      </c>
      <c r="D75" s="38" t="s">
        <v>854</v>
      </c>
      <c r="E75" s="38" t="s">
        <v>855</v>
      </c>
      <c r="F75" s="38"/>
      <c r="G75" s="38" t="str" cm="1">
        <f t="array" ref="G75">_xlfn.TEXTJOIN(",",TRUE,IF(I75:X75&lt;&gt;"",D75&amp;I75:X75,""))</f>
        <v>LFLNTY</v>
      </c>
      <c r="H75" s="38" t="s">
        <v>507</v>
      </c>
      <c r="I75" s="38" t="s">
        <v>856</v>
      </c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5">
        <v>0.06</v>
      </c>
      <c r="Z75" s="35">
        <f>+Table334[[#This Row],[Size (MB)]]/1024</f>
        <v>5.8593749999999998E-5</v>
      </c>
      <c r="AA75" s="36" t="s">
        <v>431</v>
      </c>
      <c r="AD75" s="36" t="s">
        <v>539</v>
      </c>
      <c r="AE75" s="36" t="s">
        <v>434</v>
      </c>
      <c r="AF75" s="36" t="s">
        <v>435</v>
      </c>
    </row>
    <row r="76" spans="1:3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45" t="s">
        <v>857</v>
      </c>
      <c r="Z76" s="45">
        <f>SUBTOTAL(109,Table334[Size (GB)])</f>
        <v>106.819521484375</v>
      </c>
    </row>
  </sheetData>
  <conditionalFormatting sqref="B1:C75">
    <cfRule type="duplicateValues" dxfId="63" priority="1"/>
  </conditionalFormatting>
  <dataValidations count="1">
    <dataValidation type="list" allowBlank="1" showInputMessage="1" showErrorMessage="1" sqref="H2:H75" xr:uid="{1BAC2760-5C66-4A4B-84F0-17A77565AE47}">
      <formula1>"Primary Transaction, Primary Header, Secondary Transaction, Secondary Header, Master Data Primary, Master Data Secondary, Primary Balance,ASOF File, Cross Reference, Configurational, Control Table"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ECB50-B23A-4451-A9B7-40A78F5C742E}">
  <sheetPr filterMode="1">
    <tabColor theme="6"/>
  </sheetPr>
  <dimension ref="A1:M168"/>
  <sheetViews>
    <sheetView zoomScale="80" zoomScaleNormal="80" workbookViewId="0">
      <selection activeCell="B54" sqref="B54"/>
    </sheetView>
  </sheetViews>
  <sheetFormatPr defaultRowHeight="15"/>
  <cols>
    <col min="1" max="1" width="12.140625" bestFit="1" customWidth="1"/>
    <col min="2" max="2" width="80" bestFit="1" customWidth="1"/>
    <col min="3" max="3" width="10.42578125" style="2" bestFit="1" customWidth="1"/>
    <col min="4" max="4" width="10.85546875" style="2" bestFit="1" customWidth="1"/>
    <col min="5" max="5" width="10.85546875" style="2" customWidth="1"/>
    <col min="6" max="6" width="10.85546875" bestFit="1" customWidth="1"/>
    <col min="7" max="7" width="17.28515625" style="5" bestFit="1" customWidth="1"/>
    <col min="8" max="8" width="59.28515625" style="10" bestFit="1" customWidth="1"/>
    <col min="9" max="9" width="18.5703125" bestFit="1" customWidth="1"/>
    <col min="10" max="10" width="14.140625" bestFit="1" customWidth="1"/>
    <col min="11" max="11" width="11.7109375" style="5" bestFit="1" customWidth="1"/>
    <col min="12" max="12" width="17.85546875" style="10" bestFit="1" customWidth="1"/>
    <col min="13" max="13" width="18.28515625" bestFit="1" customWidth="1"/>
  </cols>
  <sheetData>
    <row r="1" spans="1:13">
      <c r="A1" s="3" t="s">
        <v>858</v>
      </c>
      <c r="B1" s="3" t="s">
        <v>859</v>
      </c>
      <c r="C1" s="3" t="s">
        <v>860</v>
      </c>
      <c r="D1" s="3" t="s">
        <v>861</v>
      </c>
      <c r="E1" s="3" t="s">
        <v>862</v>
      </c>
      <c r="F1" s="3" t="s">
        <v>863</v>
      </c>
      <c r="G1" s="4" t="s">
        <v>864</v>
      </c>
      <c r="H1" s="9" t="s">
        <v>865</v>
      </c>
      <c r="I1" s="3" t="s">
        <v>866</v>
      </c>
      <c r="J1" s="3" t="s">
        <v>867</v>
      </c>
      <c r="K1" s="4" t="s">
        <v>868</v>
      </c>
      <c r="L1" s="9" t="s">
        <v>869</v>
      </c>
      <c r="M1" s="9" t="s">
        <v>870</v>
      </c>
    </row>
    <row r="2" spans="1:13" hidden="1">
      <c r="A2">
        <v>1</v>
      </c>
      <c r="B2" t="s">
        <v>143</v>
      </c>
      <c r="C2" s="2">
        <v>258</v>
      </c>
      <c r="D2" s="2">
        <v>24</v>
      </c>
      <c r="E2" s="2" t="s">
        <v>871</v>
      </c>
      <c r="F2" s="8" t="s">
        <v>872</v>
      </c>
      <c r="G2" s="5" t="s">
        <v>873</v>
      </c>
      <c r="H2" s="10" t="s">
        <v>874</v>
      </c>
      <c r="K2" s="5" t="s">
        <v>875</v>
      </c>
      <c r="M2" t="s">
        <v>876</v>
      </c>
    </row>
    <row r="3" spans="1:13" hidden="1">
      <c r="A3">
        <v>2</v>
      </c>
      <c r="B3" t="s">
        <v>109</v>
      </c>
      <c r="C3" s="2">
        <v>190</v>
      </c>
      <c r="D3" s="2">
        <v>8</v>
      </c>
      <c r="E3" s="2" t="s">
        <v>871</v>
      </c>
      <c r="F3" s="8" t="s">
        <v>872</v>
      </c>
      <c r="G3" s="5" t="s">
        <v>873</v>
      </c>
      <c r="H3" s="10" t="s">
        <v>874</v>
      </c>
      <c r="I3" t="s">
        <v>877</v>
      </c>
      <c r="J3">
        <v>3</v>
      </c>
      <c r="M3" t="s">
        <v>876</v>
      </c>
    </row>
    <row r="4" spans="1:13" hidden="1">
      <c r="A4">
        <v>3</v>
      </c>
      <c r="B4" t="s">
        <v>100</v>
      </c>
      <c r="C4" s="2">
        <v>131</v>
      </c>
      <c r="D4" s="2">
        <v>15</v>
      </c>
      <c r="E4" s="2" t="s">
        <v>871</v>
      </c>
      <c r="F4" s="8" t="s">
        <v>872</v>
      </c>
      <c r="G4" s="5" t="s">
        <v>878</v>
      </c>
      <c r="H4" s="10" t="s">
        <v>879</v>
      </c>
      <c r="M4" t="s">
        <v>876</v>
      </c>
    </row>
    <row r="5" spans="1:13" hidden="1">
      <c r="A5">
        <v>4</v>
      </c>
      <c r="B5" t="s">
        <v>124</v>
      </c>
      <c r="C5" s="2">
        <v>114</v>
      </c>
      <c r="D5" s="2">
        <v>14</v>
      </c>
      <c r="E5" s="2" t="s">
        <v>871</v>
      </c>
      <c r="F5" s="7" t="s">
        <v>880</v>
      </c>
      <c r="G5" s="5" t="s">
        <v>878</v>
      </c>
      <c r="H5" s="10" t="s">
        <v>879</v>
      </c>
      <c r="M5" t="s">
        <v>876</v>
      </c>
    </row>
    <row r="6" spans="1:13" hidden="1">
      <c r="A6">
        <v>5</v>
      </c>
      <c r="B6" t="s">
        <v>173</v>
      </c>
      <c r="C6" s="2">
        <v>77</v>
      </c>
      <c r="D6" s="2">
        <v>12</v>
      </c>
      <c r="E6" s="2" t="s">
        <v>881</v>
      </c>
      <c r="F6" s="8" t="s">
        <v>872</v>
      </c>
      <c r="G6" s="5" t="s">
        <v>882</v>
      </c>
      <c r="H6" s="10" t="s">
        <v>883</v>
      </c>
      <c r="M6" t="s">
        <v>884</v>
      </c>
    </row>
    <row r="7" spans="1:13" hidden="1">
      <c r="A7">
        <v>6</v>
      </c>
      <c r="B7" t="s">
        <v>164</v>
      </c>
      <c r="C7" s="2">
        <v>71</v>
      </c>
      <c r="D7" s="2">
        <v>3</v>
      </c>
      <c r="E7" s="2" t="s">
        <v>871</v>
      </c>
      <c r="F7" s="8" t="s">
        <v>872</v>
      </c>
      <c r="G7" s="5" t="s">
        <v>878</v>
      </c>
      <c r="H7" s="10" t="s">
        <v>879</v>
      </c>
      <c r="M7" t="s">
        <v>876</v>
      </c>
    </row>
    <row r="8" spans="1:13" hidden="1">
      <c r="A8">
        <v>7</v>
      </c>
      <c r="B8" t="s">
        <v>138</v>
      </c>
      <c r="C8" s="2">
        <v>55</v>
      </c>
      <c r="D8" s="2">
        <v>8</v>
      </c>
      <c r="E8" s="2" t="s">
        <v>871</v>
      </c>
      <c r="F8" s="8" t="s">
        <v>872</v>
      </c>
      <c r="G8" s="5" t="s">
        <v>878</v>
      </c>
      <c r="H8" s="10" t="s">
        <v>879</v>
      </c>
      <c r="M8" t="s">
        <v>876</v>
      </c>
    </row>
    <row r="9" spans="1:13" hidden="1">
      <c r="A9">
        <v>8</v>
      </c>
      <c r="B9" t="s">
        <v>199</v>
      </c>
      <c r="C9" s="2">
        <v>52</v>
      </c>
      <c r="D9" s="2">
        <v>8</v>
      </c>
      <c r="E9" s="2" t="s">
        <v>885</v>
      </c>
      <c r="F9" s="8" t="s">
        <v>872</v>
      </c>
      <c r="G9" s="5" t="s">
        <v>886</v>
      </c>
      <c r="H9" s="10" t="s">
        <v>887</v>
      </c>
      <c r="K9" s="5" t="s">
        <v>875</v>
      </c>
      <c r="L9" s="11" t="s">
        <v>888</v>
      </c>
      <c r="M9" t="s">
        <v>876</v>
      </c>
    </row>
    <row r="10" spans="1:13" hidden="1">
      <c r="A10">
        <v>9</v>
      </c>
      <c r="B10" t="s">
        <v>171</v>
      </c>
      <c r="C10" s="2">
        <v>48</v>
      </c>
      <c r="D10" s="2">
        <v>11</v>
      </c>
      <c r="E10" s="2" t="s">
        <v>871</v>
      </c>
      <c r="F10" s="8" t="s">
        <v>872</v>
      </c>
      <c r="G10" s="5" t="s">
        <v>878</v>
      </c>
      <c r="H10" s="10" t="s">
        <v>879</v>
      </c>
      <c r="M10" t="s">
        <v>876</v>
      </c>
    </row>
    <row r="11" spans="1:13" hidden="1">
      <c r="A11">
        <v>10</v>
      </c>
      <c r="B11" t="s">
        <v>184</v>
      </c>
      <c r="C11" s="2">
        <v>46</v>
      </c>
      <c r="D11" s="2">
        <v>7</v>
      </c>
      <c r="E11" s="2" t="s">
        <v>881</v>
      </c>
      <c r="F11" s="8" t="s">
        <v>872</v>
      </c>
      <c r="G11" s="5" t="s">
        <v>889</v>
      </c>
      <c r="H11" s="10" t="s">
        <v>890</v>
      </c>
      <c r="K11" s="5" t="s">
        <v>875</v>
      </c>
      <c r="L11" s="11" t="s">
        <v>888</v>
      </c>
      <c r="M11" t="s">
        <v>884</v>
      </c>
    </row>
    <row r="12" spans="1:13" hidden="1">
      <c r="A12">
        <v>11</v>
      </c>
      <c r="B12" t="s">
        <v>140</v>
      </c>
      <c r="C12" s="2">
        <v>42</v>
      </c>
      <c r="D12" s="2">
        <v>9</v>
      </c>
      <c r="E12" s="2" t="s">
        <v>871</v>
      </c>
      <c r="F12" s="8" t="s">
        <v>872</v>
      </c>
      <c r="G12" s="5" t="s">
        <v>873</v>
      </c>
      <c r="H12" s="10" t="s">
        <v>874</v>
      </c>
      <c r="I12" t="s">
        <v>891</v>
      </c>
      <c r="J12">
        <v>1</v>
      </c>
      <c r="M12" t="s">
        <v>876</v>
      </c>
    </row>
    <row r="13" spans="1:13" hidden="1">
      <c r="A13">
        <v>12</v>
      </c>
      <c r="B13" t="s">
        <v>16</v>
      </c>
      <c r="C13" s="2">
        <v>41</v>
      </c>
      <c r="D13" s="2">
        <v>11</v>
      </c>
      <c r="E13" s="2" t="s">
        <v>871</v>
      </c>
      <c r="F13" s="8" t="s">
        <v>872</v>
      </c>
      <c r="G13" s="5" t="s">
        <v>892</v>
      </c>
      <c r="H13" s="10" t="s">
        <v>893</v>
      </c>
      <c r="M13" t="s">
        <v>884</v>
      </c>
    </row>
    <row r="14" spans="1:13" hidden="1">
      <c r="A14">
        <v>13</v>
      </c>
      <c r="B14" t="s">
        <v>139</v>
      </c>
      <c r="C14" s="2">
        <v>40</v>
      </c>
      <c r="D14" s="2">
        <v>4</v>
      </c>
      <c r="E14" s="2" t="s">
        <v>871</v>
      </c>
      <c r="F14" s="8" t="s">
        <v>872</v>
      </c>
      <c r="G14" s="5" t="s">
        <v>878</v>
      </c>
      <c r="H14" s="10" t="s">
        <v>879</v>
      </c>
      <c r="M14" t="s">
        <v>876</v>
      </c>
    </row>
    <row r="15" spans="1:13" hidden="1">
      <c r="A15">
        <v>14</v>
      </c>
      <c r="B15" t="s">
        <v>190</v>
      </c>
      <c r="C15" s="2">
        <v>35</v>
      </c>
      <c r="D15" s="2">
        <v>7</v>
      </c>
      <c r="E15" s="2" t="s">
        <v>871</v>
      </c>
      <c r="F15" s="8" t="s">
        <v>872</v>
      </c>
      <c r="G15" s="5" t="s">
        <v>878</v>
      </c>
      <c r="H15" s="10" t="s">
        <v>879</v>
      </c>
      <c r="M15" t="s">
        <v>876</v>
      </c>
    </row>
    <row r="16" spans="1:13">
      <c r="A16">
        <v>15</v>
      </c>
      <c r="B16" t="s">
        <v>225</v>
      </c>
      <c r="C16" s="2">
        <v>28</v>
      </c>
      <c r="D16" s="2">
        <v>1</v>
      </c>
      <c r="E16" s="2" t="s">
        <v>894</v>
      </c>
      <c r="F16" s="8" t="s">
        <v>872</v>
      </c>
      <c r="G16" s="5" t="s">
        <v>895</v>
      </c>
      <c r="H16" s="10" t="s">
        <v>896</v>
      </c>
      <c r="I16" t="s">
        <v>897</v>
      </c>
      <c r="M16" t="s">
        <v>884</v>
      </c>
    </row>
    <row r="17" spans="1:13">
      <c r="A17">
        <v>16</v>
      </c>
      <c r="B17" t="s">
        <v>53</v>
      </c>
      <c r="C17" s="2">
        <v>27</v>
      </c>
      <c r="D17" s="2">
        <v>4</v>
      </c>
      <c r="E17" s="2" t="s">
        <v>894</v>
      </c>
      <c r="F17" s="8" t="s">
        <v>872</v>
      </c>
      <c r="G17" s="5" t="s">
        <v>898</v>
      </c>
      <c r="H17" s="10" t="s">
        <v>899</v>
      </c>
      <c r="I17" t="s">
        <v>891</v>
      </c>
      <c r="K17" s="5" t="s">
        <v>875</v>
      </c>
      <c r="M17" t="s">
        <v>876</v>
      </c>
    </row>
    <row r="18" spans="1:13" hidden="1">
      <c r="A18">
        <v>17</v>
      </c>
      <c r="B18" t="s">
        <v>126</v>
      </c>
      <c r="C18" s="2">
        <v>25</v>
      </c>
      <c r="D18" s="2">
        <v>5</v>
      </c>
      <c r="E18" s="2" t="s">
        <v>871</v>
      </c>
      <c r="F18" s="7" t="s">
        <v>880</v>
      </c>
      <c r="G18" s="5" t="s">
        <v>878</v>
      </c>
      <c r="H18" s="10" t="s">
        <v>879</v>
      </c>
      <c r="M18" t="s">
        <v>876</v>
      </c>
    </row>
    <row r="19" spans="1:13" hidden="1">
      <c r="A19">
        <v>18</v>
      </c>
      <c r="B19" t="s">
        <v>136</v>
      </c>
      <c r="C19" s="2">
        <v>24</v>
      </c>
      <c r="D19" s="2">
        <v>5</v>
      </c>
      <c r="E19" s="2" t="s">
        <v>871</v>
      </c>
      <c r="F19" s="8" t="s">
        <v>872</v>
      </c>
      <c r="G19" s="5" t="s">
        <v>873</v>
      </c>
      <c r="H19" s="10" t="s">
        <v>874</v>
      </c>
      <c r="M19" t="s">
        <v>876</v>
      </c>
    </row>
    <row r="20" spans="1:13" hidden="1">
      <c r="A20">
        <v>19</v>
      </c>
      <c r="B20" t="s">
        <v>107</v>
      </c>
      <c r="C20" s="2">
        <v>24</v>
      </c>
      <c r="D20" s="2">
        <v>4</v>
      </c>
      <c r="E20" s="2" t="s">
        <v>871</v>
      </c>
      <c r="F20" s="8" t="s">
        <v>872</v>
      </c>
      <c r="G20" s="5" t="s">
        <v>878</v>
      </c>
      <c r="H20" s="10" t="s">
        <v>879</v>
      </c>
      <c r="M20" t="s">
        <v>876</v>
      </c>
    </row>
    <row r="21" spans="1:13" hidden="1">
      <c r="A21">
        <v>20</v>
      </c>
      <c r="B21" t="s">
        <v>181</v>
      </c>
      <c r="C21" s="2">
        <v>23</v>
      </c>
      <c r="D21" s="2">
        <v>4</v>
      </c>
      <c r="E21" s="2" t="s">
        <v>881</v>
      </c>
      <c r="F21" s="8" t="s">
        <v>872</v>
      </c>
      <c r="G21" s="5" t="s">
        <v>900</v>
      </c>
      <c r="H21" s="10" t="s">
        <v>901</v>
      </c>
      <c r="K21" s="5" t="s">
        <v>875</v>
      </c>
      <c r="M21" t="s">
        <v>876</v>
      </c>
    </row>
    <row r="22" spans="1:13" hidden="1">
      <c r="A22">
        <v>21</v>
      </c>
      <c r="B22" t="s">
        <v>118</v>
      </c>
      <c r="C22" s="2">
        <v>20</v>
      </c>
      <c r="D22" s="2">
        <v>7</v>
      </c>
      <c r="E22" s="2" t="s">
        <v>871</v>
      </c>
      <c r="F22" s="8" t="s">
        <v>872</v>
      </c>
      <c r="G22" s="5" t="s">
        <v>878</v>
      </c>
      <c r="H22" s="10" t="s">
        <v>879</v>
      </c>
      <c r="M22" t="s">
        <v>876</v>
      </c>
    </row>
    <row r="23" spans="1:13" hidden="1">
      <c r="A23">
        <v>22</v>
      </c>
      <c r="B23" t="s">
        <v>227</v>
      </c>
      <c r="C23" s="2">
        <v>14</v>
      </c>
      <c r="D23" s="2">
        <v>2</v>
      </c>
      <c r="E23" s="2" t="s">
        <v>881</v>
      </c>
      <c r="F23" s="8" t="s">
        <v>872</v>
      </c>
      <c r="G23" s="5" t="s">
        <v>889</v>
      </c>
      <c r="H23" s="10" t="s">
        <v>890</v>
      </c>
      <c r="M23" t="s">
        <v>884</v>
      </c>
    </row>
    <row r="24" spans="1:13" hidden="1">
      <c r="A24">
        <v>23</v>
      </c>
      <c r="B24" t="s">
        <v>93</v>
      </c>
      <c r="C24" s="2">
        <v>14</v>
      </c>
      <c r="D24" s="2">
        <v>6</v>
      </c>
      <c r="E24" s="2" t="s">
        <v>871</v>
      </c>
      <c r="F24" s="8" t="s">
        <v>872</v>
      </c>
      <c r="G24" s="5" t="s">
        <v>878</v>
      </c>
      <c r="H24" s="10" t="s">
        <v>879</v>
      </c>
      <c r="M24" t="s">
        <v>876</v>
      </c>
    </row>
    <row r="25" spans="1:13" hidden="1">
      <c r="A25">
        <v>24</v>
      </c>
      <c r="B25" t="s">
        <v>111</v>
      </c>
      <c r="C25" s="2">
        <v>13</v>
      </c>
      <c r="D25" s="2">
        <v>3</v>
      </c>
      <c r="E25" s="2" t="s">
        <v>871</v>
      </c>
      <c r="F25" s="8" t="s">
        <v>872</v>
      </c>
      <c r="G25" s="5" t="s">
        <v>878</v>
      </c>
      <c r="H25" s="10" t="s">
        <v>879</v>
      </c>
      <c r="M25" t="s">
        <v>876</v>
      </c>
    </row>
    <row r="26" spans="1:13" hidden="1">
      <c r="A26">
        <v>25</v>
      </c>
      <c r="B26" t="s">
        <v>169</v>
      </c>
      <c r="C26" s="2">
        <v>12</v>
      </c>
      <c r="D26" s="2">
        <v>3</v>
      </c>
      <c r="E26" s="2" t="s">
        <v>871</v>
      </c>
      <c r="F26" s="8" t="s">
        <v>872</v>
      </c>
      <c r="G26" s="5" t="s">
        <v>878</v>
      </c>
      <c r="H26" s="10" t="s">
        <v>879</v>
      </c>
      <c r="M26" t="s">
        <v>876</v>
      </c>
    </row>
    <row r="27" spans="1:13" hidden="1">
      <c r="A27">
        <v>26</v>
      </c>
      <c r="B27" t="s">
        <v>131</v>
      </c>
      <c r="C27" s="2">
        <v>12</v>
      </c>
      <c r="D27" s="2">
        <v>4</v>
      </c>
      <c r="E27" s="2" t="s">
        <v>871</v>
      </c>
      <c r="F27" s="7" t="s">
        <v>880</v>
      </c>
      <c r="G27" s="5" t="s">
        <v>878</v>
      </c>
      <c r="H27" s="10" t="s">
        <v>879</v>
      </c>
      <c r="M27" t="s">
        <v>876</v>
      </c>
    </row>
    <row r="28" spans="1:13">
      <c r="A28">
        <v>27</v>
      </c>
      <c r="B28" t="s">
        <v>220</v>
      </c>
      <c r="C28" s="2">
        <v>11</v>
      </c>
      <c r="D28" s="2">
        <v>1</v>
      </c>
      <c r="E28" s="2" t="s">
        <v>871</v>
      </c>
      <c r="F28" s="6" t="s">
        <v>902</v>
      </c>
      <c r="G28" s="5" t="s">
        <v>898</v>
      </c>
      <c r="H28" s="10" t="s">
        <v>899</v>
      </c>
      <c r="I28" t="s">
        <v>897</v>
      </c>
      <c r="M28" t="s">
        <v>876</v>
      </c>
    </row>
    <row r="29" spans="1:13" hidden="1">
      <c r="A29">
        <v>28</v>
      </c>
      <c r="B29" t="s">
        <v>156</v>
      </c>
      <c r="C29" s="2">
        <v>11</v>
      </c>
      <c r="D29" s="2">
        <v>2</v>
      </c>
      <c r="E29" s="2" t="s">
        <v>871</v>
      </c>
      <c r="F29" s="8" t="s">
        <v>872</v>
      </c>
      <c r="G29" s="5" t="s">
        <v>873</v>
      </c>
      <c r="H29" s="10" t="s">
        <v>874</v>
      </c>
      <c r="M29" t="s">
        <v>876</v>
      </c>
    </row>
    <row r="30" spans="1:13" hidden="1">
      <c r="A30">
        <v>29</v>
      </c>
      <c r="B30" t="s">
        <v>157</v>
      </c>
      <c r="C30" s="2">
        <v>10</v>
      </c>
      <c r="D30" s="2">
        <v>4</v>
      </c>
      <c r="E30" s="2" t="s">
        <v>871</v>
      </c>
      <c r="F30" s="8" t="s">
        <v>872</v>
      </c>
      <c r="G30" s="5" t="s">
        <v>878</v>
      </c>
      <c r="H30" s="10" t="s">
        <v>879</v>
      </c>
      <c r="M30" t="s">
        <v>876</v>
      </c>
    </row>
    <row r="31" spans="1:13" hidden="1">
      <c r="A31">
        <v>30</v>
      </c>
      <c r="B31" t="s">
        <v>147</v>
      </c>
      <c r="C31" s="2">
        <v>10</v>
      </c>
      <c r="D31" s="2">
        <v>2</v>
      </c>
      <c r="E31" s="2" t="s">
        <v>871</v>
      </c>
      <c r="F31" s="7" t="s">
        <v>880</v>
      </c>
      <c r="G31" s="5" t="s">
        <v>895</v>
      </c>
      <c r="H31" s="10" t="s">
        <v>903</v>
      </c>
      <c r="I31" t="s">
        <v>891</v>
      </c>
      <c r="J31">
        <v>1</v>
      </c>
      <c r="M31" t="s">
        <v>876</v>
      </c>
    </row>
    <row r="32" spans="1:13" hidden="1">
      <c r="A32">
        <v>31</v>
      </c>
      <c r="B32" t="s">
        <v>10</v>
      </c>
      <c r="C32" s="2">
        <v>10</v>
      </c>
      <c r="D32" s="2">
        <v>1</v>
      </c>
      <c r="E32" s="2" t="s">
        <v>871</v>
      </c>
      <c r="F32" s="8" t="s">
        <v>872</v>
      </c>
      <c r="G32" s="5" t="s">
        <v>892</v>
      </c>
      <c r="H32" s="10" t="s">
        <v>893</v>
      </c>
      <c r="M32" t="s">
        <v>884</v>
      </c>
    </row>
    <row r="33" spans="1:13" hidden="1">
      <c r="A33">
        <v>32</v>
      </c>
      <c r="B33" t="s">
        <v>187</v>
      </c>
      <c r="C33" s="2">
        <v>9</v>
      </c>
      <c r="D33" s="2">
        <v>1</v>
      </c>
      <c r="E33" s="2" t="s">
        <v>881</v>
      </c>
      <c r="F33" s="7" t="s">
        <v>880</v>
      </c>
      <c r="G33" s="5" t="s">
        <v>895</v>
      </c>
      <c r="H33" s="10" t="s">
        <v>904</v>
      </c>
      <c r="K33" s="5" t="s">
        <v>875</v>
      </c>
      <c r="L33" s="11" t="s">
        <v>888</v>
      </c>
      <c r="M33" t="s">
        <v>884</v>
      </c>
    </row>
    <row r="34" spans="1:13" hidden="1">
      <c r="A34">
        <v>33</v>
      </c>
      <c r="B34" t="s">
        <v>127</v>
      </c>
      <c r="C34" s="2">
        <v>9</v>
      </c>
      <c r="D34" s="2">
        <v>2</v>
      </c>
      <c r="E34" s="2" t="s">
        <v>871</v>
      </c>
      <c r="F34" s="7" t="s">
        <v>880</v>
      </c>
      <c r="G34" s="5" t="s">
        <v>878</v>
      </c>
      <c r="H34" s="10" t="s">
        <v>879</v>
      </c>
      <c r="M34" t="s">
        <v>876</v>
      </c>
    </row>
    <row r="35" spans="1:13" hidden="1">
      <c r="A35">
        <v>34</v>
      </c>
      <c r="B35" t="s">
        <v>73</v>
      </c>
      <c r="C35" s="2">
        <v>9</v>
      </c>
      <c r="D35" s="2">
        <v>1</v>
      </c>
      <c r="E35" s="2" t="s">
        <v>871</v>
      </c>
      <c r="F35" s="8" t="s">
        <v>872</v>
      </c>
      <c r="G35" s="5" t="s">
        <v>873</v>
      </c>
      <c r="H35" s="10" t="s">
        <v>874</v>
      </c>
      <c r="M35" t="s">
        <v>876</v>
      </c>
    </row>
    <row r="36" spans="1:13" hidden="1">
      <c r="A36">
        <v>35</v>
      </c>
      <c r="B36" t="s">
        <v>51</v>
      </c>
      <c r="C36" s="2">
        <v>9</v>
      </c>
      <c r="D36" s="2">
        <v>2</v>
      </c>
      <c r="E36" s="2" t="s">
        <v>905</v>
      </c>
      <c r="F36" s="7" t="s">
        <v>880</v>
      </c>
      <c r="G36" s="5" t="s">
        <v>906</v>
      </c>
      <c r="H36" s="10" t="s">
        <v>907</v>
      </c>
      <c r="M36" t="s">
        <v>884</v>
      </c>
    </row>
    <row r="37" spans="1:13" hidden="1">
      <c r="A37">
        <v>36</v>
      </c>
      <c r="B37" t="s">
        <v>174</v>
      </c>
      <c r="C37" s="2">
        <v>8</v>
      </c>
      <c r="D37" s="2">
        <v>1</v>
      </c>
      <c r="E37" s="2" t="s">
        <v>881</v>
      </c>
      <c r="F37" s="8" t="s">
        <v>872</v>
      </c>
      <c r="G37" s="5" t="s">
        <v>882</v>
      </c>
      <c r="H37" s="10" t="s">
        <v>883</v>
      </c>
      <c r="I37" t="s">
        <v>891</v>
      </c>
      <c r="J37">
        <v>5</v>
      </c>
      <c r="M37" t="s">
        <v>884</v>
      </c>
    </row>
    <row r="38" spans="1:13" hidden="1">
      <c r="A38">
        <v>37</v>
      </c>
      <c r="B38" t="s">
        <v>167</v>
      </c>
      <c r="C38" s="2">
        <v>8</v>
      </c>
      <c r="D38" s="2">
        <v>5</v>
      </c>
      <c r="E38" s="2" t="s">
        <v>871</v>
      </c>
      <c r="F38" s="8" t="s">
        <v>872</v>
      </c>
      <c r="G38" s="5" t="s">
        <v>873</v>
      </c>
      <c r="H38" s="10" t="s">
        <v>874</v>
      </c>
      <c r="M38" t="s">
        <v>876</v>
      </c>
    </row>
    <row r="39" spans="1:13" hidden="1">
      <c r="A39">
        <v>38</v>
      </c>
      <c r="B39" t="s">
        <v>129</v>
      </c>
      <c r="C39" s="2">
        <v>8</v>
      </c>
      <c r="D39" s="2">
        <v>2</v>
      </c>
      <c r="E39" s="2" t="s">
        <v>871</v>
      </c>
      <c r="F39" s="7" t="s">
        <v>880</v>
      </c>
      <c r="G39" s="5" t="s">
        <v>878</v>
      </c>
      <c r="H39" s="10" t="s">
        <v>879</v>
      </c>
      <c r="M39" t="s">
        <v>876</v>
      </c>
    </row>
    <row r="40" spans="1:13" hidden="1">
      <c r="A40">
        <v>39</v>
      </c>
      <c r="B40" t="s">
        <v>112</v>
      </c>
      <c r="C40" s="2">
        <v>8</v>
      </c>
      <c r="D40" s="2">
        <v>1</v>
      </c>
      <c r="E40" s="2" t="s">
        <v>871</v>
      </c>
      <c r="F40" s="8" t="s">
        <v>872</v>
      </c>
      <c r="G40" s="5" t="s">
        <v>873</v>
      </c>
      <c r="H40" s="10" t="s">
        <v>874</v>
      </c>
      <c r="I40" t="s">
        <v>877</v>
      </c>
      <c r="J40">
        <v>24</v>
      </c>
      <c r="M40" t="s">
        <v>876</v>
      </c>
    </row>
    <row r="41" spans="1:13">
      <c r="A41">
        <v>40</v>
      </c>
      <c r="B41" t="s">
        <v>218</v>
      </c>
      <c r="C41" s="2">
        <v>7</v>
      </c>
      <c r="D41" s="2">
        <v>1</v>
      </c>
      <c r="E41" s="2" t="s">
        <v>871</v>
      </c>
      <c r="F41" s="6" t="s">
        <v>902</v>
      </c>
      <c r="G41" s="5" t="s">
        <v>898</v>
      </c>
      <c r="H41" s="10" t="s">
        <v>899</v>
      </c>
      <c r="I41" t="s">
        <v>897</v>
      </c>
      <c r="M41" t="s">
        <v>876</v>
      </c>
    </row>
    <row r="42" spans="1:13" hidden="1">
      <c r="A42">
        <v>41</v>
      </c>
      <c r="B42" t="s">
        <v>179</v>
      </c>
      <c r="C42" s="2">
        <v>7</v>
      </c>
      <c r="D42" s="2">
        <v>3</v>
      </c>
      <c r="E42" s="2" t="s">
        <v>881</v>
      </c>
      <c r="F42" s="8" t="s">
        <v>872</v>
      </c>
      <c r="G42" s="5" t="s">
        <v>900</v>
      </c>
      <c r="H42" s="10" t="s">
        <v>901</v>
      </c>
      <c r="K42" s="5" t="s">
        <v>875</v>
      </c>
      <c r="L42" s="11" t="s">
        <v>888</v>
      </c>
      <c r="M42" t="s">
        <v>876</v>
      </c>
    </row>
    <row r="43" spans="1:13" hidden="1">
      <c r="A43">
        <v>42</v>
      </c>
      <c r="B43" t="s">
        <v>117</v>
      </c>
      <c r="C43" s="2">
        <v>7</v>
      </c>
      <c r="D43" s="2">
        <v>3</v>
      </c>
      <c r="E43" s="2" t="s">
        <v>871</v>
      </c>
      <c r="F43" s="8" t="s">
        <v>872</v>
      </c>
      <c r="G43" s="5" t="s">
        <v>878</v>
      </c>
      <c r="H43" s="10" t="s">
        <v>879</v>
      </c>
      <c r="M43" t="s">
        <v>876</v>
      </c>
    </row>
    <row r="44" spans="1:13" hidden="1">
      <c r="A44">
        <v>43</v>
      </c>
      <c r="B44" t="s">
        <v>202</v>
      </c>
      <c r="C44" s="2">
        <v>6</v>
      </c>
      <c r="D44" s="2">
        <v>1</v>
      </c>
      <c r="E44" s="2" t="s">
        <v>885</v>
      </c>
      <c r="F44" s="8" t="s">
        <v>872</v>
      </c>
      <c r="G44" s="5" t="s">
        <v>886</v>
      </c>
      <c r="H44" s="10" t="s">
        <v>887</v>
      </c>
      <c r="J44">
        <v>8</v>
      </c>
      <c r="K44" s="5" t="s">
        <v>875</v>
      </c>
      <c r="L44" s="11" t="s">
        <v>888</v>
      </c>
      <c r="M44" t="s">
        <v>876</v>
      </c>
    </row>
    <row r="45" spans="1:13" hidden="1">
      <c r="A45">
        <v>44</v>
      </c>
      <c r="B45" t="s">
        <v>200</v>
      </c>
      <c r="C45" s="2">
        <v>6</v>
      </c>
      <c r="D45" s="2">
        <v>2</v>
      </c>
      <c r="E45" s="2" t="s">
        <v>885</v>
      </c>
      <c r="F45" s="8" t="s">
        <v>872</v>
      </c>
      <c r="G45" s="5" t="s">
        <v>886</v>
      </c>
      <c r="H45" s="10" t="s">
        <v>887</v>
      </c>
      <c r="I45" t="s">
        <v>891</v>
      </c>
      <c r="J45">
        <v>8</v>
      </c>
      <c r="K45" s="5" t="s">
        <v>875</v>
      </c>
      <c r="L45" s="11" t="s">
        <v>888</v>
      </c>
      <c r="M45" t="s">
        <v>876</v>
      </c>
    </row>
    <row r="46" spans="1:13" hidden="1">
      <c r="A46">
        <v>45</v>
      </c>
      <c r="B46" t="s">
        <v>194</v>
      </c>
      <c r="C46" s="2">
        <v>6</v>
      </c>
      <c r="D46" s="2">
        <v>1</v>
      </c>
      <c r="E46" s="2" t="s">
        <v>871</v>
      </c>
      <c r="F46" s="8" t="s">
        <v>872</v>
      </c>
      <c r="G46" s="5" t="s">
        <v>878</v>
      </c>
      <c r="H46" s="10" t="s">
        <v>879</v>
      </c>
      <c r="M46" t="s">
        <v>876</v>
      </c>
    </row>
    <row r="47" spans="1:13" hidden="1">
      <c r="A47">
        <v>46</v>
      </c>
      <c r="B47" t="s">
        <v>191</v>
      </c>
      <c r="C47" s="2">
        <v>6</v>
      </c>
      <c r="D47" s="2">
        <v>1</v>
      </c>
      <c r="E47" s="2" t="s">
        <v>871</v>
      </c>
      <c r="F47" s="8" t="s">
        <v>872</v>
      </c>
      <c r="G47" s="5" t="s">
        <v>873</v>
      </c>
      <c r="H47" s="10" t="s">
        <v>874</v>
      </c>
      <c r="I47" t="s">
        <v>877</v>
      </c>
      <c r="J47">
        <v>14</v>
      </c>
      <c r="K47" s="5" t="s">
        <v>875</v>
      </c>
      <c r="M47" t="s">
        <v>876</v>
      </c>
    </row>
    <row r="48" spans="1:13" hidden="1">
      <c r="A48">
        <v>47</v>
      </c>
      <c r="B48" t="s">
        <v>113</v>
      </c>
      <c r="C48" s="2">
        <v>6</v>
      </c>
      <c r="D48" s="2">
        <v>2</v>
      </c>
      <c r="E48" s="2" t="s">
        <v>871</v>
      </c>
      <c r="F48" s="7" t="s">
        <v>880</v>
      </c>
      <c r="G48" s="5" t="s">
        <v>878</v>
      </c>
      <c r="H48" s="10" t="s">
        <v>879</v>
      </c>
      <c r="M48" t="s">
        <v>876</v>
      </c>
    </row>
    <row r="49" spans="1:13" hidden="1">
      <c r="A49">
        <v>48</v>
      </c>
      <c r="B49" t="s">
        <v>71</v>
      </c>
      <c r="C49" s="2">
        <v>6</v>
      </c>
      <c r="D49" s="2">
        <v>1</v>
      </c>
      <c r="E49" s="2" t="s">
        <v>871</v>
      </c>
      <c r="F49" s="8" t="s">
        <v>872</v>
      </c>
      <c r="G49" s="5" t="s">
        <v>908</v>
      </c>
      <c r="H49" s="10" t="s">
        <v>909</v>
      </c>
      <c r="M49" t="s">
        <v>884</v>
      </c>
    </row>
    <row r="50" spans="1:13" hidden="1">
      <c r="A50">
        <v>49</v>
      </c>
      <c r="B50" t="s">
        <v>32</v>
      </c>
      <c r="C50" s="2">
        <v>6</v>
      </c>
      <c r="D50" s="2">
        <v>2</v>
      </c>
      <c r="E50" s="2" t="s">
        <v>910</v>
      </c>
      <c r="F50" s="8" t="s">
        <v>872</v>
      </c>
      <c r="G50" s="5" t="s">
        <v>911</v>
      </c>
      <c r="H50" s="10" t="s">
        <v>912</v>
      </c>
      <c r="M50" t="s">
        <v>884</v>
      </c>
    </row>
    <row r="51" spans="1:13">
      <c r="A51">
        <v>50</v>
      </c>
      <c r="B51" t="s">
        <v>228</v>
      </c>
      <c r="C51" s="2">
        <v>5</v>
      </c>
      <c r="D51" s="2">
        <v>1</v>
      </c>
      <c r="E51" s="2" t="s">
        <v>871</v>
      </c>
      <c r="F51" s="7" t="s">
        <v>880</v>
      </c>
      <c r="G51" s="5" t="s">
        <v>895</v>
      </c>
      <c r="H51" s="10" t="s">
        <v>913</v>
      </c>
      <c r="M51" t="s">
        <v>884</v>
      </c>
    </row>
    <row r="52" spans="1:13">
      <c r="A52">
        <v>51</v>
      </c>
      <c r="B52" t="s">
        <v>219</v>
      </c>
      <c r="C52" s="2">
        <v>5</v>
      </c>
      <c r="D52" s="2">
        <v>1</v>
      </c>
      <c r="E52" s="2" t="s">
        <v>871</v>
      </c>
      <c r="F52" s="6" t="s">
        <v>902</v>
      </c>
      <c r="G52" s="5" t="s">
        <v>898</v>
      </c>
      <c r="H52" s="10" t="s">
        <v>899</v>
      </c>
      <c r="I52" t="s">
        <v>897</v>
      </c>
      <c r="M52" t="s">
        <v>876</v>
      </c>
    </row>
    <row r="53" spans="1:13" hidden="1">
      <c r="A53">
        <v>52</v>
      </c>
      <c r="B53" t="s">
        <v>203</v>
      </c>
      <c r="C53" s="2">
        <v>5</v>
      </c>
      <c r="D53" s="2">
        <v>1</v>
      </c>
      <c r="E53" s="2" t="s">
        <v>871</v>
      </c>
      <c r="F53" s="8" t="s">
        <v>872</v>
      </c>
      <c r="G53" s="5" t="s">
        <v>895</v>
      </c>
      <c r="H53" s="10" t="s">
        <v>914</v>
      </c>
      <c r="M53" t="s">
        <v>915</v>
      </c>
    </row>
    <row r="54" spans="1:13">
      <c r="A54">
        <v>53</v>
      </c>
      <c r="B54" t="s">
        <v>195</v>
      </c>
      <c r="C54" s="2">
        <v>5</v>
      </c>
      <c r="D54" s="2">
        <v>2</v>
      </c>
      <c r="E54" s="2" t="s">
        <v>894</v>
      </c>
      <c r="F54" s="8" t="s">
        <v>872</v>
      </c>
      <c r="G54" s="5" t="s">
        <v>898</v>
      </c>
      <c r="H54" s="10" t="s">
        <v>899</v>
      </c>
      <c r="K54" s="5" t="s">
        <v>875</v>
      </c>
      <c r="M54" t="s">
        <v>876</v>
      </c>
    </row>
    <row r="55" spans="1:13" hidden="1">
      <c r="A55">
        <v>54</v>
      </c>
      <c r="B55" t="s">
        <v>192</v>
      </c>
      <c r="C55" s="2">
        <v>5</v>
      </c>
      <c r="D55" s="2">
        <v>1</v>
      </c>
      <c r="E55" s="2" t="s">
        <v>916</v>
      </c>
      <c r="F55" s="8" t="s">
        <v>872</v>
      </c>
      <c r="G55" s="5" t="s">
        <v>895</v>
      </c>
      <c r="H55" s="10" t="s">
        <v>653</v>
      </c>
      <c r="M55" t="s">
        <v>884</v>
      </c>
    </row>
    <row r="56" spans="1:13" hidden="1">
      <c r="A56">
        <v>55</v>
      </c>
      <c r="B56" t="s">
        <v>176</v>
      </c>
      <c r="C56" s="2">
        <v>5</v>
      </c>
      <c r="D56" s="2">
        <v>1</v>
      </c>
      <c r="E56" s="2" t="s">
        <v>881</v>
      </c>
      <c r="F56" s="8" t="s">
        <v>872</v>
      </c>
      <c r="G56" s="5" t="s">
        <v>882</v>
      </c>
      <c r="H56" s="10" t="s">
        <v>883</v>
      </c>
      <c r="I56" t="s">
        <v>891</v>
      </c>
      <c r="J56">
        <v>5</v>
      </c>
      <c r="M56" t="s">
        <v>884</v>
      </c>
    </row>
    <row r="57" spans="1:13" hidden="1">
      <c r="A57">
        <v>56</v>
      </c>
      <c r="B57" t="s">
        <v>153</v>
      </c>
      <c r="C57" s="2">
        <v>5</v>
      </c>
      <c r="D57" s="2">
        <v>2</v>
      </c>
      <c r="E57" s="2" t="s">
        <v>871</v>
      </c>
      <c r="F57" s="8" t="s">
        <v>872</v>
      </c>
      <c r="G57" s="5" t="s">
        <v>878</v>
      </c>
      <c r="H57" s="10" t="s">
        <v>879</v>
      </c>
      <c r="M57" t="s">
        <v>876</v>
      </c>
    </row>
    <row r="58" spans="1:13" hidden="1">
      <c r="A58">
        <v>57</v>
      </c>
      <c r="B58" t="s">
        <v>123</v>
      </c>
      <c r="C58" s="2">
        <v>5</v>
      </c>
      <c r="D58" s="2">
        <v>2</v>
      </c>
      <c r="E58" s="2" t="s">
        <v>871</v>
      </c>
      <c r="F58" s="8" t="s">
        <v>872</v>
      </c>
      <c r="G58" s="5" t="s">
        <v>878</v>
      </c>
      <c r="H58" s="10" t="s">
        <v>879</v>
      </c>
      <c r="M58" t="s">
        <v>876</v>
      </c>
    </row>
    <row r="59" spans="1:13" hidden="1">
      <c r="A59">
        <v>58</v>
      </c>
      <c r="B59" t="s">
        <v>82</v>
      </c>
      <c r="C59" s="2">
        <v>5</v>
      </c>
      <c r="D59" s="2">
        <v>1</v>
      </c>
      <c r="E59" s="2" t="s">
        <v>871</v>
      </c>
      <c r="F59" s="8" t="s">
        <v>872</v>
      </c>
      <c r="G59" s="5" t="s">
        <v>873</v>
      </c>
      <c r="H59" s="10" t="s">
        <v>874</v>
      </c>
      <c r="I59" t="s">
        <v>897</v>
      </c>
      <c r="K59" s="5" t="s">
        <v>875</v>
      </c>
      <c r="M59" t="s">
        <v>876</v>
      </c>
    </row>
    <row r="60" spans="1:13" hidden="1">
      <c r="A60">
        <v>59</v>
      </c>
      <c r="B60" t="s">
        <v>80</v>
      </c>
      <c r="C60" s="2">
        <v>5</v>
      </c>
      <c r="D60" s="2">
        <v>1</v>
      </c>
      <c r="E60" s="2" t="s">
        <v>871</v>
      </c>
      <c r="F60" s="8" t="s">
        <v>872</v>
      </c>
      <c r="G60" s="5" t="s">
        <v>873</v>
      </c>
      <c r="H60" s="10" t="s">
        <v>874</v>
      </c>
      <c r="M60" t="s">
        <v>876</v>
      </c>
    </row>
    <row r="61" spans="1:13" hidden="1">
      <c r="A61">
        <v>60</v>
      </c>
      <c r="B61" t="s">
        <v>68</v>
      </c>
      <c r="C61" s="2">
        <v>5</v>
      </c>
      <c r="D61" s="2">
        <v>1</v>
      </c>
      <c r="E61" s="2" t="s">
        <v>871</v>
      </c>
      <c r="F61" s="8" t="s">
        <v>872</v>
      </c>
      <c r="G61" s="5" t="s">
        <v>886</v>
      </c>
      <c r="H61" s="10" t="s">
        <v>887</v>
      </c>
      <c r="M61" t="s">
        <v>876</v>
      </c>
    </row>
    <row r="62" spans="1:13" hidden="1">
      <c r="A62">
        <v>61</v>
      </c>
      <c r="B62" t="s">
        <v>48</v>
      </c>
      <c r="C62" s="2">
        <v>5</v>
      </c>
      <c r="D62" s="2">
        <v>2</v>
      </c>
      <c r="E62" s="2" t="s">
        <v>905</v>
      </c>
      <c r="F62" s="7" t="s">
        <v>880</v>
      </c>
      <c r="G62" s="5" t="s">
        <v>906</v>
      </c>
      <c r="H62" s="10" t="s">
        <v>907</v>
      </c>
      <c r="M62" t="s">
        <v>884</v>
      </c>
    </row>
    <row r="63" spans="1:13">
      <c r="A63">
        <v>62</v>
      </c>
      <c r="B63" t="s">
        <v>221</v>
      </c>
      <c r="C63" s="2">
        <v>4</v>
      </c>
      <c r="D63" s="2">
        <v>2</v>
      </c>
      <c r="E63" s="2" t="s">
        <v>871</v>
      </c>
      <c r="F63" s="8" t="s">
        <v>872</v>
      </c>
      <c r="G63" s="5" t="s">
        <v>898</v>
      </c>
      <c r="H63" s="10" t="s">
        <v>899</v>
      </c>
      <c r="M63" t="s">
        <v>876</v>
      </c>
    </row>
    <row r="64" spans="1:13">
      <c r="A64">
        <v>63</v>
      </c>
      <c r="B64" t="s">
        <v>209</v>
      </c>
      <c r="C64" s="2">
        <v>4</v>
      </c>
      <c r="D64" s="2">
        <v>1</v>
      </c>
      <c r="E64" s="2" t="s">
        <v>894</v>
      </c>
      <c r="F64" s="7" t="s">
        <v>880</v>
      </c>
      <c r="G64" s="5" t="s">
        <v>895</v>
      </c>
      <c r="H64" s="10" t="s">
        <v>917</v>
      </c>
      <c r="M64" t="s">
        <v>876</v>
      </c>
    </row>
    <row r="65" spans="1:13" hidden="1">
      <c r="A65">
        <v>64</v>
      </c>
      <c r="B65" t="s">
        <v>182</v>
      </c>
      <c r="C65" s="2">
        <v>4</v>
      </c>
      <c r="D65" s="2">
        <v>1</v>
      </c>
      <c r="E65" s="2" t="s">
        <v>881</v>
      </c>
      <c r="F65" s="8" t="s">
        <v>872</v>
      </c>
      <c r="G65" s="5" t="s">
        <v>900</v>
      </c>
      <c r="H65" s="10" t="s">
        <v>901</v>
      </c>
      <c r="I65" t="s">
        <v>891</v>
      </c>
      <c r="J65">
        <v>20</v>
      </c>
      <c r="K65" s="5" t="s">
        <v>875</v>
      </c>
      <c r="M65" t="s">
        <v>876</v>
      </c>
    </row>
    <row r="66" spans="1:13">
      <c r="A66">
        <v>65</v>
      </c>
      <c r="B66" t="s">
        <v>172</v>
      </c>
      <c r="C66" s="2">
        <v>4</v>
      </c>
      <c r="D66" s="2">
        <v>1</v>
      </c>
      <c r="E66" s="2" t="s">
        <v>894</v>
      </c>
      <c r="F66" s="8" t="s">
        <v>872</v>
      </c>
      <c r="G66" s="5" t="s">
        <v>898</v>
      </c>
      <c r="H66" s="10" t="s">
        <v>899</v>
      </c>
      <c r="I66" t="s">
        <v>897</v>
      </c>
      <c r="K66" s="5" t="s">
        <v>875</v>
      </c>
      <c r="M66" t="s">
        <v>876</v>
      </c>
    </row>
    <row r="67" spans="1:13" hidden="1">
      <c r="A67">
        <v>66</v>
      </c>
      <c r="B67" t="s">
        <v>160</v>
      </c>
      <c r="C67" s="2">
        <v>4</v>
      </c>
      <c r="D67" s="2">
        <v>2</v>
      </c>
      <c r="E67" s="2" t="s">
        <v>871</v>
      </c>
      <c r="F67" s="8" t="s">
        <v>872</v>
      </c>
      <c r="G67" s="5" t="s">
        <v>878</v>
      </c>
      <c r="H67" s="10" t="s">
        <v>879</v>
      </c>
      <c r="M67" t="s">
        <v>876</v>
      </c>
    </row>
    <row r="68" spans="1:13" hidden="1">
      <c r="A68">
        <v>67</v>
      </c>
      <c r="B68" t="s">
        <v>130</v>
      </c>
      <c r="C68" s="2">
        <v>4</v>
      </c>
      <c r="D68" s="2">
        <v>1</v>
      </c>
      <c r="E68" s="2" t="s">
        <v>871</v>
      </c>
      <c r="F68" s="7" t="s">
        <v>880</v>
      </c>
      <c r="G68" s="5" t="s">
        <v>878</v>
      </c>
      <c r="H68" s="10" t="s">
        <v>879</v>
      </c>
      <c r="M68" t="s">
        <v>876</v>
      </c>
    </row>
    <row r="69" spans="1:13" hidden="1">
      <c r="A69">
        <v>68</v>
      </c>
      <c r="B69" t="s">
        <v>98</v>
      </c>
      <c r="C69" s="2">
        <v>4</v>
      </c>
      <c r="D69" s="2">
        <v>3</v>
      </c>
      <c r="E69" s="2" t="s">
        <v>871</v>
      </c>
      <c r="F69" s="8" t="s">
        <v>872</v>
      </c>
      <c r="G69" s="5" t="s">
        <v>873</v>
      </c>
      <c r="H69" s="10" t="s">
        <v>874</v>
      </c>
      <c r="I69" t="s">
        <v>877</v>
      </c>
      <c r="M69" t="s">
        <v>876</v>
      </c>
    </row>
    <row r="70" spans="1:13" hidden="1">
      <c r="A70">
        <v>69</v>
      </c>
      <c r="B70" t="s">
        <v>92</v>
      </c>
      <c r="C70" s="2">
        <v>4</v>
      </c>
      <c r="D70" s="2">
        <v>1</v>
      </c>
      <c r="E70" s="2" t="s">
        <v>871</v>
      </c>
      <c r="F70" s="8" t="s">
        <v>872</v>
      </c>
      <c r="G70" s="5" t="s">
        <v>873</v>
      </c>
      <c r="H70" s="10" t="s">
        <v>874</v>
      </c>
      <c r="I70" t="s">
        <v>897</v>
      </c>
      <c r="K70" s="5" t="s">
        <v>875</v>
      </c>
      <c r="M70" t="s">
        <v>876</v>
      </c>
    </row>
    <row r="71" spans="1:13" hidden="1">
      <c r="A71">
        <v>70</v>
      </c>
      <c r="B71" t="s">
        <v>83</v>
      </c>
      <c r="C71" s="2">
        <v>4</v>
      </c>
      <c r="D71" s="2">
        <v>1</v>
      </c>
      <c r="E71" s="2" t="s">
        <v>871</v>
      </c>
      <c r="F71" s="8" t="s">
        <v>872</v>
      </c>
      <c r="G71" s="5" t="s">
        <v>873</v>
      </c>
      <c r="H71" s="10" t="s">
        <v>874</v>
      </c>
      <c r="I71" t="s">
        <v>897</v>
      </c>
      <c r="K71" s="5" t="s">
        <v>875</v>
      </c>
      <c r="M71" t="s">
        <v>876</v>
      </c>
    </row>
    <row r="72" spans="1:13" hidden="1">
      <c r="A72">
        <v>71</v>
      </c>
      <c r="B72" t="s">
        <v>78</v>
      </c>
      <c r="C72" s="2">
        <v>4</v>
      </c>
      <c r="D72" s="2">
        <v>1</v>
      </c>
      <c r="E72" s="2" t="s">
        <v>871</v>
      </c>
      <c r="F72" s="7" t="s">
        <v>880</v>
      </c>
      <c r="G72" s="5" t="s">
        <v>878</v>
      </c>
      <c r="H72" s="10" t="s">
        <v>879</v>
      </c>
      <c r="M72" t="s">
        <v>876</v>
      </c>
    </row>
    <row r="73" spans="1:13" hidden="1">
      <c r="A73">
        <v>72</v>
      </c>
      <c r="B73" t="s">
        <v>76</v>
      </c>
      <c r="C73" s="2">
        <v>4</v>
      </c>
      <c r="D73" s="2">
        <v>1</v>
      </c>
      <c r="E73" s="2" t="s">
        <v>871</v>
      </c>
      <c r="F73" s="8" t="s">
        <v>872</v>
      </c>
      <c r="G73" s="5" t="s">
        <v>878</v>
      </c>
      <c r="H73" s="10" t="s">
        <v>879</v>
      </c>
      <c r="M73" t="s">
        <v>876</v>
      </c>
    </row>
    <row r="74" spans="1:13" hidden="1">
      <c r="A74">
        <v>73</v>
      </c>
      <c r="B74" t="s">
        <v>69</v>
      </c>
      <c r="C74" s="2">
        <v>4</v>
      </c>
      <c r="D74" s="2">
        <v>1</v>
      </c>
      <c r="E74" s="2" t="s">
        <v>894</v>
      </c>
      <c r="F74" s="8" t="s">
        <v>872</v>
      </c>
      <c r="G74" s="5" t="s">
        <v>889</v>
      </c>
      <c r="H74" s="10" t="s">
        <v>890</v>
      </c>
      <c r="M74" t="s">
        <v>884</v>
      </c>
    </row>
    <row r="75" spans="1:13" hidden="1">
      <c r="A75">
        <v>74</v>
      </c>
      <c r="B75" t="s">
        <v>41</v>
      </c>
      <c r="C75" s="2">
        <v>4</v>
      </c>
      <c r="D75" s="2">
        <v>1</v>
      </c>
      <c r="E75" s="2" t="s">
        <v>910</v>
      </c>
      <c r="F75" s="8" t="s">
        <v>872</v>
      </c>
      <c r="G75" s="5" t="s">
        <v>918</v>
      </c>
      <c r="H75" s="10" t="s">
        <v>919</v>
      </c>
      <c r="M75" t="s">
        <v>915</v>
      </c>
    </row>
    <row r="76" spans="1:13" hidden="1">
      <c r="A76">
        <v>75</v>
      </c>
      <c r="B76" t="s">
        <v>14</v>
      </c>
      <c r="C76" s="2">
        <v>4</v>
      </c>
      <c r="D76" s="2">
        <v>1</v>
      </c>
      <c r="E76" s="2" t="s">
        <v>871</v>
      </c>
      <c r="F76" s="7" t="s">
        <v>880</v>
      </c>
      <c r="G76" s="5" t="s">
        <v>892</v>
      </c>
      <c r="H76" s="10" t="s">
        <v>893</v>
      </c>
      <c r="M76" t="s">
        <v>884</v>
      </c>
    </row>
    <row r="77" spans="1:13">
      <c r="A77">
        <v>76</v>
      </c>
      <c r="B77" t="s">
        <v>215</v>
      </c>
      <c r="C77" s="2">
        <v>3</v>
      </c>
      <c r="D77" s="2">
        <v>1</v>
      </c>
      <c r="E77" s="2" t="s">
        <v>894</v>
      </c>
      <c r="F77" s="8" t="s">
        <v>872</v>
      </c>
      <c r="G77" s="5" t="s">
        <v>898</v>
      </c>
      <c r="H77" s="10" t="s">
        <v>899</v>
      </c>
      <c r="I77" t="s">
        <v>891</v>
      </c>
      <c r="M77" t="s">
        <v>876</v>
      </c>
    </row>
    <row r="78" spans="1:13" hidden="1">
      <c r="A78">
        <v>77</v>
      </c>
      <c r="B78" t="s">
        <v>159</v>
      </c>
      <c r="C78" s="2">
        <v>3</v>
      </c>
      <c r="D78" s="2">
        <v>2</v>
      </c>
      <c r="E78" s="2" t="s">
        <v>871</v>
      </c>
      <c r="F78" s="8" t="s">
        <v>872</v>
      </c>
      <c r="G78" s="5" t="s">
        <v>873</v>
      </c>
      <c r="H78" s="10" t="s">
        <v>874</v>
      </c>
      <c r="I78" t="s">
        <v>891</v>
      </c>
      <c r="M78" t="s">
        <v>876</v>
      </c>
    </row>
    <row r="79" spans="1:13" hidden="1">
      <c r="A79">
        <v>78</v>
      </c>
      <c r="B79" t="s">
        <v>151</v>
      </c>
      <c r="C79" s="2">
        <v>3</v>
      </c>
      <c r="D79" s="2">
        <v>1</v>
      </c>
      <c r="E79" s="2" t="s">
        <v>871</v>
      </c>
      <c r="F79" s="8" t="s">
        <v>872</v>
      </c>
      <c r="G79" s="5" t="s">
        <v>873</v>
      </c>
      <c r="H79" s="10" t="s">
        <v>874</v>
      </c>
      <c r="I79" t="s">
        <v>891</v>
      </c>
      <c r="M79" t="s">
        <v>876</v>
      </c>
    </row>
    <row r="80" spans="1:13" hidden="1">
      <c r="A80">
        <v>79</v>
      </c>
      <c r="B80" t="s">
        <v>133</v>
      </c>
      <c r="C80" s="2">
        <v>3</v>
      </c>
      <c r="D80" s="2">
        <v>2</v>
      </c>
      <c r="E80" s="2" t="s">
        <v>871</v>
      </c>
      <c r="F80" s="7" t="s">
        <v>880</v>
      </c>
      <c r="G80" s="5" t="s">
        <v>878</v>
      </c>
      <c r="H80" s="10" t="s">
        <v>879</v>
      </c>
      <c r="M80" t="s">
        <v>876</v>
      </c>
    </row>
    <row r="81" spans="1:13" hidden="1">
      <c r="A81">
        <v>80</v>
      </c>
      <c r="B81" t="s">
        <v>125</v>
      </c>
      <c r="C81" s="2">
        <v>3</v>
      </c>
      <c r="D81" s="2">
        <v>2</v>
      </c>
      <c r="E81" s="2" t="s">
        <v>871</v>
      </c>
      <c r="F81" s="7" t="s">
        <v>880</v>
      </c>
      <c r="G81" s="5" t="s">
        <v>878</v>
      </c>
      <c r="H81" s="10" t="s">
        <v>879</v>
      </c>
      <c r="I81" t="s">
        <v>897</v>
      </c>
      <c r="M81" t="s">
        <v>876</v>
      </c>
    </row>
    <row r="82" spans="1:13" hidden="1">
      <c r="A82">
        <v>81</v>
      </c>
      <c r="B82" t="s">
        <v>116</v>
      </c>
      <c r="C82" s="2">
        <v>3</v>
      </c>
      <c r="D82" s="2">
        <v>1</v>
      </c>
      <c r="E82" s="2" t="s">
        <v>871</v>
      </c>
      <c r="F82" s="8" t="s">
        <v>872</v>
      </c>
      <c r="G82" s="5" t="s">
        <v>878</v>
      </c>
      <c r="H82" s="10" t="s">
        <v>879</v>
      </c>
      <c r="M82" t="s">
        <v>876</v>
      </c>
    </row>
    <row r="83" spans="1:13" hidden="1">
      <c r="A83">
        <v>82</v>
      </c>
      <c r="B83" t="s">
        <v>90</v>
      </c>
      <c r="C83" s="2">
        <v>3</v>
      </c>
      <c r="D83" s="2">
        <v>1</v>
      </c>
      <c r="E83" s="2" t="s">
        <v>871</v>
      </c>
      <c r="F83" s="8" t="s">
        <v>872</v>
      </c>
      <c r="G83" s="5" t="s">
        <v>873</v>
      </c>
      <c r="H83" s="10" t="s">
        <v>874</v>
      </c>
      <c r="I83" t="s">
        <v>897</v>
      </c>
      <c r="K83" s="5" t="s">
        <v>875</v>
      </c>
      <c r="M83" t="s">
        <v>876</v>
      </c>
    </row>
    <row r="84" spans="1:13" hidden="1">
      <c r="A84">
        <v>83</v>
      </c>
      <c r="B84" t="s">
        <v>85</v>
      </c>
      <c r="C84" s="2">
        <v>3</v>
      </c>
      <c r="D84" s="2">
        <v>1</v>
      </c>
      <c r="E84" s="2" t="s">
        <v>871</v>
      </c>
      <c r="F84" s="8" t="s">
        <v>872</v>
      </c>
      <c r="G84" s="5" t="s">
        <v>873</v>
      </c>
      <c r="H84" s="10" t="s">
        <v>874</v>
      </c>
      <c r="I84" t="s">
        <v>897</v>
      </c>
      <c r="K84" s="5" t="s">
        <v>875</v>
      </c>
      <c r="M84" t="s">
        <v>876</v>
      </c>
    </row>
    <row r="85" spans="1:13" hidden="1">
      <c r="A85">
        <v>84</v>
      </c>
      <c r="B85" t="s">
        <v>72</v>
      </c>
      <c r="C85" s="2">
        <v>3</v>
      </c>
      <c r="D85" s="2">
        <v>1</v>
      </c>
      <c r="E85" s="2" t="s">
        <v>871</v>
      </c>
      <c r="F85" s="8" t="s">
        <v>872</v>
      </c>
      <c r="G85" s="5" t="s">
        <v>920</v>
      </c>
      <c r="H85" s="10" t="s">
        <v>921</v>
      </c>
      <c r="M85" t="s">
        <v>922</v>
      </c>
    </row>
    <row r="86" spans="1:13" hidden="1">
      <c r="A86">
        <v>85</v>
      </c>
      <c r="B86" t="s">
        <v>45</v>
      </c>
      <c r="C86" s="2">
        <v>3</v>
      </c>
      <c r="D86" s="2">
        <v>2</v>
      </c>
      <c r="E86" s="2" t="s">
        <v>905</v>
      </c>
      <c r="F86" s="7" t="s">
        <v>880</v>
      </c>
      <c r="G86" s="5" t="s">
        <v>906</v>
      </c>
      <c r="H86" s="10" t="s">
        <v>907</v>
      </c>
      <c r="I86" t="s">
        <v>891</v>
      </c>
      <c r="M86" t="s">
        <v>884</v>
      </c>
    </row>
    <row r="87" spans="1:13" hidden="1">
      <c r="A87">
        <v>86</v>
      </c>
      <c r="B87" t="s">
        <v>8</v>
      </c>
      <c r="C87" s="2">
        <v>3</v>
      </c>
      <c r="D87" s="2">
        <v>1</v>
      </c>
      <c r="E87" s="2" t="s">
        <v>871</v>
      </c>
      <c r="F87" s="8" t="s">
        <v>872</v>
      </c>
      <c r="G87" s="5" t="s">
        <v>923</v>
      </c>
      <c r="H87" s="10" t="s">
        <v>924</v>
      </c>
      <c r="M87" t="s">
        <v>884</v>
      </c>
    </row>
    <row r="88" spans="1:13">
      <c r="A88">
        <v>87</v>
      </c>
      <c r="B88" t="s">
        <v>224</v>
      </c>
      <c r="C88" s="2">
        <v>2</v>
      </c>
      <c r="D88" s="2">
        <v>1</v>
      </c>
      <c r="E88" s="2" t="s">
        <v>894</v>
      </c>
      <c r="F88" s="8" t="s">
        <v>872</v>
      </c>
      <c r="G88" s="5" t="s">
        <v>898</v>
      </c>
      <c r="H88" s="10" t="s">
        <v>899</v>
      </c>
      <c r="M88" t="s">
        <v>876</v>
      </c>
    </row>
    <row r="89" spans="1:13">
      <c r="A89">
        <v>88</v>
      </c>
      <c r="B89" t="s">
        <v>222</v>
      </c>
      <c r="C89" s="2">
        <v>2</v>
      </c>
      <c r="D89" s="2">
        <v>1</v>
      </c>
      <c r="E89" s="2" t="s">
        <v>894</v>
      </c>
      <c r="F89" s="8" t="s">
        <v>872</v>
      </c>
      <c r="G89" s="5" t="s">
        <v>898</v>
      </c>
      <c r="H89" s="10" t="s">
        <v>899</v>
      </c>
      <c r="I89" t="s">
        <v>897</v>
      </c>
      <c r="M89" t="s">
        <v>876</v>
      </c>
    </row>
    <row r="90" spans="1:13">
      <c r="A90">
        <v>89</v>
      </c>
      <c r="B90" t="s">
        <v>214</v>
      </c>
      <c r="C90" s="2">
        <v>2</v>
      </c>
      <c r="D90" s="2">
        <v>1</v>
      </c>
      <c r="E90" s="2" t="s">
        <v>894</v>
      </c>
      <c r="F90" s="8" t="s">
        <v>872</v>
      </c>
      <c r="G90" s="5" t="s">
        <v>898</v>
      </c>
      <c r="H90" s="10" t="s">
        <v>899</v>
      </c>
      <c r="I90" t="s">
        <v>891</v>
      </c>
      <c r="M90" t="s">
        <v>876</v>
      </c>
    </row>
    <row r="91" spans="1:13">
      <c r="A91">
        <v>90</v>
      </c>
      <c r="B91" t="s">
        <v>210</v>
      </c>
      <c r="C91" s="2">
        <v>2</v>
      </c>
      <c r="D91" s="2">
        <v>1</v>
      </c>
      <c r="E91" s="2" t="s">
        <v>894</v>
      </c>
      <c r="F91" s="7" t="s">
        <v>880</v>
      </c>
      <c r="G91" s="5" t="s">
        <v>895</v>
      </c>
      <c r="H91" s="10" t="s">
        <v>917</v>
      </c>
      <c r="I91" t="s">
        <v>891</v>
      </c>
      <c r="M91" t="s">
        <v>876</v>
      </c>
    </row>
    <row r="92" spans="1:13">
      <c r="A92">
        <v>91</v>
      </c>
      <c r="B92" t="s">
        <v>207</v>
      </c>
      <c r="C92" s="2">
        <v>2</v>
      </c>
      <c r="D92" s="2">
        <v>1</v>
      </c>
      <c r="E92" s="2" t="s">
        <v>894</v>
      </c>
      <c r="F92" s="8" t="s">
        <v>872</v>
      </c>
      <c r="G92" s="5" t="s">
        <v>895</v>
      </c>
      <c r="H92" s="10" t="s">
        <v>925</v>
      </c>
      <c r="M92" t="s">
        <v>876</v>
      </c>
    </row>
    <row r="93" spans="1:13" hidden="1">
      <c r="A93">
        <v>92</v>
      </c>
      <c r="B93" t="s">
        <v>205</v>
      </c>
      <c r="C93" s="2">
        <v>2</v>
      </c>
      <c r="D93" s="2">
        <v>1</v>
      </c>
      <c r="E93" s="2" t="s">
        <v>871</v>
      </c>
      <c r="F93" s="8" t="s">
        <v>872</v>
      </c>
      <c r="G93" s="5" t="s">
        <v>873</v>
      </c>
      <c r="H93" s="10" t="s">
        <v>874</v>
      </c>
      <c r="I93" t="s">
        <v>891</v>
      </c>
      <c r="J93">
        <v>1</v>
      </c>
      <c r="K93" s="5" t="s">
        <v>875</v>
      </c>
      <c r="M93" t="s">
        <v>876</v>
      </c>
    </row>
    <row r="94" spans="1:13" hidden="1">
      <c r="A94">
        <v>93</v>
      </c>
      <c r="B94" t="s">
        <v>204</v>
      </c>
      <c r="C94" s="2">
        <v>2</v>
      </c>
      <c r="D94" s="2">
        <v>1</v>
      </c>
      <c r="E94" s="2" t="s">
        <v>871</v>
      </c>
      <c r="F94" s="8" t="s">
        <v>872</v>
      </c>
      <c r="G94" s="5" t="s">
        <v>873</v>
      </c>
      <c r="H94" s="10" t="s">
        <v>874</v>
      </c>
      <c r="I94" t="s">
        <v>891</v>
      </c>
      <c r="J94">
        <v>1</v>
      </c>
      <c r="K94" s="5" t="s">
        <v>875</v>
      </c>
      <c r="M94" t="s">
        <v>876</v>
      </c>
    </row>
    <row r="95" spans="1:13" hidden="1">
      <c r="A95">
        <v>94</v>
      </c>
      <c r="B95" t="s">
        <v>188</v>
      </c>
      <c r="C95" s="2">
        <v>2</v>
      </c>
      <c r="D95" s="2">
        <v>1</v>
      </c>
      <c r="E95" s="2" t="s">
        <v>916</v>
      </c>
      <c r="F95" s="8" t="s">
        <v>872</v>
      </c>
      <c r="G95" s="5" t="s">
        <v>900</v>
      </c>
      <c r="H95" s="10" t="s">
        <v>901</v>
      </c>
      <c r="M95" t="s">
        <v>876</v>
      </c>
    </row>
    <row r="96" spans="1:13" hidden="1">
      <c r="A96">
        <v>95</v>
      </c>
      <c r="B96" t="s">
        <v>183</v>
      </c>
      <c r="C96" s="2">
        <v>2</v>
      </c>
      <c r="D96" s="2">
        <v>2</v>
      </c>
      <c r="E96" s="2" t="s">
        <v>881</v>
      </c>
      <c r="F96" s="8" t="s">
        <v>872</v>
      </c>
      <c r="G96" s="5" t="s">
        <v>895</v>
      </c>
      <c r="H96" s="10" t="s">
        <v>926</v>
      </c>
      <c r="M96" t="s">
        <v>915</v>
      </c>
    </row>
    <row r="97" spans="1:13" hidden="1">
      <c r="A97">
        <v>96</v>
      </c>
      <c r="B97" t="s">
        <v>175</v>
      </c>
      <c r="C97" s="2">
        <v>2</v>
      </c>
      <c r="D97" s="2">
        <v>1</v>
      </c>
      <c r="E97" s="2" t="s">
        <v>881</v>
      </c>
      <c r="F97" s="8" t="s">
        <v>872</v>
      </c>
      <c r="G97" s="5" t="s">
        <v>882</v>
      </c>
      <c r="H97" s="10" t="s">
        <v>883</v>
      </c>
      <c r="I97" t="s">
        <v>891</v>
      </c>
      <c r="J97">
        <v>5</v>
      </c>
      <c r="M97" t="s">
        <v>884</v>
      </c>
    </row>
    <row r="98" spans="1:13" hidden="1">
      <c r="A98">
        <v>97</v>
      </c>
      <c r="B98" t="s">
        <v>168</v>
      </c>
      <c r="C98" s="2">
        <v>2</v>
      </c>
      <c r="D98" s="2">
        <v>2</v>
      </c>
      <c r="E98" s="2" t="s">
        <v>871</v>
      </c>
      <c r="F98" s="8" t="s">
        <v>872</v>
      </c>
      <c r="G98" s="5" t="s">
        <v>873</v>
      </c>
      <c r="H98" s="10" t="s">
        <v>874</v>
      </c>
      <c r="I98" t="s">
        <v>891</v>
      </c>
      <c r="M98" t="s">
        <v>876</v>
      </c>
    </row>
    <row r="99" spans="1:13" hidden="1">
      <c r="A99">
        <v>98</v>
      </c>
      <c r="B99" t="s">
        <v>155</v>
      </c>
      <c r="C99" s="2">
        <v>2</v>
      </c>
      <c r="D99" s="2">
        <v>1</v>
      </c>
      <c r="E99" s="2" t="s">
        <v>871</v>
      </c>
      <c r="F99" s="8" t="s">
        <v>872</v>
      </c>
      <c r="G99" s="5" t="s">
        <v>878</v>
      </c>
      <c r="H99" s="10" t="s">
        <v>879</v>
      </c>
      <c r="M99" t="s">
        <v>876</v>
      </c>
    </row>
    <row r="100" spans="1:13" hidden="1">
      <c r="A100">
        <v>99</v>
      </c>
      <c r="B100" t="s">
        <v>149</v>
      </c>
      <c r="C100" s="2">
        <v>2</v>
      </c>
      <c r="D100" s="2">
        <v>1</v>
      </c>
      <c r="E100" s="2" t="s">
        <v>871</v>
      </c>
      <c r="F100" s="8" t="s">
        <v>872</v>
      </c>
      <c r="G100" s="5" t="s">
        <v>873</v>
      </c>
      <c r="H100" s="10" t="s">
        <v>874</v>
      </c>
      <c r="I100" t="s">
        <v>891</v>
      </c>
      <c r="J100">
        <v>1</v>
      </c>
      <c r="M100" t="s">
        <v>876</v>
      </c>
    </row>
    <row r="101" spans="1:13" hidden="1">
      <c r="A101">
        <v>100</v>
      </c>
      <c r="B101" t="s">
        <v>132</v>
      </c>
      <c r="C101" s="2">
        <v>2</v>
      </c>
      <c r="D101" s="2">
        <v>1</v>
      </c>
      <c r="E101" s="2" t="s">
        <v>871</v>
      </c>
      <c r="F101" s="7" t="s">
        <v>880</v>
      </c>
      <c r="G101" s="5" t="s">
        <v>878</v>
      </c>
      <c r="H101" s="10" t="s">
        <v>879</v>
      </c>
      <c r="M101" t="s">
        <v>876</v>
      </c>
    </row>
    <row r="102" spans="1:13" hidden="1">
      <c r="A102">
        <v>101</v>
      </c>
      <c r="B102" t="s">
        <v>128</v>
      </c>
      <c r="C102" s="2">
        <v>2</v>
      </c>
      <c r="D102" s="2">
        <v>1</v>
      </c>
      <c r="E102" s="2" t="s">
        <v>871</v>
      </c>
      <c r="F102" s="7" t="s">
        <v>880</v>
      </c>
      <c r="G102" s="5" t="s">
        <v>878</v>
      </c>
      <c r="H102" s="10" t="s">
        <v>879</v>
      </c>
      <c r="M102" t="s">
        <v>876</v>
      </c>
    </row>
    <row r="103" spans="1:13" hidden="1">
      <c r="A103">
        <v>102</v>
      </c>
      <c r="B103" t="s">
        <v>122</v>
      </c>
      <c r="C103" s="2">
        <v>2</v>
      </c>
      <c r="D103" s="2">
        <v>2</v>
      </c>
      <c r="E103" s="2" t="s">
        <v>871</v>
      </c>
      <c r="F103" s="8" t="s">
        <v>872</v>
      </c>
      <c r="G103" s="5" t="s">
        <v>878</v>
      </c>
      <c r="H103" s="10" t="s">
        <v>879</v>
      </c>
      <c r="M103" t="s">
        <v>876</v>
      </c>
    </row>
    <row r="104" spans="1:13" hidden="1">
      <c r="A104">
        <v>103</v>
      </c>
      <c r="B104" t="s">
        <v>120</v>
      </c>
      <c r="C104" s="2">
        <v>2</v>
      </c>
      <c r="D104" s="2">
        <v>1</v>
      </c>
      <c r="E104" s="2" t="s">
        <v>871</v>
      </c>
      <c r="F104" s="8" t="s">
        <v>872</v>
      </c>
      <c r="G104" s="5" t="s">
        <v>878</v>
      </c>
      <c r="H104" s="10" t="s">
        <v>879</v>
      </c>
      <c r="I104" t="s">
        <v>891</v>
      </c>
      <c r="M104" t="s">
        <v>876</v>
      </c>
    </row>
    <row r="105" spans="1:13" hidden="1">
      <c r="A105">
        <v>104</v>
      </c>
      <c r="B105" t="s">
        <v>108</v>
      </c>
      <c r="C105" s="2">
        <v>2</v>
      </c>
      <c r="D105" s="2">
        <v>2</v>
      </c>
      <c r="E105" s="2" t="s">
        <v>871</v>
      </c>
      <c r="F105" s="8" t="s">
        <v>872</v>
      </c>
      <c r="G105" s="5" t="s">
        <v>873</v>
      </c>
      <c r="H105" s="10" t="s">
        <v>874</v>
      </c>
      <c r="I105" t="s">
        <v>877</v>
      </c>
      <c r="M105" t="s">
        <v>876</v>
      </c>
    </row>
    <row r="106" spans="1:13" hidden="1">
      <c r="A106">
        <v>105</v>
      </c>
      <c r="B106" t="s">
        <v>99</v>
      </c>
      <c r="C106" s="2">
        <v>2</v>
      </c>
      <c r="D106" s="2">
        <v>2</v>
      </c>
      <c r="E106" s="2" t="s">
        <v>871</v>
      </c>
      <c r="F106" s="8" t="s">
        <v>872</v>
      </c>
      <c r="G106" s="5" t="s">
        <v>878</v>
      </c>
      <c r="H106" s="10" t="s">
        <v>879</v>
      </c>
      <c r="M106" t="s">
        <v>876</v>
      </c>
    </row>
    <row r="107" spans="1:13" hidden="1">
      <c r="A107">
        <v>106</v>
      </c>
      <c r="B107" t="s">
        <v>89</v>
      </c>
      <c r="C107" s="2">
        <v>2</v>
      </c>
      <c r="D107" s="2">
        <v>1</v>
      </c>
      <c r="E107" s="2" t="s">
        <v>871</v>
      </c>
      <c r="F107" s="8" t="s">
        <v>872</v>
      </c>
      <c r="G107" s="5" t="s">
        <v>873</v>
      </c>
      <c r="H107" s="10" t="s">
        <v>874</v>
      </c>
      <c r="I107" t="s">
        <v>897</v>
      </c>
      <c r="K107" s="5" t="s">
        <v>875</v>
      </c>
      <c r="M107" t="s">
        <v>876</v>
      </c>
    </row>
    <row r="108" spans="1:13" hidden="1">
      <c r="A108">
        <v>107</v>
      </c>
      <c r="B108" t="s">
        <v>87</v>
      </c>
      <c r="C108" s="2">
        <v>2</v>
      </c>
      <c r="D108" s="2">
        <v>1</v>
      </c>
      <c r="E108" s="2" t="s">
        <v>871</v>
      </c>
      <c r="F108" s="8" t="s">
        <v>872</v>
      </c>
      <c r="G108" s="5" t="s">
        <v>873</v>
      </c>
      <c r="H108" s="10" t="s">
        <v>874</v>
      </c>
      <c r="I108" t="s">
        <v>897</v>
      </c>
      <c r="K108" s="5" t="s">
        <v>875</v>
      </c>
      <c r="M108" t="s">
        <v>876</v>
      </c>
    </row>
    <row r="109" spans="1:13" hidden="1">
      <c r="A109">
        <v>108</v>
      </c>
      <c r="B109" t="s">
        <v>84</v>
      </c>
      <c r="C109" s="2">
        <v>2</v>
      </c>
      <c r="D109" s="2">
        <v>1</v>
      </c>
      <c r="E109" s="2" t="s">
        <v>871</v>
      </c>
      <c r="F109" s="8" t="s">
        <v>872</v>
      </c>
      <c r="G109" s="5" t="s">
        <v>873</v>
      </c>
      <c r="H109" s="10" t="s">
        <v>874</v>
      </c>
      <c r="I109" t="s">
        <v>897</v>
      </c>
      <c r="K109" s="5" t="s">
        <v>875</v>
      </c>
      <c r="M109" t="s">
        <v>876</v>
      </c>
    </row>
    <row r="110" spans="1:13" hidden="1">
      <c r="A110">
        <v>109</v>
      </c>
      <c r="B110" t="s">
        <v>77</v>
      </c>
      <c r="C110" s="2">
        <v>2</v>
      </c>
      <c r="D110" s="2">
        <v>1</v>
      </c>
      <c r="E110" s="2" t="s">
        <v>871</v>
      </c>
      <c r="F110" s="7" t="s">
        <v>880</v>
      </c>
      <c r="G110" s="5" t="s">
        <v>878</v>
      </c>
      <c r="H110" s="10" t="s">
        <v>879</v>
      </c>
      <c r="M110" t="s">
        <v>876</v>
      </c>
    </row>
    <row r="111" spans="1:13" hidden="1">
      <c r="A111">
        <v>110</v>
      </c>
      <c r="B111" t="s">
        <v>67</v>
      </c>
      <c r="C111" s="2">
        <v>2</v>
      </c>
      <c r="D111" s="2">
        <v>1</v>
      </c>
      <c r="E111" s="2" t="s">
        <v>871</v>
      </c>
      <c r="F111" s="7" t="s">
        <v>880</v>
      </c>
      <c r="G111" s="5" t="s">
        <v>878</v>
      </c>
      <c r="H111" s="10" t="s">
        <v>879</v>
      </c>
      <c r="M111" t="s">
        <v>876</v>
      </c>
    </row>
    <row r="112" spans="1:13">
      <c r="A112">
        <v>111</v>
      </c>
      <c r="B112" t="s">
        <v>62</v>
      </c>
      <c r="C112" s="2">
        <v>2</v>
      </c>
      <c r="D112" s="2">
        <v>2</v>
      </c>
      <c r="E112" s="2" t="s">
        <v>894</v>
      </c>
      <c r="F112" s="7" t="s">
        <v>880</v>
      </c>
      <c r="G112" s="5" t="s">
        <v>895</v>
      </c>
      <c r="H112" s="10" t="s">
        <v>927</v>
      </c>
      <c r="M112" t="s">
        <v>884</v>
      </c>
    </row>
    <row r="113" spans="1:13" hidden="1">
      <c r="A113">
        <v>112</v>
      </c>
      <c r="B113" t="s">
        <v>26</v>
      </c>
      <c r="C113" s="2">
        <v>2</v>
      </c>
      <c r="D113" s="2">
        <v>1</v>
      </c>
      <c r="E113" s="2" t="s">
        <v>871</v>
      </c>
      <c r="F113" s="8" t="s">
        <v>872</v>
      </c>
      <c r="G113" s="5" t="s">
        <v>892</v>
      </c>
      <c r="H113" s="10" t="s">
        <v>893</v>
      </c>
      <c r="M113" t="s">
        <v>884</v>
      </c>
    </row>
    <row r="114" spans="1:13" hidden="1">
      <c r="A114">
        <v>113</v>
      </c>
      <c r="B114" t="s">
        <v>12</v>
      </c>
      <c r="C114" s="2">
        <v>2</v>
      </c>
      <c r="D114" s="2">
        <v>1</v>
      </c>
      <c r="E114" s="2" t="s">
        <v>871</v>
      </c>
      <c r="F114" s="7" t="s">
        <v>880</v>
      </c>
      <c r="G114" s="5" t="s">
        <v>892</v>
      </c>
      <c r="H114" s="10" t="s">
        <v>893</v>
      </c>
      <c r="M114" t="s">
        <v>884</v>
      </c>
    </row>
    <row r="115" spans="1:13" hidden="1">
      <c r="A115">
        <v>114</v>
      </c>
      <c r="B115" t="s">
        <v>226</v>
      </c>
      <c r="C115" s="2">
        <v>1</v>
      </c>
      <c r="D115" s="2">
        <v>1</v>
      </c>
      <c r="E115" s="2" t="s">
        <v>894</v>
      </c>
      <c r="F115" s="8" t="s">
        <v>872</v>
      </c>
      <c r="G115" s="5" t="s">
        <v>895</v>
      </c>
      <c r="H115" s="10" t="s">
        <v>617</v>
      </c>
      <c r="M115" t="s">
        <v>876</v>
      </c>
    </row>
    <row r="116" spans="1:13">
      <c r="A116">
        <v>115</v>
      </c>
      <c r="B116" t="s">
        <v>223</v>
      </c>
      <c r="C116" s="2">
        <v>1</v>
      </c>
      <c r="D116" s="2">
        <v>1</v>
      </c>
      <c r="E116" s="2" t="s">
        <v>894</v>
      </c>
      <c r="F116" s="8" t="s">
        <v>872</v>
      </c>
      <c r="G116" s="5" t="s">
        <v>898</v>
      </c>
      <c r="H116" s="10" t="s">
        <v>899</v>
      </c>
      <c r="M116" t="s">
        <v>876</v>
      </c>
    </row>
    <row r="117" spans="1:13">
      <c r="A117">
        <v>116</v>
      </c>
      <c r="B117" t="s">
        <v>217</v>
      </c>
      <c r="C117" s="2">
        <v>1</v>
      </c>
      <c r="D117" s="2">
        <v>1</v>
      </c>
      <c r="E117" s="2" t="s">
        <v>894</v>
      </c>
      <c r="F117" s="7" t="s">
        <v>880</v>
      </c>
      <c r="G117" s="5" t="s">
        <v>898</v>
      </c>
      <c r="H117" s="10" t="s">
        <v>899</v>
      </c>
      <c r="M117" t="s">
        <v>876</v>
      </c>
    </row>
    <row r="118" spans="1:13">
      <c r="A118">
        <v>117</v>
      </c>
      <c r="B118" t="s">
        <v>216</v>
      </c>
      <c r="C118" s="2">
        <v>1</v>
      </c>
      <c r="D118" s="2">
        <v>1</v>
      </c>
      <c r="E118" s="2" t="s">
        <v>894</v>
      </c>
      <c r="F118" s="8" t="s">
        <v>872</v>
      </c>
      <c r="G118" s="5" t="s">
        <v>898</v>
      </c>
      <c r="H118" s="10" t="s">
        <v>899</v>
      </c>
      <c r="I118" t="s">
        <v>891</v>
      </c>
      <c r="K118" s="5" t="s">
        <v>875</v>
      </c>
      <c r="M118" t="s">
        <v>876</v>
      </c>
    </row>
    <row r="119" spans="1:13">
      <c r="A119">
        <v>118</v>
      </c>
      <c r="B119" t="s">
        <v>213</v>
      </c>
      <c r="C119" s="2">
        <v>1</v>
      </c>
      <c r="D119" s="2">
        <v>1</v>
      </c>
      <c r="E119" s="2" t="s">
        <v>894</v>
      </c>
      <c r="F119" s="8" t="s">
        <v>872</v>
      </c>
      <c r="G119" s="5" t="s">
        <v>898</v>
      </c>
      <c r="H119" s="10" t="s">
        <v>899</v>
      </c>
      <c r="M119" t="s">
        <v>876</v>
      </c>
    </row>
    <row r="120" spans="1:13">
      <c r="A120">
        <v>119</v>
      </c>
      <c r="B120" t="s">
        <v>212</v>
      </c>
      <c r="C120" s="2">
        <v>1</v>
      </c>
      <c r="D120" s="2">
        <v>1</v>
      </c>
      <c r="E120" s="2" t="s">
        <v>894</v>
      </c>
      <c r="F120" s="8" t="s">
        <v>872</v>
      </c>
      <c r="G120" s="5" t="s">
        <v>898</v>
      </c>
      <c r="H120" s="10" t="s">
        <v>899</v>
      </c>
      <c r="M120" t="s">
        <v>876</v>
      </c>
    </row>
    <row r="121" spans="1:13">
      <c r="A121">
        <v>120</v>
      </c>
      <c r="B121" t="s">
        <v>211</v>
      </c>
      <c r="C121" s="2">
        <v>1</v>
      </c>
      <c r="D121" s="2">
        <v>1</v>
      </c>
      <c r="E121" s="2" t="s">
        <v>894</v>
      </c>
      <c r="F121" s="7" t="s">
        <v>880</v>
      </c>
      <c r="G121" s="5" t="s">
        <v>895</v>
      </c>
      <c r="H121" s="10" t="s">
        <v>917</v>
      </c>
      <c r="I121" t="s">
        <v>891</v>
      </c>
      <c r="M121" t="s">
        <v>876</v>
      </c>
    </row>
    <row r="122" spans="1:13">
      <c r="A122">
        <v>121</v>
      </c>
      <c r="B122" t="s">
        <v>206</v>
      </c>
      <c r="C122" s="2">
        <v>1</v>
      </c>
      <c r="D122" s="2">
        <v>1</v>
      </c>
      <c r="E122" s="2" t="s">
        <v>894</v>
      </c>
      <c r="F122" s="6" t="s">
        <v>902</v>
      </c>
      <c r="G122" s="5" t="s">
        <v>898</v>
      </c>
      <c r="H122" s="10" t="s">
        <v>899</v>
      </c>
      <c r="I122" t="s">
        <v>928</v>
      </c>
      <c r="M122" t="s">
        <v>876</v>
      </c>
    </row>
    <row r="123" spans="1:13" hidden="1">
      <c r="A123">
        <v>122</v>
      </c>
      <c r="B123" t="s">
        <v>201</v>
      </c>
      <c r="C123" s="2">
        <v>1</v>
      </c>
      <c r="D123" s="2">
        <v>1</v>
      </c>
      <c r="E123" s="2" t="s">
        <v>885</v>
      </c>
      <c r="F123" s="8" t="s">
        <v>872</v>
      </c>
      <c r="G123" s="5" t="s">
        <v>886</v>
      </c>
      <c r="H123" s="10" t="s">
        <v>887</v>
      </c>
      <c r="I123" t="s">
        <v>891</v>
      </c>
      <c r="J123">
        <v>8</v>
      </c>
      <c r="K123" s="5" t="s">
        <v>875</v>
      </c>
      <c r="M123" t="s">
        <v>876</v>
      </c>
    </row>
    <row r="124" spans="1:13" hidden="1">
      <c r="A124">
        <v>123</v>
      </c>
      <c r="B124" t="s">
        <v>198</v>
      </c>
      <c r="C124" s="2">
        <v>1</v>
      </c>
      <c r="D124" s="2">
        <v>1</v>
      </c>
      <c r="E124" s="2" t="s">
        <v>885</v>
      </c>
      <c r="F124" s="8" t="s">
        <v>872</v>
      </c>
      <c r="G124" s="5" t="s">
        <v>886</v>
      </c>
      <c r="H124" s="10" t="s">
        <v>887</v>
      </c>
      <c r="I124" t="s">
        <v>891</v>
      </c>
      <c r="J124">
        <v>8</v>
      </c>
      <c r="K124" s="5" t="s">
        <v>875</v>
      </c>
      <c r="M124" t="s">
        <v>876</v>
      </c>
    </row>
    <row r="125" spans="1:13" hidden="1">
      <c r="A125">
        <v>124</v>
      </c>
      <c r="B125" t="s">
        <v>197</v>
      </c>
      <c r="C125" s="2">
        <v>1</v>
      </c>
      <c r="D125" s="2">
        <v>1</v>
      </c>
      <c r="E125" s="2" t="s">
        <v>885</v>
      </c>
      <c r="F125" s="8" t="s">
        <v>872</v>
      </c>
      <c r="G125" s="5" t="s">
        <v>929</v>
      </c>
      <c r="H125" s="10" t="s">
        <v>930</v>
      </c>
      <c r="M125" t="s">
        <v>876</v>
      </c>
    </row>
    <row r="126" spans="1:13" hidden="1">
      <c r="A126">
        <v>125</v>
      </c>
      <c r="B126" t="s">
        <v>193</v>
      </c>
      <c r="C126" s="2">
        <v>1</v>
      </c>
      <c r="D126" s="2">
        <v>1</v>
      </c>
      <c r="E126" s="2" t="s">
        <v>871</v>
      </c>
      <c r="F126" s="8" t="s">
        <v>872</v>
      </c>
      <c r="G126" s="5" t="s">
        <v>931</v>
      </c>
      <c r="H126" s="10" t="s">
        <v>476</v>
      </c>
      <c r="M126" t="s">
        <v>915</v>
      </c>
    </row>
    <row r="127" spans="1:13" hidden="1">
      <c r="A127">
        <v>126</v>
      </c>
      <c r="B127" t="s">
        <v>186</v>
      </c>
      <c r="C127" s="2">
        <v>1</v>
      </c>
      <c r="D127" s="2">
        <v>1</v>
      </c>
      <c r="E127" s="2" t="s">
        <v>881</v>
      </c>
      <c r="F127" s="8" t="s">
        <v>872</v>
      </c>
      <c r="G127" s="5" t="s">
        <v>882</v>
      </c>
      <c r="H127" s="10" t="s">
        <v>883</v>
      </c>
      <c r="I127" t="s">
        <v>891</v>
      </c>
      <c r="J127">
        <v>10</v>
      </c>
      <c r="K127" s="5" t="s">
        <v>875</v>
      </c>
      <c r="L127" s="11" t="s">
        <v>888</v>
      </c>
      <c r="M127" t="s">
        <v>884</v>
      </c>
    </row>
    <row r="128" spans="1:13" hidden="1">
      <c r="A128">
        <v>127</v>
      </c>
      <c r="B128" t="s">
        <v>177</v>
      </c>
      <c r="C128" s="2">
        <v>1</v>
      </c>
      <c r="D128" s="2">
        <v>1</v>
      </c>
      <c r="E128" s="2" t="s">
        <v>881</v>
      </c>
      <c r="F128" s="8" t="s">
        <v>872</v>
      </c>
      <c r="G128" s="5" t="s">
        <v>882</v>
      </c>
      <c r="H128" s="10" t="s">
        <v>883</v>
      </c>
      <c r="I128" t="s">
        <v>891</v>
      </c>
      <c r="J128">
        <v>5</v>
      </c>
      <c r="M128" t="s">
        <v>884</v>
      </c>
    </row>
    <row r="129" spans="1:13" hidden="1">
      <c r="A129">
        <v>128</v>
      </c>
      <c r="B129" t="s">
        <v>170</v>
      </c>
      <c r="C129" s="2">
        <v>1</v>
      </c>
      <c r="D129" s="2">
        <v>1</v>
      </c>
      <c r="E129" s="2" t="s">
        <v>871</v>
      </c>
      <c r="F129" s="8" t="s">
        <v>872</v>
      </c>
      <c r="G129" s="5" t="s">
        <v>878</v>
      </c>
      <c r="H129" s="10" t="s">
        <v>879</v>
      </c>
      <c r="M129" t="s">
        <v>876</v>
      </c>
    </row>
    <row r="130" spans="1:13" hidden="1">
      <c r="A130">
        <v>129</v>
      </c>
      <c r="B130" t="s">
        <v>166</v>
      </c>
      <c r="C130" s="2">
        <v>1</v>
      </c>
      <c r="D130" s="2">
        <v>1</v>
      </c>
      <c r="E130" s="2" t="s">
        <v>871</v>
      </c>
      <c r="F130" s="8" t="s">
        <v>872</v>
      </c>
      <c r="G130" s="5" t="s">
        <v>878</v>
      </c>
      <c r="H130" s="10" t="s">
        <v>879</v>
      </c>
      <c r="M130" t="s">
        <v>876</v>
      </c>
    </row>
    <row r="131" spans="1:13" hidden="1">
      <c r="A131">
        <v>130</v>
      </c>
      <c r="B131" t="s">
        <v>163</v>
      </c>
      <c r="C131" s="2">
        <v>1</v>
      </c>
      <c r="D131" s="2">
        <v>1</v>
      </c>
      <c r="E131" s="2" t="s">
        <v>871</v>
      </c>
      <c r="F131" s="8" t="s">
        <v>872</v>
      </c>
      <c r="G131" s="5" t="s">
        <v>878</v>
      </c>
      <c r="H131" s="10" t="s">
        <v>879</v>
      </c>
      <c r="M131" t="s">
        <v>876</v>
      </c>
    </row>
    <row r="132" spans="1:13" hidden="1">
      <c r="A132">
        <v>131</v>
      </c>
      <c r="B132" t="s">
        <v>162</v>
      </c>
      <c r="C132" s="2">
        <v>1</v>
      </c>
      <c r="D132" s="2">
        <v>1</v>
      </c>
      <c r="E132" s="2" t="s">
        <v>871</v>
      </c>
      <c r="F132" s="8" t="s">
        <v>872</v>
      </c>
      <c r="G132" s="5" t="s">
        <v>923</v>
      </c>
      <c r="H132" s="10" t="s">
        <v>924</v>
      </c>
      <c r="M132" t="s">
        <v>884</v>
      </c>
    </row>
    <row r="133" spans="1:13" hidden="1">
      <c r="A133">
        <v>132</v>
      </c>
      <c r="B133" t="s">
        <v>161</v>
      </c>
      <c r="C133" s="2">
        <v>1</v>
      </c>
      <c r="D133" s="2">
        <v>1</v>
      </c>
      <c r="E133" s="2" t="s">
        <v>871</v>
      </c>
      <c r="F133" s="7" t="s">
        <v>880</v>
      </c>
      <c r="G133" s="5" t="s">
        <v>878</v>
      </c>
      <c r="H133" s="10" t="s">
        <v>879</v>
      </c>
      <c r="M133" t="s">
        <v>876</v>
      </c>
    </row>
    <row r="134" spans="1:13" hidden="1">
      <c r="A134">
        <v>133</v>
      </c>
      <c r="B134" t="s">
        <v>158</v>
      </c>
      <c r="C134" s="2">
        <v>1</v>
      </c>
      <c r="D134" s="2">
        <v>1</v>
      </c>
      <c r="E134" s="2" t="s">
        <v>871</v>
      </c>
      <c r="F134" s="8" t="s">
        <v>872</v>
      </c>
      <c r="G134" s="5" t="s">
        <v>873</v>
      </c>
      <c r="H134" s="10" t="s">
        <v>874</v>
      </c>
      <c r="M134" t="s">
        <v>876</v>
      </c>
    </row>
    <row r="135" spans="1:13" hidden="1">
      <c r="A135">
        <v>134</v>
      </c>
      <c r="B135" t="s">
        <v>154</v>
      </c>
      <c r="C135" s="2">
        <v>1</v>
      </c>
      <c r="D135" s="2">
        <v>1</v>
      </c>
      <c r="E135" s="2" t="s">
        <v>871</v>
      </c>
      <c r="F135" s="8" t="s">
        <v>872</v>
      </c>
      <c r="G135" s="5" t="s">
        <v>873</v>
      </c>
      <c r="H135" s="10" t="s">
        <v>874</v>
      </c>
      <c r="M135" t="s">
        <v>876</v>
      </c>
    </row>
    <row r="136" spans="1:13" hidden="1">
      <c r="A136">
        <v>135</v>
      </c>
      <c r="B136" t="s">
        <v>152</v>
      </c>
      <c r="C136" s="2">
        <v>1</v>
      </c>
      <c r="D136" s="2">
        <v>1</v>
      </c>
      <c r="E136" s="2" t="s">
        <v>871</v>
      </c>
      <c r="F136" s="8" t="s">
        <v>872</v>
      </c>
      <c r="G136" s="5" t="s">
        <v>873</v>
      </c>
      <c r="H136" s="10" t="s">
        <v>874</v>
      </c>
      <c r="M136" t="s">
        <v>876</v>
      </c>
    </row>
    <row r="137" spans="1:13" hidden="1">
      <c r="A137">
        <v>136</v>
      </c>
      <c r="B137" t="s">
        <v>110</v>
      </c>
      <c r="C137" s="2">
        <v>1</v>
      </c>
      <c r="D137" s="2">
        <v>1</v>
      </c>
      <c r="E137" s="2" t="s">
        <v>871</v>
      </c>
      <c r="F137" s="8" t="s">
        <v>872</v>
      </c>
      <c r="G137" s="5" t="s">
        <v>878</v>
      </c>
      <c r="H137" s="10" t="s">
        <v>879</v>
      </c>
      <c r="M137" t="s">
        <v>876</v>
      </c>
    </row>
    <row r="138" spans="1:13" hidden="1">
      <c r="A138">
        <v>137</v>
      </c>
      <c r="B138" t="s">
        <v>91</v>
      </c>
      <c r="C138" s="2">
        <v>1</v>
      </c>
      <c r="D138" s="2">
        <v>1</v>
      </c>
      <c r="E138" s="2" t="s">
        <v>871</v>
      </c>
      <c r="F138" s="8" t="s">
        <v>872</v>
      </c>
      <c r="G138" s="5" t="s">
        <v>873</v>
      </c>
      <c r="H138" s="10" t="s">
        <v>874</v>
      </c>
      <c r="I138" t="s">
        <v>897</v>
      </c>
      <c r="K138" s="5" t="s">
        <v>875</v>
      </c>
      <c r="M138" t="s">
        <v>876</v>
      </c>
    </row>
    <row r="139" spans="1:13" hidden="1">
      <c r="A139">
        <v>138</v>
      </c>
      <c r="B139" t="s">
        <v>88</v>
      </c>
      <c r="C139" s="2">
        <v>1</v>
      </c>
      <c r="D139" s="2">
        <v>1</v>
      </c>
      <c r="E139" s="2" t="s">
        <v>871</v>
      </c>
      <c r="F139" s="8" t="s">
        <v>872</v>
      </c>
      <c r="G139" s="5" t="s">
        <v>873</v>
      </c>
      <c r="H139" s="10" t="s">
        <v>874</v>
      </c>
      <c r="I139" t="s">
        <v>897</v>
      </c>
      <c r="K139" s="5" t="s">
        <v>875</v>
      </c>
      <c r="M139" t="s">
        <v>876</v>
      </c>
    </row>
    <row r="140" spans="1:13" hidden="1">
      <c r="A140">
        <v>139</v>
      </c>
      <c r="B140" t="s">
        <v>86</v>
      </c>
      <c r="C140" s="2">
        <v>1</v>
      </c>
      <c r="D140" s="2">
        <v>1</v>
      </c>
      <c r="E140" s="2" t="s">
        <v>871</v>
      </c>
      <c r="F140" s="8" t="s">
        <v>872</v>
      </c>
      <c r="G140" s="5" t="s">
        <v>873</v>
      </c>
      <c r="H140" s="10" t="s">
        <v>874</v>
      </c>
      <c r="I140" t="s">
        <v>897</v>
      </c>
      <c r="K140" s="5" t="s">
        <v>875</v>
      </c>
      <c r="M140" t="s">
        <v>876</v>
      </c>
    </row>
    <row r="141" spans="1:13">
      <c r="A141">
        <v>140</v>
      </c>
      <c r="B141" t="s">
        <v>81</v>
      </c>
      <c r="C141" s="2">
        <v>1</v>
      </c>
      <c r="D141" s="2">
        <v>1</v>
      </c>
      <c r="E141" s="2" t="s">
        <v>871</v>
      </c>
      <c r="F141" s="8" t="s">
        <v>872</v>
      </c>
      <c r="G141" s="5" t="s">
        <v>898</v>
      </c>
      <c r="H141" s="10" t="s">
        <v>899</v>
      </c>
      <c r="M141" t="s">
        <v>876</v>
      </c>
    </row>
    <row r="142" spans="1:13" hidden="1">
      <c r="A142">
        <v>141</v>
      </c>
      <c r="B142" t="s">
        <v>79</v>
      </c>
      <c r="C142" s="2">
        <v>1</v>
      </c>
      <c r="D142" s="2">
        <v>1</v>
      </c>
      <c r="E142" s="2" t="s">
        <v>871</v>
      </c>
      <c r="F142" s="8" t="s">
        <v>872</v>
      </c>
      <c r="G142" s="5" t="s">
        <v>873</v>
      </c>
      <c r="H142" s="10" t="s">
        <v>874</v>
      </c>
      <c r="M142" t="s">
        <v>876</v>
      </c>
    </row>
    <row r="143" spans="1:13" hidden="1">
      <c r="A143">
        <v>142</v>
      </c>
      <c r="B143" t="s">
        <v>74</v>
      </c>
      <c r="C143" s="2">
        <v>1</v>
      </c>
      <c r="D143" s="2">
        <v>1</v>
      </c>
      <c r="E143" s="2" t="s">
        <v>871</v>
      </c>
      <c r="F143" s="8" t="s">
        <v>872</v>
      </c>
      <c r="G143" s="5" t="s">
        <v>918</v>
      </c>
      <c r="H143" s="10" t="s">
        <v>919</v>
      </c>
      <c r="M143" t="s">
        <v>915</v>
      </c>
    </row>
    <row r="144" spans="1:13" hidden="1">
      <c r="A144">
        <v>143</v>
      </c>
      <c r="B144" t="s">
        <v>70</v>
      </c>
      <c r="C144" s="2">
        <v>1</v>
      </c>
      <c r="D144" s="2">
        <v>1</v>
      </c>
      <c r="E144" s="2" t="s">
        <v>871</v>
      </c>
      <c r="F144" s="7" t="s">
        <v>880</v>
      </c>
      <c r="G144" s="5" t="s">
        <v>918</v>
      </c>
      <c r="H144" s="10" t="s">
        <v>909</v>
      </c>
      <c r="M144" t="s">
        <v>884</v>
      </c>
    </row>
    <row r="145" spans="1:13">
      <c r="A145">
        <v>144</v>
      </c>
      <c r="B145" t="s">
        <v>61</v>
      </c>
      <c r="C145" s="2">
        <v>1</v>
      </c>
      <c r="D145" s="2">
        <v>1</v>
      </c>
      <c r="E145" s="2" t="s">
        <v>894</v>
      </c>
      <c r="F145" s="8" t="s">
        <v>872</v>
      </c>
      <c r="G145" s="5" t="s">
        <v>918</v>
      </c>
      <c r="H145" s="10" t="s">
        <v>899</v>
      </c>
      <c r="I145" t="s">
        <v>891</v>
      </c>
      <c r="K145" s="5" t="s">
        <v>875</v>
      </c>
      <c r="M145" t="s">
        <v>876</v>
      </c>
    </row>
    <row r="146" spans="1:13" hidden="1">
      <c r="A146">
        <v>145</v>
      </c>
      <c r="B146" t="s">
        <v>60</v>
      </c>
      <c r="C146" s="2">
        <v>1</v>
      </c>
      <c r="D146" s="2">
        <v>1</v>
      </c>
      <c r="E146" s="2" t="s">
        <v>916</v>
      </c>
      <c r="F146" s="8" t="s">
        <v>872</v>
      </c>
      <c r="G146" s="5" t="s">
        <v>918</v>
      </c>
      <c r="H146" s="10" t="s">
        <v>874</v>
      </c>
      <c r="M146" t="s">
        <v>876</v>
      </c>
    </row>
    <row r="147" spans="1:13">
      <c r="A147">
        <v>146</v>
      </c>
      <c r="B147" t="s">
        <v>58</v>
      </c>
      <c r="C147" s="2">
        <v>1</v>
      </c>
      <c r="D147" s="2">
        <v>1</v>
      </c>
      <c r="E147" s="2" t="s">
        <v>894</v>
      </c>
      <c r="F147" s="6" t="s">
        <v>902</v>
      </c>
      <c r="G147" s="5" t="s">
        <v>918</v>
      </c>
      <c r="H147" s="10" t="s">
        <v>932</v>
      </c>
      <c r="M147" t="s">
        <v>922</v>
      </c>
    </row>
    <row r="148" spans="1:13">
      <c r="A148">
        <v>147</v>
      </c>
      <c r="B148" t="s">
        <v>56</v>
      </c>
      <c r="C148" s="2">
        <v>1</v>
      </c>
      <c r="D148" s="2">
        <v>1</v>
      </c>
      <c r="E148" s="2" t="s">
        <v>894</v>
      </c>
      <c r="F148" s="8" t="s">
        <v>872</v>
      </c>
      <c r="G148" s="5" t="s">
        <v>918</v>
      </c>
      <c r="H148" s="10" t="s">
        <v>899</v>
      </c>
      <c r="I148" t="s">
        <v>891</v>
      </c>
      <c r="K148" s="5" t="s">
        <v>875</v>
      </c>
      <c r="M148" t="s">
        <v>876</v>
      </c>
    </row>
    <row r="149" spans="1:13" hidden="1">
      <c r="A149">
        <v>148</v>
      </c>
      <c r="B149" t="s">
        <v>52</v>
      </c>
      <c r="C149" s="2">
        <v>1</v>
      </c>
      <c r="D149" s="2">
        <v>1</v>
      </c>
      <c r="E149" s="2" t="s">
        <v>905</v>
      </c>
      <c r="F149" s="8" t="s">
        <v>872</v>
      </c>
      <c r="G149" s="5" t="s">
        <v>918</v>
      </c>
      <c r="H149" s="10" t="s">
        <v>907</v>
      </c>
      <c r="M149" t="s">
        <v>884</v>
      </c>
    </row>
    <row r="150" spans="1:13" hidden="1">
      <c r="A150">
        <v>149</v>
      </c>
      <c r="B150" t="s">
        <v>44</v>
      </c>
      <c r="C150" s="2">
        <v>1</v>
      </c>
      <c r="D150" s="2">
        <v>1</v>
      </c>
      <c r="E150" s="2" t="s">
        <v>905</v>
      </c>
      <c r="F150" s="8" t="s">
        <v>872</v>
      </c>
      <c r="G150" s="5" t="s">
        <v>918</v>
      </c>
      <c r="H150" s="10" t="s">
        <v>907</v>
      </c>
      <c r="M150" t="s">
        <v>884</v>
      </c>
    </row>
    <row r="151" spans="1:13" hidden="1">
      <c r="A151">
        <v>150</v>
      </c>
      <c r="B151" t="s">
        <v>43</v>
      </c>
      <c r="C151" s="2">
        <v>1</v>
      </c>
      <c r="D151" s="2">
        <v>1</v>
      </c>
      <c r="E151" s="2" t="s">
        <v>905</v>
      </c>
      <c r="F151" s="8" t="s">
        <v>872</v>
      </c>
      <c r="G151" s="5" t="s">
        <v>918</v>
      </c>
      <c r="H151" s="10" t="s">
        <v>907</v>
      </c>
      <c r="I151" t="s">
        <v>897</v>
      </c>
      <c r="M151" t="s">
        <v>884</v>
      </c>
    </row>
    <row r="152" spans="1:13" hidden="1">
      <c r="A152">
        <v>151</v>
      </c>
      <c r="B152" t="s">
        <v>40</v>
      </c>
      <c r="C152" s="2">
        <v>1</v>
      </c>
      <c r="D152" s="2">
        <v>1</v>
      </c>
      <c r="E152" s="2" t="s">
        <v>871</v>
      </c>
      <c r="F152" s="8" t="s">
        <v>872</v>
      </c>
      <c r="G152" s="5" t="s">
        <v>918</v>
      </c>
      <c r="H152" s="10" t="s">
        <v>933</v>
      </c>
      <c r="I152" t="s">
        <v>891</v>
      </c>
      <c r="M152" t="s">
        <v>915</v>
      </c>
    </row>
    <row r="153" spans="1:13" hidden="1">
      <c r="A153">
        <v>152</v>
      </c>
      <c r="B153" t="s">
        <v>39</v>
      </c>
      <c r="C153" s="2">
        <v>1</v>
      </c>
      <c r="D153" s="2">
        <v>1</v>
      </c>
      <c r="E153" s="2" t="s">
        <v>871</v>
      </c>
      <c r="F153" s="8" t="s">
        <v>872</v>
      </c>
      <c r="G153" s="5" t="s">
        <v>918</v>
      </c>
      <c r="H153" s="10" t="s">
        <v>934</v>
      </c>
      <c r="I153" t="s">
        <v>891</v>
      </c>
      <c r="M153" t="s">
        <v>915</v>
      </c>
    </row>
    <row r="154" spans="1:13" hidden="1">
      <c r="A154">
        <v>153</v>
      </c>
      <c r="B154" t="s">
        <v>37</v>
      </c>
      <c r="C154" s="2">
        <v>1</v>
      </c>
      <c r="D154" s="2">
        <v>1</v>
      </c>
      <c r="E154" s="2" t="s">
        <v>871</v>
      </c>
      <c r="F154" s="8" t="s">
        <v>872</v>
      </c>
      <c r="G154" s="5" t="s">
        <v>918</v>
      </c>
      <c r="H154" s="10" t="s">
        <v>930</v>
      </c>
      <c r="I154" t="s">
        <v>891</v>
      </c>
      <c r="M154" t="s">
        <v>876</v>
      </c>
    </row>
    <row r="155" spans="1:13" hidden="1">
      <c r="A155">
        <v>154</v>
      </c>
      <c r="B155" t="s">
        <v>35</v>
      </c>
      <c r="C155" s="2">
        <v>1</v>
      </c>
      <c r="D155" s="2">
        <v>1</v>
      </c>
      <c r="E155" s="2" t="s">
        <v>871</v>
      </c>
      <c r="F155" s="8" t="s">
        <v>872</v>
      </c>
      <c r="G155" s="5" t="s">
        <v>918</v>
      </c>
      <c r="H155" s="10" t="s">
        <v>930</v>
      </c>
      <c r="I155" t="s">
        <v>891</v>
      </c>
      <c r="M155" t="s">
        <v>876</v>
      </c>
    </row>
    <row r="156" spans="1:13" hidden="1">
      <c r="A156">
        <v>155</v>
      </c>
      <c r="B156" t="s">
        <v>30</v>
      </c>
      <c r="C156" s="2">
        <v>1</v>
      </c>
      <c r="D156" s="2">
        <v>1</v>
      </c>
      <c r="E156" s="2" t="s">
        <v>910</v>
      </c>
      <c r="F156" s="8" t="s">
        <v>872</v>
      </c>
      <c r="G156" s="5" t="s">
        <v>918</v>
      </c>
      <c r="H156" s="10" t="s">
        <v>919</v>
      </c>
      <c r="M156" t="s">
        <v>915</v>
      </c>
    </row>
    <row r="157" spans="1:13" hidden="1">
      <c r="A157">
        <v>156</v>
      </c>
      <c r="B157" t="s">
        <v>29</v>
      </c>
      <c r="C157" s="2">
        <v>1</v>
      </c>
      <c r="D157" s="2">
        <v>1</v>
      </c>
      <c r="E157" s="2" t="s">
        <v>910</v>
      </c>
      <c r="F157" s="8" t="s">
        <v>872</v>
      </c>
      <c r="G157" s="5" t="s">
        <v>918</v>
      </c>
      <c r="H157" s="10" t="s">
        <v>912</v>
      </c>
      <c r="I157" t="s">
        <v>897</v>
      </c>
      <c r="M157" t="s">
        <v>884</v>
      </c>
    </row>
    <row r="158" spans="1:13" hidden="1">
      <c r="A158">
        <v>157</v>
      </c>
      <c r="B158" t="s">
        <v>28</v>
      </c>
      <c r="C158" s="2">
        <v>1</v>
      </c>
      <c r="D158" s="2">
        <v>1</v>
      </c>
      <c r="E158" s="2" t="s">
        <v>910</v>
      </c>
      <c r="F158" s="8" t="s">
        <v>872</v>
      </c>
      <c r="G158" s="5" t="s">
        <v>918</v>
      </c>
      <c r="H158" s="10" t="s">
        <v>912</v>
      </c>
      <c r="I158" t="s">
        <v>897</v>
      </c>
      <c r="M158" t="s">
        <v>884</v>
      </c>
    </row>
    <row r="159" spans="1:13" hidden="1">
      <c r="C159" s="2">
        <f>SUM(C2:C158)</f>
        <v>1866</v>
      </c>
    </row>
    <row r="161" spans="1:2">
      <c r="A161" s="3" t="s">
        <v>935</v>
      </c>
      <c r="B161" s="3" t="s">
        <v>936</v>
      </c>
    </row>
    <row r="162" spans="1:2">
      <c r="A162" s="2" t="s">
        <v>910</v>
      </c>
      <c r="B162" t="s">
        <v>937</v>
      </c>
    </row>
    <row r="163" spans="1:2">
      <c r="A163" s="2" t="s">
        <v>905</v>
      </c>
      <c r="B163" t="s">
        <v>938</v>
      </c>
    </row>
    <row r="164" spans="1:2">
      <c r="A164" s="2" t="s">
        <v>871</v>
      </c>
      <c r="B164" t="s">
        <v>939</v>
      </c>
    </row>
    <row r="165" spans="1:2">
      <c r="A165" s="2" t="s">
        <v>881</v>
      </c>
      <c r="B165" t="s">
        <v>940</v>
      </c>
    </row>
    <row r="166" spans="1:2">
      <c r="A166" s="2" t="s">
        <v>894</v>
      </c>
      <c r="B166" t="s">
        <v>941</v>
      </c>
    </row>
    <row r="167" spans="1:2">
      <c r="A167" s="2" t="s">
        <v>916</v>
      </c>
      <c r="B167" t="s">
        <v>942</v>
      </c>
    </row>
    <row r="168" spans="1:2">
      <c r="A168" s="2" t="s">
        <v>885</v>
      </c>
      <c r="B168" t="s">
        <v>940</v>
      </c>
    </row>
  </sheetData>
  <autoFilter ref="A1:M159" xr:uid="{F7EECB50-B23A-4451-A9B7-40A78F5C742E}">
    <filterColumn colId="7">
      <filters>
        <filter val="F4201, F4211, F554201T"/>
        <filter val="F4201, F4211, F554201T, F4311, F42121"/>
        <filter val="F4211, F0101, F0116, F4201, F0010"/>
        <filter val="F4211, F03B11, F0006, F0101, F0116"/>
        <filter val="F4211, F4215, F42119"/>
        <filter val="F4211, F4981, F4941, F41002, F4074, F0116, F0101"/>
        <filter val="F4211, F5642B11, F0101, F0116, F4941, F5642B01, F4201, F41002"/>
      </filters>
    </filterColumn>
  </autoFilter>
  <sortState xmlns:xlrd2="http://schemas.microsoft.com/office/spreadsheetml/2017/richdata2" ref="A2:M158">
    <sortCondition ref="A2:A158"/>
  </sortState>
  <phoneticPr fontId="19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8BCB5-A7F2-422E-8A90-715FFA327D65}">
  <dimension ref="A1:B37"/>
  <sheetViews>
    <sheetView workbookViewId="0">
      <selection activeCell="B26" sqref="B26"/>
    </sheetView>
  </sheetViews>
  <sheetFormatPr defaultRowHeight="15"/>
  <cols>
    <col min="1" max="1" width="17.7109375" bestFit="1" customWidth="1"/>
    <col min="2" max="2" width="60.28515625" bestFit="1" customWidth="1"/>
  </cols>
  <sheetData>
    <row r="1" spans="1:2">
      <c r="A1" s="4" t="s">
        <v>943</v>
      </c>
      <c r="B1" s="9" t="s">
        <v>865</v>
      </c>
    </row>
    <row r="2" spans="1:2">
      <c r="A2" s="5" t="s">
        <v>873</v>
      </c>
      <c r="B2" s="10" t="s">
        <v>874</v>
      </c>
    </row>
    <row r="3" spans="1:2">
      <c r="A3" s="5" t="s">
        <v>878</v>
      </c>
      <c r="B3" s="10" t="s">
        <v>879</v>
      </c>
    </row>
    <row r="4" spans="1:2">
      <c r="A4" s="5" t="s">
        <v>882</v>
      </c>
      <c r="B4" s="10" t="s">
        <v>883</v>
      </c>
    </row>
    <row r="5" spans="1:2">
      <c r="A5" s="5" t="s">
        <v>886</v>
      </c>
      <c r="B5" s="10" t="s">
        <v>887</v>
      </c>
    </row>
    <row r="6" spans="1:2">
      <c r="A6" s="5" t="s">
        <v>889</v>
      </c>
      <c r="B6" s="10" t="s">
        <v>890</v>
      </c>
    </row>
    <row r="7" spans="1:2">
      <c r="A7" s="5" t="s">
        <v>892</v>
      </c>
      <c r="B7" s="10" t="s">
        <v>893</v>
      </c>
    </row>
    <row r="8" spans="1:2">
      <c r="A8" s="5" t="s">
        <v>895</v>
      </c>
      <c r="B8" s="10" t="s">
        <v>896</v>
      </c>
    </row>
    <row r="9" spans="1:2">
      <c r="A9" s="5" t="s">
        <v>898</v>
      </c>
      <c r="B9" s="10" t="s">
        <v>899</v>
      </c>
    </row>
    <row r="10" spans="1:2">
      <c r="A10" s="5" t="s">
        <v>900</v>
      </c>
      <c r="B10" s="10" t="s">
        <v>901</v>
      </c>
    </row>
    <row r="11" spans="1:2">
      <c r="A11" s="5" t="s">
        <v>895</v>
      </c>
      <c r="B11" s="10" t="s">
        <v>903</v>
      </c>
    </row>
    <row r="12" spans="1:2">
      <c r="A12" s="5" t="s">
        <v>895</v>
      </c>
      <c r="B12" s="10" t="s">
        <v>904</v>
      </c>
    </row>
    <row r="13" spans="1:2">
      <c r="A13" s="5" t="s">
        <v>906</v>
      </c>
      <c r="B13" s="10" t="s">
        <v>907</v>
      </c>
    </row>
    <row r="14" spans="1:2">
      <c r="A14" s="5" t="s">
        <v>908</v>
      </c>
      <c r="B14" s="10" t="s">
        <v>909</v>
      </c>
    </row>
    <row r="15" spans="1:2">
      <c r="A15" s="5" t="s">
        <v>911</v>
      </c>
      <c r="B15" s="10" t="s">
        <v>912</v>
      </c>
    </row>
    <row r="16" spans="1:2">
      <c r="A16" s="5" t="s">
        <v>895</v>
      </c>
      <c r="B16" s="10" t="s">
        <v>913</v>
      </c>
    </row>
    <row r="17" spans="1:2">
      <c r="A17" s="5" t="s">
        <v>895</v>
      </c>
      <c r="B17" s="10" t="s">
        <v>914</v>
      </c>
    </row>
    <row r="18" spans="1:2">
      <c r="A18" s="5" t="s">
        <v>895</v>
      </c>
      <c r="B18" s="10" t="s">
        <v>653</v>
      </c>
    </row>
    <row r="19" spans="1:2">
      <c r="A19" s="5" t="s">
        <v>895</v>
      </c>
      <c r="B19" s="10" t="s">
        <v>917</v>
      </c>
    </row>
    <row r="20" spans="1:2">
      <c r="A20" s="5" t="s">
        <v>918</v>
      </c>
      <c r="B20" s="10" t="s">
        <v>919</v>
      </c>
    </row>
    <row r="21" spans="1:2">
      <c r="A21" s="5" t="s">
        <v>920</v>
      </c>
      <c r="B21" s="10" t="s">
        <v>921</v>
      </c>
    </row>
    <row r="22" spans="1:2">
      <c r="A22" s="5" t="s">
        <v>923</v>
      </c>
      <c r="B22" s="10" t="s">
        <v>924</v>
      </c>
    </row>
    <row r="23" spans="1:2">
      <c r="A23" s="5" t="s">
        <v>895</v>
      </c>
      <c r="B23" s="10" t="s">
        <v>925</v>
      </c>
    </row>
    <row r="24" spans="1:2">
      <c r="A24" s="5" t="s">
        <v>895</v>
      </c>
      <c r="B24" s="10" t="s">
        <v>926</v>
      </c>
    </row>
    <row r="25" spans="1:2">
      <c r="A25" s="5" t="s">
        <v>895</v>
      </c>
      <c r="B25" s="10" t="s">
        <v>927</v>
      </c>
    </row>
    <row r="26" spans="1:2">
      <c r="A26" s="5" t="s">
        <v>895</v>
      </c>
      <c r="B26" s="10" t="s">
        <v>617</v>
      </c>
    </row>
    <row r="27" spans="1:2">
      <c r="A27" s="5" t="s">
        <v>929</v>
      </c>
      <c r="B27" s="10" t="s">
        <v>930</v>
      </c>
    </row>
    <row r="28" spans="1:2">
      <c r="A28" s="5" t="s">
        <v>931</v>
      </c>
      <c r="B28" s="10" t="s">
        <v>476</v>
      </c>
    </row>
    <row r="29" spans="1:2">
      <c r="A29" s="5" t="s">
        <v>918</v>
      </c>
      <c r="B29" s="10" t="s">
        <v>909</v>
      </c>
    </row>
    <row r="30" spans="1:2">
      <c r="A30" s="5" t="s">
        <v>918</v>
      </c>
      <c r="B30" s="10" t="s">
        <v>899</v>
      </c>
    </row>
    <row r="31" spans="1:2">
      <c r="A31" s="5" t="s">
        <v>918</v>
      </c>
      <c r="B31" s="10" t="s">
        <v>874</v>
      </c>
    </row>
    <row r="32" spans="1:2">
      <c r="A32" s="5" t="s">
        <v>918</v>
      </c>
      <c r="B32" s="10" t="s">
        <v>932</v>
      </c>
    </row>
    <row r="33" spans="1:2">
      <c r="A33" s="5" t="s">
        <v>918</v>
      </c>
      <c r="B33" s="10" t="s">
        <v>907</v>
      </c>
    </row>
    <row r="34" spans="1:2">
      <c r="A34" s="5" t="s">
        <v>918</v>
      </c>
      <c r="B34" s="10" t="s">
        <v>933</v>
      </c>
    </row>
    <row r="35" spans="1:2">
      <c r="A35" s="5" t="s">
        <v>918</v>
      </c>
      <c r="B35" s="10" t="s">
        <v>934</v>
      </c>
    </row>
    <row r="36" spans="1:2">
      <c r="A36" s="5" t="s">
        <v>918</v>
      </c>
      <c r="B36" s="10" t="s">
        <v>930</v>
      </c>
    </row>
    <row r="37" spans="1:2">
      <c r="A37" s="5" t="s">
        <v>918</v>
      </c>
      <c r="B37" s="10" t="s">
        <v>912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4717-91CB-4463-94C6-B9ABBD2B7C31}">
  <sheetPr>
    <tabColor theme="6"/>
  </sheetPr>
  <dimension ref="A1:M63"/>
  <sheetViews>
    <sheetView topLeftCell="A18" workbookViewId="0">
      <selection activeCell="J33" sqref="J33"/>
    </sheetView>
  </sheetViews>
  <sheetFormatPr defaultRowHeight="15"/>
  <cols>
    <col min="1" max="1" width="14.28515625" style="5" customWidth="1"/>
    <col min="2" max="2" width="15.42578125" style="5" customWidth="1"/>
    <col min="3" max="3" width="32.28515625" customWidth="1"/>
    <col min="4" max="4" width="29.85546875" customWidth="1"/>
    <col min="5" max="5" width="17" bestFit="1" customWidth="1"/>
    <col min="6" max="6" width="10.140625" bestFit="1" customWidth="1"/>
    <col min="7" max="7" width="13.85546875" style="5" customWidth="1"/>
    <col min="8" max="8" width="21.140625" bestFit="1" customWidth="1"/>
    <col min="9" max="9" width="11.85546875" bestFit="1" customWidth="1"/>
    <col min="10" max="10" width="27.28515625" customWidth="1"/>
  </cols>
  <sheetData>
    <row r="1" spans="3:8">
      <c r="C1" s="3" t="s">
        <v>859</v>
      </c>
      <c r="D1" s="161" t="s">
        <v>944</v>
      </c>
      <c r="E1" s="3" t="s">
        <v>945</v>
      </c>
      <c r="F1" s="3" t="s">
        <v>946</v>
      </c>
      <c r="G1" s="165"/>
      <c r="H1" s="115"/>
    </row>
    <row r="2" spans="3:8">
      <c r="C2" s="17" t="s">
        <v>947</v>
      </c>
      <c r="D2" s="17">
        <v>5</v>
      </c>
      <c r="E2" s="17"/>
      <c r="F2" s="17">
        <v>4</v>
      </c>
      <c r="G2" s="49"/>
      <c r="H2" s="17"/>
    </row>
    <row r="3" spans="3:8">
      <c r="C3" s="17" t="s">
        <v>948</v>
      </c>
      <c r="D3" s="17">
        <v>6</v>
      </c>
      <c r="E3" s="17"/>
      <c r="F3" s="17">
        <v>1</v>
      </c>
      <c r="G3" s="49"/>
      <c r="H3" s="17"/>
    </row>
    <row r="4" spans="3:8">
      <c r="C4" s="17" t="s">
        <v>949</v>
      </c>
      <c r="D4" s="17">
        <v>100</v>
      </c>
      <c r="E4" s="17">
        <v>6</v>
      </c>
      <c r="F4" s="17">
        <v>6</v>
      </c>
      <c r="G4" s="49"/>
      <c r="H4" s="17"/>
    </row>
    <row r="5" spans="3:8">
      <c r="C5" s="17" t="s">
        <v>950</v>
      </c>
      <c r="D5" s="17">
        <v>13</v>
      </c>
      <c r="E5" s="17"/>
      <c r="F5" s="17">
        <v>7</v>
      </c>
      <c r="G5" s="49"/>
      <c r="H5" s="17"/>
    </row>
    <row r="6" spans="3:8">
      <c r="C6" s="17" t="s">
        <v>951</v>
      </c>
      <c r="D6" s="17">
        <v>24</v>
      </c>
      <c r="E6" s="17">
        <v>18</v>
      </c>
      <c r="F6" s="17"/>
      <c r="G6" s="49"/>
      <c r="H6" s="17"/>
    </row>
    <row r="7" spans="3:8">
      <c r="C7" s="17" t="s">
        <v>952</v>
      </c>
      <c r="D7" s="17">
        <v>3</v>
      </c>
      <c r="E7" s="17"/>
      <c r="F7" s="17"/>
      <c r="G7" s="49"/>
      <c r="H7" s="17"/>
    </row>
    <row r="8" spans="3:8">
      <c r="C8" s="17" t="s">
        <v>953</v>
      </c>
      <c r="D8" s="17">
        <v>6</v>
      </c>
      <c r="E8" s="17">
        <v>15</v>
      </c>
      <c r="F8" s="17">
        <v>2</v>
      </c>
      <c r="G8" s="49"/>
      <c r="H8" s="17"/>
    </row>
    <row r="9" spans="3:8">
      <c r="C9" s="17" t="s">
        <v>954</v>
      </c>
      <c r="D9" s="17"/>
      <c r="E9" s="17">
        <v>95</v>
      </c>
      <c r="F9" s="17">
        <v>9</v>
      </c>
      <c r="G9" s="49"/>
      <c r="H9" s="17"/>
    </row>
    <row r="10" spans="3:8">
      <c r="C10" s="17" t="s">
        <v>955</v>
      </c>
      <c r="D10" s="17"/>
      <c r="E10" s="17">
        <v>3</v>
      </c>
      <c r="F10" s="17"/>
      <c r="G10" s="49"/>
      <c r="H10" s="17"/>
    </row>
    <row r="11" spans="3:8">
      <c r="C11" s="17" t="s">
        <v>956</v>
      </c>
      <c r="D11" s="17"/>
      <c r="E11" s="17">
        <v>3</v>
      </c>
      <c r="F11" s="17"/>
      <c r="G11" s="49"/>
      <c r="H11" s="17"/>
    </row>
    <row r="12" spans="3:8">
      <c r="C12" s="17" t="s">
        <v>957</v>
      </c>
      <c r="D12" s="17"/>
      <c r="E12" s="17">
        <v>1</v>
      </c>
      <c r="F12" s="17"/>
      <c r="G12" s="49"/>
      <c r="H12" s="17"/>
    </row>
    <row r="13" spans="3:8">
      <c r="C13" s="17" t="s">
        <v>958</v>
      </c>
      <c r="D13" s="17"/>
      <c r="E13" s="17">
        <v>6</v>
      </c>
      <c r="F13" s="17"/>
      <c r="G13" s="49"/>
      <c r="H13" s="17"/>
    </row>
    <row r="14" spans="3:8">
      <c r="C14" s="17" t="s">
        <v>959</v>
      </c>
      <c r="D14" s="17"/>
      <c r="E14" s="17"/>
      <c r="F14" s="17">
        <v>5</v>
      </c>
      <c r="G14" s="49"/>
      <c r="H14" s="17"/>
    </row>
    <row r="15" spans="3:8">
      <c r="D15" s="31">
        <f>SUM(D2:D14)</f>
        <v>157</v>
      </c>
      <c r="E15" s="31">
        <f t="shared" ref="E15:F15" si="0">SUM(E2:E14)</f>
        <v>147</v>
      </c>
      <c r="F15" s="31">
        <f t="shared" si="0"/>
        <v>34</v>
      </c>
      <c r="G15" s="151"/>
      <c r="H15" s="2"/>
    </row>
    <row r="18" spans="1:13">
      <c r="A18" s="166" t="s">
        <v>960</v>
      </c>
      <c r="B18" s="166" t="s">
        <v>961</v>
      </c>
      <c r="C18" s="152" t="s">
        <v>862</v>
      </c>
      <c r="D18" s="152" t="s">
        <v>962</v>
      </c>
      <c r="E18" s="152" t="s">
        <v>963</v>
      </c>
      <c r="F18" s="152" t="s">
        <v>964</v>
      </c>
      <c r="G18" s="166" t="s">
        <v>965</v>
      </c>
      <c r="H18" s="152" t="s">
        <v>966</v>
      </c>
      <c r="I18" s="17"/>
      <c r="J18" s="152" t="s">
        <v>967</v>
      </c>
      <c r="K18" s="17"/>
      <c r="L18" s="17"/>
      <c r="M18" s="17"/>
    </row>
    <row r="19" spans="1:13">
      <c r="A19" s="5">
        <v>3</v>
      </c>
      <c r="B19" s="5">
        <v>1</v>
      </c>
      <c r="C19" s="155" t="s">
        <v>910</v>
      </c>
      <c r="D19" s="155" t="s">
        <v>968</v>
      </c>
      <c r="E19" s="155" t="s">
        <v>966</v>
      </c>
      <c r="F19" s="156">
        <v>3</v>
      </c>
      <c r="G19" s="169" t="s">
        <v>875</v>
      </c>
      <c r="H19" s="156">
        <v>3</v>
      </c>
      <c r="I19" s="17"/>
      <c r="J19" s="153" t="s">
        <v>969</v>
      </c>
      <c r="K19" s="154">
        <f>(17/31)</f>
        <v>0.54838709677419351</v>
      </c>
      <c r="L19" s="17"/>
      <c r="M19" s="17"/>
    </row>
    <row r="20" spans="1:13">
      <c r="A20" s="5">
        <v>3</v>
      </c>
      <c r="B20" s="5">
        <v>2</v>
      </c>
      <c r="C20" s="162" t="s">
        <v>910</v>
      </c>
      <c r="D20" s="162" t="s">
        <v>970</v>
      </c>
      <c r="E20" s="155" t="s">
        <v>966</v>
      </c>
      <c r="F20" s="163">
        <v>3</v>
      </c>
      <c r="G20" s="168" t="s">
        <v>875</v>
      </c>
      <c r="H20" s="163">
        <v>3</v>
      </c>
      <c r="I20" s="17"/>
      <c r="J20" s="153" t="s">
        <v>971</v>
      </c>
      <c r="K20" s="154">
        <f>(H50/F50)</f>
        <v>0.7420382165605095</v>
      </c>
      <c r="L20" s="17"/>
      <c r="M20" s="17"/>
    </row>
    <row r="21" spans="1:13">
      <c r="A21" s="5">
        <v>3</v>
      </c>
      <c r="B21" s="5">
        <v>3</v>
      </c>
      <c r="C21" s="162" t="s">
        <v>910</v>
      </c>
      <c r="D21" s="162" t="s">
        <v>972</v>
      </c>
      <c r="E21" s="155" t="s">
        <v>966</v>
      </c>
      <c r="F21" s="163">
        <v>5</v>
      </c>
      <c r="G21" s="168" t="s">
        <v>875</v>
      </c>
      <c r="H21" s="163">
        <v>5</v>
      </c>
      <c r="I21" s="17"/>
      <c r="J21" s="153" t="s">
        <v>973</v>
      </c>
      <c r="K21" s="154">
        <f>(30/30)</f>
        <v>1</v>
      </c>
      <c r="L21" s="17"/>
      <c r="M21" s="17"/>
    </row>
    <row r="22" spans="1:13">
      <c r="A22" s="5">
        <v>3</v>
      </c>
      <c r="B22" s="5">
        <v>4</v>
      </c>
      <c r="C22" s="17" t="s">
        <v>910</v>
      </c>
      <c r="D22" s="17" t="s">
        <v>974</v>
      </c>
      <c r="E22" s="17"/>
      <c r="F22" s="153">
        <v>3</v>
      </c>
      <c r="G22" s="167" t="s">
        <v>875</v>
      </c>
      <c r="H22" s="153"/>
      <c r="I22" s="17"/>
      <c r="J22" s="17"/>
      <c r="K22" s="17"/>
      <c r="L22" s="17"/>
      <c r="M22" s="17"/>
    </row>
    <row r="23" spans="1:13">
      <c r="A23" s="5">
        <v>4</v>
      </c>
      <c r="B23" s="5">
        <v>1</v>
      </c>
      <c r="C23" s="17" t="s">
        <v>905</v>
      </c>
      <c r="D23" s="17" t="s">
        <v>975</v>
      </c>
      <c r="E23" s="17"/>
      <c r="F23" s="153">
        <v>9</v>
      </c>
      <c r="G23" s="167" t="s">
        <v>875</v>
      </c>
      <c r="H23" s="153"/>
      <c r="I23" s="17"/>
      <c r="J23" s="17"/>
      <c r="K23" s="17"/>
      <c r="L23" s="17"/>
      <c r="M23" s="17"/>
    </row>
    <row r="24" spans="1:13">
      <c r="A24" s="5">
        <v>5</v>
      </c>
      <c r="B24" s="5">
        <v>1</v>
      </c>
      <c r="C24" s="155" t="s">
        <v>871</v>
      </c>
      <c r="D24" s="155" t="s">
        <v>976</v>
      </c>
      <c r="E24" s="155" t="s">
        <v>966</v>
      </c>
      <c r="F24" s="156">
        <v>39</v>
      </c>
      <c r="G24" s="169" t="s">
        <v>875</v>
      </c>
      <c r="H24" s="156">
        <v>39</v>
      </c>
      <c r="I24" s="17"/>
      <c r="J24" s="17"/>
      <c r="K24" s="17"/>
      <c r="L24" s="17"/>
      <c r="M24" s="17"/>
    </row>
    <row r="25" spans="1:13">
      <c r="A25" s="5">
        <v>5</v>
      </c>
      <c r="B25" s="5">
        <v>2</v>
      </c>
      <c r="C25" s="17" t="s">
        <v>871</v>
      </c>
      <c r="D25" s="17" t="s">
        <v>977</v>
      </c>
      <c r="E25" s="17"/>
      <c r="F25" s="153">
        <v>27</v>
      </c>
      <c r="G25" s="167" t="s">
        <v>875</v>
      </c>
      <c r="H25" s="153"/>
      <c r="I25" s="17"/>
      <c r="J25" s="17"/>
      <c r="K25" s="17"/>
      <c r="L25" s="17"/>
      <c r="M25" s="17"/>
    </row>
    <row r="26" spans="1:13">
      <c r="A26" s="5">
        <v>5</v>
      </c>
      <c r="B26" s="5">
        <v>3</v>
      </c>
      <c r="C26" s="17" t="s">
        <v>871</v>
      </c>
      <c r="D26" s="17" t="s">
        <v>978</v>
      </c>
      <c r="E26" s="17"/>
      <c r="F26" s="153">
        <v>16</v>
      </c>
      <c r="G26" s="167" t="s">
        <v>875</v>
      </c>
      <c r="H26" s="153"/>
      <c r="I26" s="17"/>
      <c r="J26" s="17"/>
      <c r="K26" s="17"/>
      <c r="L26" s="17"/>
      <c r="M26" s="17"/>
    </row>
    <row r="27" spans="1:13">
      <c r="A27" s="5">
        <v>5</v>
      </c>
      <c r="B27" s="5">
        <v>4</v>
      </c>
      <c r="C27" s="17" t="s">
        <v>871</v>
      </c>
      <c r="D27" s="17" t="s">
        <v>979</v>
      </c>
      <c r="E27" s="17"/>
      <c r="F27" s="153">
        <v>5</v>
      </c>
      <c r="G27" s="167" t="s">
        <v>875</v>
      </c>
      <c r="H27" s="153"/>
      <c r="I27" s="17"/>
      <c r="J27" s="17"/>
      <c r="K27" s="17"/>
      <c r="L27" s="17"/>
      <c r="M27" s="17"/>
    </row>
    <row r="28" spans="1:13">
      <c r="A28" s="5">
        <v>5</v>
      </c>
      <c r="B28" s="5">
        <v>5</v>
      </c>
      <c r="C28" s="17" t="s">
        <v>871</v>
      </c>
      <c r="D28" s="17" t="s">
        <v>980</v>
      </c>
      <c r="E28" s="17"/>
      <c r="F28" s="153">
        <v>1</v>
      </c>
      <c r="G28" s="167" t="s">
        <v>875</v>
      </c>
      <c r="H28" s="153"/>
      <c r="I28" s="17"/>
      <c r="J28" s="17"/>
      <c r="K28" s="17"/>
      <c r="L28" s="17"/>
      <c r="M28" s="17"/>
    </row>
    <row r="29" spans="1:13">
      <c r="A29" s="5">
        <v>5</v>
      </c>
      <c r="B29" s="5">
        <v>6</v>
      </c>
      <c r="C29" s="17" t="s">
        <v>871</v>
      </c>
      <c r="D29" s="17" t="s">
        <v>981</v>
      </c>
      <c r="E29" s="17"/>
      <c r="F29" s="153">
        <v>1</v>
      </c>
      <c r="G29" s="167" t="s">
        <v>875</v>
      </c>
      <c r="H29" s="153"/>
      <c r="I29" s="17"/>
      <c r="J29" s="17"/>
      <c r="K29" s="17"/>
      <c r="L29" s="17"/>
      <c r="M29" s="17"/>
    </row>
    <row r="30" spans="1:13">
      <c r="A30" s="5">
        <v>5</v>
      </c>
      <c r="B30" s="5">
        <v>7</v>
      </c>
      <c r="C30" s="17" t="s">
        <v>871</v>
      </c>
      <c r="D30" s="17" t="s">
        <v>982</v>
      </c>
      <c r="E30" s="17"/>
      <c r="F30" s="153">
        <v>1</v>
      </c>
      <c r="G30" s="167" t="s">
        <v>875</v>
      </c>
      <c r="H30" s="153"/>
      <c r="I30" s="17"/>
      <c r="J30" s="17"/>
      <c r="K30" s="17"/>
      <c r="L30" s="17"/>
      <c r="M30" s="17"/>
    </row>
    <row r="31" spans="1:13">
      <c r="A31" s="5">
        <v>5</v>
      </c>
      <c r="B31" s="5">
        <v>8</v>
      </c>
      <c r="C31" s="17" t="s">
        <v>871</v>
      </c>
      <c r="D31" s="17" t="s">
        <v>983</v>
      </c>
      <c r="E31" s="17"/>
      <c r="F31" s="153">
        <v>4</v>
      </c>
      <c r="G31" s="167" t="s">
        <v>875</v>
      </c>
      <c r="H31" s="153"/>
      <c r="I31" s="17"/>
      <c r="J31" s="17"/>
      <c r="K31" s="17"/>
      <c r="L31" s="17"/>
      <c r="M31" s="17"/>
    </row>
    <row r="32" spans="1:13">
      <c r="A32" s="5">
        <v>1</v>
      </c>
      <c r="B32" s="5">
        <v>1</v>
      </c>
      <c r="C32" s="155" t="s">
        <v>984</v>
      </c>
      <c r="D32" s="155" t="s">
        <v>985</v>
      </c>
      <c r="E32" s="155" t="s">
        <v>966</v>
      </c>
      <c r="F32" s="156">
        <v>4</v>
      </c>
      <c r="G32" s="169" t="s">
        <v>875</v>
      </c>
      <c r="H32" s="156">
        <v>4</v>
      </c>
      <c r="I32" s="17"/>
      <c r="J32" s="17"/>
      <c r="K32" s="17"/>
      <c r="L32" s="17"/>
      <c r="M32" s="17"/>
    </row>
    <row r="33" spans="1:13">
      <c r="A33" s="5">
        <v>1</v>
      </c>
      <c r="B33" s="5">
        <v>2</v>
      </c>
      <c r="C33" s="155" t="s">
        <v>984</v>
      </c>
      <c r="D33" s="155" t="s">
        <v>986</v>
      </c>
      <c r="E33" s="155" t="s">
        <v>966</v>
      </c>
      <c r="F33" s="156">
        <v>121</v>
      </c>
      <c r="G33" s="169" t="s">
        <v>875</v>
      </c>
      <c r="H33" s="156">
        <v>121</v>
      </c>
      <c r="I33" s="17"/>
      <c r="J33" s="17"/>
      <c r="K33" s="17"/>
      <c r="L33" s="17"/>
      <c r="M33" s="17"/>
    </row>
    <row r="34" spans="1:13">
      <c r="A34" s="5">
        <v>1</v>
      </c>
      <c r="B34" s="5">
        <v>3</v>
      </c>
      <c r="C34" s="155" t="s">
        <v>984</v>
      </c>
      <c r="D34" s="155" t="s">
        <v>987</v>
      </c>
      <c r="E34" s="155" t="s">
        <v>966</v>
      </c>
      <c r="F34" s="156">
        <v>4</v>
      </c>
      <c r="G34" s="169" t="s">
        <v>875</v>
      </c>
      <c r="H34" s="156">
        <v>4</v>
      </c>
      <c r="I34" s="17"/>
      <c r="J34" s="17"/>
      <c r="K34" s="17"/>
      <c r="L34" s="17"/>
      <c r="M34" s="17"/>
    </row>
    <row r="35" spans="1:13">
      <c r="A35" s="5">
        <v>1</v>
      </c>
      <c r="B35" s="5">
        <v>4</v>
      </c>
      <c r="C35" s="162" t="s">
        <v>984</v>
      </c>
      <c r="D35" s="162" t="s">
        <v>988</v>
      </c>
      <c r="E35" s="155" t="s">
        <v>966</v>
      </c>
      <c r="F35" s="163">
        <v>1</v>
      </c>
      <c r="G35" s="168" t="s">
        <v>875</v>
      </c>
      <c r="H35" s="163">
        <v>1</v>
      </c>
      <c r="I35" s="17"/>
      <c r="J35" s="17"/>
      <c r="K35" s="17"/>
      <c r="L35" s="17"/>
      <c r="M35" s="17"/>
    </row>
    <row r="36" spans="1:13">
      <c r="A36" s="5">
        <v>1</v>
      </c>
      <c r="B36" s="5">
        <v>5</v>
      </c>
      <c r="C36" s="162" t="s">
        <v>984</v>
      </c>
      <c r="D36" s="162" t="s">
        <v>989</v>
      </c>
      <c r="E36" s="155" t="s">
        <v>966</v>
      </c>
      <c r="F36" s="163">
        <v>1</v>
      </c>
      <c r="G36" s="168" t="s">
        <v>875</v>
      </c>
      <c r="H36" s="163">
        <v>1</v>
      </c>
      <c r="I36" s="17"/>
      <c r="J36" s="17"/>
      <c r="K36" s="17"/>
      <c r="L36" s="17"/>
      <c r="M36" s="17"/>
    </row>
    <row r="37" spans="1:13">
      <c r="A37" s="5">
        <v>1</v>
      </c>
      <c r="B37" s="5">
        <v>6</v>
      </c>
      <c r="C37" s="162" t="s">
        <v>984</v>
      </c>
      <c r="D37" s="162" t="s">
        <v>990</v>
      </c>
      <c r="E37" s="155" t="s">
        <v>966</v>
      </c>
      <c r="F37" s="163">
        <v>4</v>
      </c>
      <c r="G37" s="168" t="s">
        <v>875</v>
      </c>
      <c r="H37" s="163">
        <v>4</v>
      </c>
      <c r="I37" s="17"/>
      <c r="J37" s="17"/>
      <c r="K37" s="17"/>
      <c r="L37" s="17"/>
      <c r="M37" s="17"/>
    </row>
    <row r="38" spans="1:13">
      <c r="A38" s="5">
        <v>1</v>
      </c>
      <c r="B38" s="5">
        <v>7</v>
      </c>
      <c r="C38" s="162" t="s">
        <v>984</v>
      </c>
      <c r="D38" s="162" t="s">
        <v>991</v>
      </c>
      <c r="E38" s="162" t="s">
        <v>966</v>
      </c>
      <c r="F38" s="163">
        <v>2</v>
      </c>
      <c r="G38" s="168" t="s">
        <v>875</v>
      </c>
      <c r="H38" s="163">
        <v>2</v>
      </c>
      <c r="I38" s="17"/>
      <c r="J38" s="17"/>
      <c r="K38" s="17"/>
      <c r="L38" s="17"/>
      <c r="M38" s="17"/>
    </row>
    <row r="39" spans="1:13">
      <c r="A39" s="5">
        <v>1</v>
      </c>
      <c r="B39" s="5">
        <v>8</v>
      </c>
      <c r="C39" s="162" t="s">
        <v>984</v>
      </c>
      <c r="D39" s="162" t="s">
        <v>992</v>
      </c>
      <c r="E39" s="162" t="s">
        <v>966</v>
      </c>
      <c r="F39" s="163">
        <v>1</v>
      </c>
      <c r="G39" s="168" t="s">
        <v>875</v>
      </c>
      <c r="H39" s="163">
        <v>1</v>
      </c>
      <c r="I39" s="17"/>
      <c r="J39" s="17"/>
      <c r="K39" s="17"/>
      <c r="L39" s="17"/>
      <c r="M39" s="17"/>
    </row>
    <row r="40" spans="1:13">
      <c r="A40" s="5">
        <v>1</v>
      </c>
      <c r="B40" s="5">
        <v>9</v>
      </c>
      <c r="C40" s="162" t="s">
        <v>984</v>
      </c>
      <c r="D40" s="162" t="s">
        <v>993</v>
      </c>
      <c r="E40" s="162" t="s">
        <v>966</v>
      </c>
      <c r="F40" s="163">
        <v>1</v>
      </c>
      <c r="G40" s="168" t="s">
        <v>875</v>
      </c>
      <c r="H40" s="163">
        <v>1</v>
      </c>
      <c r="I40" s="17"/>
      <c r="J40" s="17"/>
      <c r="K40" s="17"/>
      <c r="L40" s="17"/>
      <c r="M40" s="17"/>
    </row>
    <row r="41" spans="1:13">
      <c r="A41" s="5">
        <v>2</v>
      </c>
      <c r="B41" s="5">
        <v>1</v>
      </c>
      <c r="C41" s="155" t="s">
        <v>994</v>
      </c>
      <c r="D41" s="155" t="s">
        <v>995</v>
      </c>
      <c r="E41" s="155" t="s">
        <v>966</v>
      </c>
      <c r="F41" s="156">
        <v>22</v>
      </c>
      <c r="G41" s="169" t="s">
        <v>875</v>
      </c>
      <c r="H41" s="156">
        <v>22</v>
      </c>
      <c r="I41" s="17"/>
      <c r="J41" s="17"/>
      <c r="K41" s="17"/>
      <c r="L41" s="17"/>
      <c r="M41" s="17"/>
    </row>
    <row r="42" spans="1:13">
      <c r="A42" s="5">
        <v>2</v>
      </c>
      <c r="B42" s="5">
        <v>2</v>
      </c>
      <c r="C42" s="155" t="s">
        <v>994</v>
      </c>
      <c r="D42" s="155" t="s">
        <v>996</v>
      </c>
      <c r="E42" s="155" t="s">
        <v>966</v>
      </c>
      <c r="F42" s="156">
        <v>11</v>
      </c>
      <c r="G42" s="169" t="s">
        <v>875</v>
      </c>
      <c r="H42" s="156">
        <v>11</v>
      </c>
      <c r="I42" s="17"/>
      <c r="J42" s="17"/>
      <c r="K42" s="17"/>
      <c r="L42" s="17"/>
      <c r="M42" s="17"/>
    </row>
    <row r="43" spans="1:13">
      <c r="A43" s="5">
        <v>2</v>
      </c>
      <c r="B43" s="5">
        <v>3</v>
      </c>
      <c r="C43" s="155" t="s">
        <v>994</v>
      </c>
      <c r="D43" s="155" t="s">
        <v>997</v>
      </c>
      <c r="E43" s="155" t="s">
        <v>966</v>
      </c>
      <c r="F43" s="156">
        <v>4</v>
      </c>
      <c r="G43" s="169" t="s">
        <v>875</v>
      </c>
      <c r="H43" s="156">
        <v>4</v>
      </c>
      <c r="I43" s="17"/>
      <c r="J43" s="17"/>
      <c r="K43" s="17"/>
      <c r="L43" s="17"/>
      <c r="M43" s="17"/>
    </row>
    <row r="44" spans="1:13">
      <c r="A44" s="5">
        <v>2</v>
      </c>
      <c r="B44" s="5">
        <v>4</v>
      </c>
      <c r="C44" s="17" t="s">
        <v>994</v>
      </c>
      <c r="D44" s="17" t="s">
        <v>998</v>
      </c>
      <c r="E44" s="17"/>
      <c r="F44" s="153">
        <v>1</v>
      </c>
      <c r="G44" s="167" t="s">
        <v>875</v>
      </c>
      <c r="H44" s="153"/>
      <c r="I44" s="17"/>
      <c r="J44" s="17"/>
      <c r="K44" s="17"/>
      <c r="L44" s="17"/>
      <c r="M44" s="17"/>
    </row>
    <row r="45" spans="1:13">
      <c r="A45" s="5">
        <v>2</v>
      </c>
      <c r="B45" s="5">
        <v>5</v>
      </c>
      <c r="C45" s="17" t="s">
        <v>994</v>
      </c>
      <c r="D45" s="17" t="s">
        <v>999</v>
      </c>
      <c r="E45" s="17"/>
      <c r="F45" s="153">
        <v>5</v>
      </c>
      <c r="G45" s="167" t="s">
        <v>875</v>
      </c>
      <c r="H45" s="153"/>
      <c r="I45" s="17"/>
      <c r="J45" s="17"/>
      <c r="K45" s="17"/>
      <c r="L45" s="17"/>
      <c r="M45" s="17"/>
    </row>
    <row r="46" spans="1:13">
      <c r="A46" s="5">
        <v>2</v>
      </c>
      <c r="B46" s="5">
        <v>6</v>
      </c>
      <c r="C46" s="155" t="s">
        <v>994</v>
      </c>
      <c r="D46" s="155" t="s">
        <v>1000</v>
      </c>
      <c r="E46" s="155" t="s">
        <v>966</v>
      </c>
      <c r="F46" s="156">
        <v>7</v>
      </c>
      <c r="G46" s="169" t="s">
        <v>875</v>
      </c>
      <c r="H46" s="156">
        <v>7</v>
      </c>
      <c r="I46" s="17"/>
      <c r="J46" s="17"/>
      <c r="K46" s="17"/>
      <c r="L46" s="17"/>
      <c r="M46" s="17"/>
    </row>
    <row r="47" spans="1:13">
      <c r="A47" s="5">
        <v>2</v>
      </c>
      <c r="B47" s="5">
        <v>7</v>
      </c>
      <c r="C47" s="17" t="s">
        <v>994</v>
      </c>
      <c r="D47" s="17" t="s">
        <v>1001</v>
      </c>
      <c r="E47" s="17"/>
      <c r="F47" s="153">
        <v>1</v>
      </c>
      <c r="G47" s="167" t="s">
        <v>875</v>
      </c>
      <c r="H47" s="153"/>
      <c r="I47" s="17"/>
      <c r="J47" s="17"/>
      <c r="K47" s="17"/>
      <c r="L47" s="17"/>
      <c r="M47" s="17"/>
    </row>
    <row r="48" spans="1:13">
      <c r="A48" s="5">
        <v>2</v>
      </c>
      <c r="B48" s="5">
        <v>8</v>
      </c>
      <c r="C48" s="17" t="s">
        <v>994</v>
      </c>
      <c r="D48" s="17" t="s">
        <v>1002</v>
      </c>
      <c r="E48" s="17"/>
      <c r="F48" s="153">
        <v>1</v>
      </c>
      <c r="G48" s="167" t="s">
        <v>875</v>
      </c>
      <c r="H48" s="153"/>
      <c r="I48" s="17"/>
      <c r="J48" s="17"/>
      <c r="K48" s="17"/>
      <c r="L48" s="17"/>
      <c r="M48" s="17"/>
    </row>
    <row r="49" spans="1:13">
      <c r="A49" s="5">
        <v>2</v>
      </c>
      <c r="B49" s="5">
        <v>9</v>
      </c>
      <c r="C49" s="17" t="s">
        <v>994</v>
      </c>
      <c r="D49" s="17" t="s">
        <v>1003</v>
      </c>
      <c r="E49" s="17"/>
      <c r="F49" s="153">
        <v>6</v>
      </c>
      <c r="G49" s="167" t="s">
        <v>875</v>
      </c>
      <c r="H49" s="153"/>
      <c r="I49" s="17"/>
      <c r="J49" s="17"/>
      <c r="K49" s="17"/>
      <c r="L49" s="17"/>
      <c r="M49" s="17"/>
    </row>
    <row r="50" spans="1:13">
      <c r="C50" s="157" t="s">
        <v>1004</v>
      </c>
      <c r="D50" s="157" t="s">
        <v>1004</v>
      </c>
      <c r="E50" s="157" t="s">
        <v>1004</v>
      </c>
      <c r="F50" s="158">
        <f>SUM(F19:F49)</f>
        <v>314</v>
      </c>
      <c r="G50" s="170"/>
      <c r="H50" s="158">
        <f>SUM(H19:H49)</f>
        <v>233</v>
      </c>
      <c r="I50" s="17"/>
      <c r="J50" s="17"/>
      <c r="K50" s="17"/>
      <c r="L50" s="17"/>
      <c r="M50" s="17"/>
    </row>
    <row r="51" spans="1:13">
      <c r="C51" s="17"/>
      <c r="D51" s="17"/>
      <c r="E51" s="17"/>
      <c r="F51" s="153"/>
      <c r="G51" s="167"/>
      <c r="H51" s="153"/>
      <c r="I51" s="17"/>
      <c r="J51" s="17"/>
      <c r="K51" s="17"/>
      <c r="L51" s="17"/>
      <c r="M51" s="17"/>
    </row>
    <row r="52" spans="1:13">
      <c r="C52" s="17"/>
      <c r="D52" s="17"/>
      <c r="E52" s="17"/>
      <c r="F52" s="153"/>
      <c r="G52" s="167"/>
      <c r="H52" s="153"/>
      <c r="I52" s="17"/>
      <c r="J52" s="17"/>
      <c r="K52" s="17"/>
      <c r="L52" s="17"/>
      <c r="M52" s="17"/>
    </row>
    <row r="53" spans="1:13">
      <c r="C53" s="159" t="s">
        <v>1005</v>
      </c>
      <c r="D53" s="160" t="s">
        <v>1006</v>
      </c>
      <c r="E53" s="17"/>
      <c r="F53" s="17"/>
      <c r="G53" s="49"/>
      <c r="H53" s="153"/>
      <c r="I53" s="17"/>
      <c r="J53" s="17"/>
      <c r="K53" s="17"/>
      <c r="L53" s="17"/>
      <c r="M53" s="17"/>
    </row>
    <row r="54" spans="1:13">
      <c r="C54" s="17" t="s">
        <v>984</v>
      </c>
      <c r="D54" s="17" t="s">
        <v>1007</v>
      </c>
      <c r="E54" s="17"/>
      <c r="F54" s="153"/>
      <c r="G54" s="167"/>
      <c r="H54" s="153"/>
      <c r="I54" s="17"/>
      <c r="J54" s="17"/>
      <c r="K54" s="17"/>
      <c r="L54" s="17"/>
      <c r="M54" s="17"/>
    </row>
    <row r="55" spans="1:13">
      <c r="C55" s="17" t="s">
        <v>1008</v>
      </c>
      <c r="D55" s="17" t="s">
        <v>1009</v>
      </c>
      <c r="E55" s="17"/>
      <c r="F55" s="153"/>
      <c r="G55" s="167"/>
      <c r="H55" s="153"/>
      <c r="I55" s="17"/>
      <c r="J55" s="17"/>
      <c r="K55" s="17"/>
      <c r="L55" s="17"/>
      <c r="M55" s="17"/>
    </row>
    <row r="56" spans="1:13" ht="33" customHeight="1">
      <c r="C56" s="17" t="s">
        <v>871</v>
      </c>
      <c r="D56" s="164" t="s">
        <v>1010</v>
      </c>
      <c r="E56" s="17"/>
      <c r="F56" s="153"/>
      <c r="G56" s="167"/>
      <c r="H56" s="153"/>
      <c r="I56" s="17"/>
      <c r="J56" s="17"/>
      <c r="K56" s="17"/>
      <c r="L56" s="17"/>
      <c r="M56" s="17"/>
    </row>
    <row r="57" spans="1:13">
      <c r="C57" s="17" t="s">
        <v>1011</v>
      </c>
      <c r="D57" s="17" t="s">
        <v>1012</v>
      </c>
      <c r="E57" s="17"/>
      <c r="F57" s="153"/>
      <c r="G57" s="167"/>
      <c r="H57" s="153"/>
      <c r="I57" s="17"/>
      <c r="J57" s="17"/>
      <c r="K57" s="17"/>
      <c r="L57" s="17"/>
      <c r="M57" s="17"/>
    </row>
    <row r="58" spans="1:13">
      <c r="C58" s="17" t="s">
        <v>994</v>
      </c>
      <c r="D58" s="17" t="s">
        <v>940</v>
      </c>
      <c r="E58" s="17"/>
      <c r="F58" s="153"/>
      <c r="G58" s="167"/>
      <c r="H58" s="153"/>
      <c r="I58" s="17"/>
      <c r="J58" s="17"/>
      <c r="K58" s="17"/>
      <c r="L58" s="17"/>
      <c r="M58" s="17"/>
    </row>
    <row r="59" spans="1:13">
      <c r="C59" s="17" t="s">
        <v>1013</v>
      </c>
      <c r="D59" s="17" t="s">
        <v>1014</v>
      </c>
      <c r="E59" s="17"/>
      <c r="F59" s="153"/>
      <c r="G59" s="167"/>
      <c r="H59" s="153"/>
      <c r="I59" s="17"/>
      <c r="J59" s="17"/>
      <c r="K59" s="17"/>
      <c r="L59" s="17"/>
      <c r="M59" s="17"/>
    </row>
    <row r="60" spans="1:13">
      <c r="C60" s="17" t="s">
        <v>1015</v>
      </c>
      <c r="D60" s="17" t="s">
        <v>1016</v>
      </c>
      <c r="E60" s="17"/>
      <c r="F60" s="153"/>
      <c r="G60" s="167"/>
      <c r="H60" s="153"/>
      <c r="I60" s="17"/>
      <c r="J60" s="17"/>
      <c r="K60" s="17"/>
      <c r="L60" s="17"/>
      <c r="M60" s="17"/>
    </row>
    <row r="61" spans="1:13">
      <c r="C61" s="17" t="s">
        <v>1017</v>
      </c>
      <c r="D61" s="17" t="s">
        <v>1018</v>
      </c>
      <c r="E61" s="17"/>
      <c r="F61" s="153"/>
      <c r="G61" s="167"/>
      <c r="H61" s="153"/>
      <c r="I61" s="17"/>
      <c r="J61" s="17"/>
      <c r="K61" s="17"/>
      <c r="L61" s="17"/>
      <c r="M61" s="17"/>
    </row>
    <row r="62" spans="1:13">
      <c r="C62" s="17" t="s">
        <v>910</v>
      </c>
      <c r="D62" s="17" t="s">
        <v>937</v>
      </c>
      <c r="E62" s="17"/>
      <c r="F62" s="153"/>
      <c r="G62" s="167"/>
      <c r="H62" s="153"/>
      <c r="I62" s="17"/>
      <c r="J62" s="17"/>
      <c r="K62" s="17"/>
      <c r="L62" s="17"/>
      <c r="M62" s="17"/>
    </row>
    <row r="63" spans="1:13">
      <c r="C63" s="17" t="s">
        <v>905</v>
      </c>
      <c r="D63" s="17" t="s">
        <v>938</v>
      </c>
      <c r="E63" s="17"/>
      <c r="F63" s="153"/>
      <c r="G63" s="167"/>
      <c r="H63" s="153"/>
      <c r="I63" s="17"/>
      <c r="J63" s="17"/>
      <c r="K63" s="17"/>
      <c r="L63" s="17"/>
      <c r="M63" s="17"/>
    </row>
  </sheetData>
  <sortState xmlns:xlrd2="http://schemas.microsoft.com/office/spreadsheetml/2017/richdata2" ref="A19:H49">
    <sortCondition ref="C19:C49"/>
    <sortCondition ref="B19:B4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65E78-C32E-4A53-B10B-E24CAE6AF8B8}">
  <sheetPr>
    <tabColor theme="6"/>
  </sheetPr>
  <dimension ref="A1:J159"/>
  <sheetViews>
    <sheetView workbookViewId="0">
      <pane ySplit="1" topLeftCell="A2" activePane="bottomLeft" state="frozen"/>
      <selection pane="bottomLeft" activeCell="D20" sqref="D20"/>
    </sheetView>
  </sheetViews>
  <sheetFormatPr defaultRowHeight="15"/>
  <cols>
    <col min="1" max="1" width="79.140625" bestFit="1" customWidth="1"/>
    <col min="2" max="2" width="7.7109375" bestFit="1" customWidth="1"/>
    <col min="3" max="3" width="71.42578125" bestFit="1" customWidth="1"/>
    <col min="4" max="4" width="113.7109375" bestFit="1" customWidth="1"/>
    <col min="5" max="5" width="10.85546875" bestFit="1" customWidth="1"/>
    <col min="6" max="6" width="13.7109375" bestFit="1" customWidth="1"/>
    <col min="7" max="7" width="14" style="10" bestFit="1" customWidth="1"/>
    <col min="8" max="8" width="44.140625" style="10" bestFit="1" customWidth="1"/>
    <col min="9" max="9" width="17.85546875" bestFit="1" customWidth="1"/>
    <col min="10" max="10" width="18.28515625" bestFit="1" customWidth="1"/>
  </cols>
  <sheetData>
    <row r="1" spans="1:10">
      <c r="A1" s="3" t="s">
        <v>1019</v>
      </c>
      <c r="B1" s="3" t="s">
        <v>858</v>
      </c>
      <c r="C1" s="3" t="s">
        <v>1020</v>
      </c>
      <c r="D1" s="3" t="s">
        <v>1021</v>
      </c>
      <c r="E1" s="3" t="s">
        <v>862</v>
      </c>
      <c r="F1" s="3" t="s">
        <v>863</v>
      </c>
      <c r="G1" s="9" t="s">
        <v>864</v>
      </c>
      <c r="H1" s="9" t="s">
        <v>865</v>
      </c>
      <c r="I1" s="9" t="s">
        <v>869</v>
      </c>
      <c r="J1" s="9" t="s">
        <v>870</v>
      </c>
    </row>
    <row r="2" spans="1:10">
      <c r="A2" t="s">
        <v>1022</v>
      </c>
      <c r="B2">
        <v>1</v>
      </c>
      <c r="C2" t="s">
        <v>1023</v>
      </c>
      <c r="D2" t="s">
        <v>1024</v>
      </c>
      <c r="E2" t="s">
        <v>1025</v>
      </c>
      <c r="F2" s="7" t="s">
        <v>880</v>
      </c>
      <c r="G2" s="10" t="s">
        <v>898</v>
      </c>
      <c r="H2" s="10" t="s">
        <v>899</v>
      </c>
      <c r="J2" t="s">
        <v>876</v>
      </c>
    </row>
    <row r="3" spans="1:10">
      <c r="A3" t="s">
        <v>1026</v>
      </c>
      <c r="B3">
        <v>2</v>
      </c>
      <c r="C3" t="s">
        <v>1026</v>
      </c>
      <c r="D3" t="s">
        <v>1027</v>
      </c>
      <c r="E3" t="s">
        <v>1025</v>
      </c>
      <c r="F3" s="7" t="s">
        <v>880</v>
      </c>
      <c r="G3" s="10" t="s">
        <v>895</v>
      </c>
      <c r="H3" s="10" t="s">
        <v>1028</v>
      </c>
      <c r="J3" t="s">
        <v>876</v>
      </c>
    </row>
    <row r="4" spans="1:10">
      <c r="A4" t="s">
        <v>1029</v>
      </c>
      <c r="B4">
        <v>3</v>
      </c>
      <c r="C4" t="s">
        <v>1030</v>
      </c>
      <c r="D4" t="s">
        <v>1024</v>
      </c>
      <c r="E4" t="s">
        <v>1025</v>
      </c>
      <c r="F4" s="8" t="s">
        <v>872</v>
      </c>
      <c r="G4" s="10" t="s">
        <v>889</v>
      </c>
      <c r="H4" s="10" t="s">
        <v>890</v>
      </c>
      <c r="J4" t="s">
        <v>884</v>
      </c>
    </row>
    <row r="5" spans="1:10">
      <c r="A5" t="s">
        <v>1031</v>
      </c>
      <c r="B5">
        <v>4</v>
      </c>
      <c r="C5" t="s">
        <v>1032</v>
      </c>
      <c r="D5" t="s">
        <v>1024</v>
      </c>
      <c r="E5" t="s">
        <v>1025</v>
      </c>
      <c r="F5" s="8" t="s">
        <v>872</v>
      </c>
      <c r="G5" s="10" t="s">
        <v>898</v>
      </c>
      <c r="H5" s="10" t="s">
        <v>899</v>
      </c>
      <c r="J5" t="s">
        <v>876</v>
      </c>
    </row>
    <row r="6" spans="1:10">
      <c r="A6" t="s">
        <v>1033</v>
      </c>
      <c r="B6">
        <v>5</v>
      </c>
      <c r="C6" t="s">
        <v>1033</v>
      </c>
      <c r="D6" t="s">
        <v>1024</v>
      </c>
      <c r="E6" t="s">
        <v>1025</v>
      </c>
      <c r="F6" s="8" t="s">
        <v>872</v>
      </c>
      <c r="G6" s="10" t="s">
        <v>898</v>
      </c>
      <c r="H6" s="10" t="s">
        <v>899</v>
      </c>
      <c r="J6" t="s">
        <v>876</v>
      </c>
    </row>
    <row r="7" spans="1:10">
      <c r="A7" t="s">
        <v>1034</v>
      </c>
      <c r="B7">
        <v>6</v>
      </c>
      <c r="C7" t="s">
        <v>1035</v>
      </c>
      <c r="D7" t="s">
        <v>1024</v>
      </c>
      <c r="E7" t="s">
        <v>1025</v>
      </c>
      <c r="F7" s="8" t="s">
        <v>872</v>
      </c>
      <c r="G7" s="10" t="s">
        <v>898</v>
      </c>
      <c r="H7" s="10" t="s">
        <v>899</v>
      </c>
      <c r="J7" t="s">
        <v>876</v>
      </c>
    </row>
    <row r="8" spans="1:10">
      <c r="A8" t="s">
        <v>1036</v>
      </c>
      <c r="B8">
        <v>7</v>
      </c>
      <c r="C8" t="s">
        <v>1035</v>
      </c>
      <c r="D8" t="s">
        <v>1024</v>
      </c>
      <c r="E8" t="s">
        <v>1025</v>
      </c>
      <c r="F8" s="8" t="s">
        <v>872</v>
      </c>
      <c r="G8" s="10" t="s">
        <v>898</v>
      </c>
      <c r="H8" s="10" t="s">
        <v>899</v>
      </c>
      <c r="J8" t="s">
        <v>876</v>
      </c>
    </row>
    <row r="9" spans="1:10">
      <c r="A9" t="s">
        <v>1037</v>
      </c>
      <c r="B9">
        <v>8</v>
      </c>
      <c r="C9" t="s">
        <v>1037</v>
      </c>
      <c r="D9" t="s">
        <v>1024</v>
      </c>
      <c r="E9" t="s">
        <v>1025</v>
      </c>
      <c r="F9" s="8" t="s">
        <v>872</v>
      </c>
      <c r="G9" s="10" t="s">
        <v>898</v>
      </c>
      <c r="H9" s="10" t="s">
        <v>899</v>
      </c>
      <c r="J9" t="s">
        <v>876</v>
      </c>
    </row>
    <row r="10" spans="1:10">
      <c r="A10" t="s">
        <v>1038</v>
      </c>
      <c r="B10">
        <v>9</v>
      </c>
      <c r="C10" t="s">
        <v>1039</v>
      </c>
      <c r="D10" t="s">
        <v>1024</v>
      </c>
      <c r="E10" t="s">
        <v>1025</v>
      </c>
      <c r="F10" s="8" t="s">
        <v>872</v>
      </c>
      <c r="G10" s="10" t="s">
        <v>898</v>
      </c>
      <c r="H10" s="10" t="s">
        <v>899</v>
      </c>
      <c r="J10" t="s">
        <v>876</v>
      </c>
    </row>
    <row r="11" spans="1:10">
      <c r="A11" t="s">
        <v>1040</v>
      </c>
      <c r="B11">
        <v>10</v>
      </c>
      <c r="C11" t="s">
        <v>1040</v>
      </c>
      <c r="D11" t="s">
        <v>1024</v>
      </c>
      <c r="E11" t="s">
        <v>1025</v>
      </c>
      <c r="F11" s="7" t="s">
        <v>880</v>
      </c>
      <c r="G11" s="10" t="s">
        <v>898</v>
      </c>
      <c r="H11" s="10" t="s">
        <v>899</v>
      </c>
      <c r="J11" t="s">
        <v>876</v>
      </c>
    </row>
    <row r="12" spans="1:10">
      <c r="A12" t="s">
        <v>1041</v>
      </c>
      <c r="B12">
        <v>11</v>
      </c>
      <c r="C12" t="s">
        <v>1041</v>
      </c>
      <c r="D12" t="s">
        <v>1024</v>
      </c>
      <c r="E12" t="s">
        <v>1025</v>
      </c>
      <c r="F12" s="8" t="s">
        <v>872</v>
      </c>
      <c r="G12" s="10" t="s">
        <v>898</v>
      </c>
      <c r="H12" s="10" t="s">
        <v>899</v>
      </c>
      <c r="J12" t="s">
        <v>876</v>
      </c>
    </row>
    <row r="13" spans="1:10">
      <c r="A13" t="s">
        <v>1042</v>
      </c>
      <c r="B13">
        <v>12</v>
      </c>
      <c r="C13" t="s">
        <v>1043</v>
      </c>
      <c r="D13" t="s">
        <v>1024</v>
      </c>
      <c r="E13" t="s">
        <v>1025</v>
      </c>
      <c r="F13" s="8" t="s">
        <v>872</v>
      </c>
      <c r="G13" s="10" t="s">
        <v>898</v>
      </c>
      <c r="H13" s="10" t="s">
        <v>899</v>
      </c>
      <c r="J13" t="s">
        <v>876</v>
      </c>
    </row>
    <row r="14" spans="1:10">
      <c r="A14" t="s">
        <v>1044</v>
      </c>
      <c r="B14">
        <v>13</v>
      </c>
      <c r="C14" t="s">
        <v>1043</v>
      </c>
      <c r="D14" t="s">
        <v>1024</v>
      </c>
      <c r="E14" t="s">
        <v>1025</v>
      </c>
      <c r="F14" s="8" t="s">
        <v>872</v>
      </c>
      <c r="G14" s="10" t="s">
        <v>898</v>
      </c>
      <c r="H14" s="10" t="s">
        <v>899</v>
      </c>
      <c r="J14" t="s">
        <v>876</v>
      </c>
    </row>
    <row r="15" spans="1:10">
      <c r="A15" t="s">
        <v>1045</v>
      </c>
      <c r="B15">
        <v>14</v>
      </c>
      <c r="C15" t="s">
        <v>1046</v>
      </c>
      <c r="D15" t="s">
        <v>1024</v>
      </c>
      <c r="E15" t="s">
        <v>1025</v>
      </c>
      <c r="F15" s="8" t="s">
        <v>872</v>
      </c>
      <c r="G15" s="10" t="s">
        <v>898</v>
      </c>
      <c r="H15" s="10" t="s">
        <v>899</v>
      </c>
      <c r="J15" t="s">
        <v>876</v>
      </c>
    </row>
    <row r="16" spans="1:10">
      <c r="A16" t="s">
        <v>1047</v>
      </c>
      <c r="B16">
        <v>15</v>
      </c>
      <c r="C16" t="s">
        <v>1048</v>
      </c>
      <c r="D16" t="s">
        <v>1024</v>
      </c>
      <c r="E16" t="s">
        <v>1025</v>
      </c>
      <c r="F16" s="8" t="s">
        <v>872</v>
      </c>
      <c r="G16" s="10" t="s">
        <v>898</v>
      </c>
      <c r="H16" s="10" t="s">
        <v>899</v>
      </c>
      <c r="J16" t="s">
        <v>876</v>
      </c>
    </row>
    <row r="17" spans="1:10">
      <c r="A17" t="s">
        <v>1049</v>
      </c>
      <c r="B17">
        <v>16</v>
      </c>
      <c r="C17" t="s">
        <v>1049</v>
      </c>
      <c r="D17" t="s">
        <v>1024</v>
      </c>
      <c r="E17" t="s">
        <v>1025</v>
      </c>
      <c r="F17" s="7" t="s">
        <v>880</v>
      </c>
      <c r="G17" s="10" t="s">
        <v>895</v>
      </c>
      <c r="H17" s="10" t="s">
        <v>1028</v>
      </c>
      <c r="J17" t="s">
        <v>876</v>
      </c>
    </row>
    <row r="18" spans="1:10">
      <c r="A18" t="s">
        <v>1050</v>
      </c>
      <c r="B18">
        <v>17</v>
      </c>
      <c r="C18" t="s">
        <v>1051</v>
      </c>
      <c r="D18" t="s">
        <v>1024</v>
      </c>
      <c r="E18" t="s">
        <v>1025</v>
      </c>
      <c r="F18" s="8" t="s">
        <v>872</v>
      </c>
      <c r="G18" s="10" t="s">
        <v>898</v>
      </c>
      <c r="H18" s="10" t="s">
        <v>899</v>
      </c>
      <c r="J18" t="s">
        <v>876</v>
      </c>
    </row>
    <row r="19" spans="1:10">
      <c r="A19" t="s">
        <v>1052</v>
      </c>
      <c r="B19">
        <v>18</v>
      </c>
      <c r="C19" t="s">
        <v>1051</v>
      </c>
      <c r="D19" t="s">
        <v>1024</v>
      </c>
      <c r="E19" t="s">
        <v>1025</v>
      </c>
      <c r="F19" s="8" t="s">
        <v>872</v>
      </c>
      <c r="G19" s="10" t="s">
        <v>898</v>
      </c>
      <c r="H19" s="10" t="s">
        <v>899</v>
      </c>
      <c r="J19" t="s">
        <v>876</v>
      </c>
    </row>
    <row r="20" spans="1:10">
      <c r="A20" t="s">
        <v>1053</v>
      </c>
      <c r="B20">
        <v>19</v>
      </c>
      <c r="C20" t="s">
        <v>1051</v>
      </c>
      <c r="D20" t="s">
        <v>1024</v>
      </c>
      <c r="E20" t="s">
        <v>1025</v>
      </c>
      <c r="F20" s="8" t="s">
        <v>872</v>
      </c>
      <c r="G20" s="10" t="s">
        <v>898</v>
      </c>
      <c r="H20" s="10" t="s">
        <v>899</v>
      </c>
      <c r="J20" t="s">
        <v>876</v>
      </c>
    </row>
    <row r="21" spans="1:10">
      <c r="A21" t="s">
        <v>1054</v>
      </c>
      <c r="B21">
        <v>20</v>
      </c>
      <c r="C21" t="s">
        <v>1055</v>
      </c>
      <c r="D21" t="s">
        <v>1024</v>
      </c>
      <c r="E21" t="s">
        <v>1025</v>
      </c>
      <c r="F21" s="8" t="s">
        <v>872</v>
      </c>
      <c r="G21" s="10" t="s">
        <v>898</v>
      </c>
      <c r="H21" s="10" t="s">
        <v>899</v>
      </c>
      <c r="J21" t="s">
        <v>876</v>
      </c>
    </row>
    <row r="22" spans="1:10">
      <c r="A22" t="s">
        <v>1056</v>
      </c>
      <c r="B22">
        <v>21</v>
      </c>
      <c r="C22" t="s">
        <v>1055</v>
      </c>
      <c r="D22" t="s">
        <v>1024</v>
      </c>
      <c r="E22" t="s">
        <v>1025</v>
      </c>
      <c r="F22" s="8" t="s">
        <v>872</v>
      </c>
      <c r="G22" s="10" t="s">
        <v>898</v>
      </c>
      <c r="H22" s="10" t="s">
        <v>899</v>
      </c>
      <c r="J22" t="s">
        <v>876</v>
      </c>
    </row>
    <row r="23" spans="1:10">
      <c r="A23" t="s">
        <v>1057</v>
      </c>
      <c r="B23">
        <v>22</v>
      </c>
      <c r="C23" t="s">
        <v>1058</v>
      </c>
      <c r="D23" t="s">
        <v>1024</v>
      </c>
      <c r="E23" t="s">
        <v>1025</v>
      </c>
      <c r="F23" s="8" t="s">
        <v>872</v>
      </c>
      <c r="G23" s="10" t="s">
        <v>898</v>
      </c>
      <c r="H23" s="10" t="s">
        <v>899</v>
      </c>
      <c r="J23" t="s">
        <v>876</v>
      </c>
    </row>
    <row r="24" spans="1:10">
      <c r="A24" t="s">
        <v>1059</v>
      </c>
      <c r="B24">
        <v>23</v>
      </c>
      <c r="C24" t="s">
        <v>1058</v>
      </c>
      <c r="D24" t="s">
        <v>1024</v>
      </c>
      <c r="E24" t="s">
        <v>1025</v>
      </c>
      <c r="F24" s="8" t="s">
        <v>872</v>
      </c>
      <c r="G24" s="10" t="s">
        <v>898</v>
      </c>
      <c r="H24" s="10" t="s">
        <v>899</v>
      </c>
      <c r="J24" t="s">
        <v>876</v>
      </c>
    </row>
    <row r="25" spans="1:10">
      <c r="A25" t="s">
        <v>1060</v>
      </c>
      <c r="B25">
        <v>24</v>
      </c>
      <c r="C25" t="s">
        <v>1061</v>
      </c>
      <c r="D25" t="s">
        <v>1024</v>
      </c>
      <c r="E25" t="s">
        <v>1025</v>
      </c>
      <c r="F25" s="8" t="s">
        <v>872</v>
      </c>
      <c r="G25" s="10" t="s">
        <v>898</v>
      </c>
      <c r="H25" s="10" t="s">
        <v>899</v>
      </c>
      <c r="J25" t="s">
        <v>876</v>
      </c>
    </row>
    <row r="26" spans="1:10">
      <c r="A26" t="s">
        <v>1062</v>
      </c>
      <c r="B26">
        <v>25</v>
      </c>
      <c r="C26" t="s">
        <v>1061</v>
      </c>
      <c r="D26" t="s">
        <v>1024</v>
      </c>
      <c r="E26" t="s">
        <v>1025</v>
      </c>
      <c r="F26" s="8" t="s">
        <v>872</v>
      </c>
      <c r="G26" s="10" t="s">
        <v>898</v>
      </c>
      <c r="H26" s="10" t="s">
        <v>899</v>
      </c>
      <c r="J26" t="s">
        <v>876</v>
      </c>
    </row>
    <row r="27" spans="1:10">
      <c r="A27" t="s">
        <v>1063</v>
      </c>
      <c r="B27">
        <v>26</v>
      </c>
      <c r="C27" t="s">
        <v>1064</v>
      </c>
      <c r="D27" t="s">
        <v>1024</v>
      </c>
      <c r="E27" t="s">
        <v>1025</v>
      </c>
      <c r="F27" s="8" t="s">
        <v>872</v>
      </c>
      <c r="G27" s="10" t="s">
        <v>898</v>
      </c>
      <c r="H27" s="10" t="s">
        <v>899</v>
      </c>
      <c r="J27" t="s">
        <v>876</v>
      </c>
    </row>
    <row r="28" spans="1:10">
      <c r="A28" t="s">
        <v>1065</v>
      </c>
      <c r="B28">
        <v>27</v>
      </c>
      <c r="C28" t="s">
        <v>1064</v>
      </c>
      <c r="D28" t="s">
        <v>1024</v>
      </c>
      <c r="E28" t="s">
        <v>1025</v>
      </c>
      <c r="F28" s="8" t="s">
        <v>872</v>
      </c>
      <c r="G28" s="10" t="s">
        <v>898</v>
      </c>
      <c r="H28" s="10" t="s">
        <v>899</v>
      </c>
      <c r="J28" t="s">
        <v>876</v>
      </c>
    </row>
    <row r="29" spans="1:10">
      <c r="A29" t="s">
        <v>1066</v>
      </c>
      <c r="B29">
        <v>28</v>
      </c>
      <c r="C29" t="s">
        <v>1067</v>
      </c>
      <c r="D29" t="s">
        <v>1024</v>
      </c>
      <c r="E29" t="s">
        <v>1025</v>
      </c>
      <c r="F29" s="8" t="s">
        <v>872</v>
      </c>
      <c r="G29" s="10" t="s">
        <v>898</v>
      </c>
      <c r="H29" s="10" t="s">
        <v>899</v>
      </c>
      <c r="J29" t="s">
        <v>876</v>
      </c>
    </row>
    <row r="30" spans="1:10">
      <c r="A30" t="s">
        <v>1068</v>
      </c>
      <c r="B30">
        <v>29</v>
      </c>
      <c r="C30" t="s">
        <v>1069</v>
      </c>
      <c r="D30" t="s">
        <v>1027</v>
      </c>
      <c r="E30" t="s">
        <v>1025</v>
      </c>
      <c r="F30" s="8" t="s">
        <v>872</v>
      </c>
      <c r="G30" s="10" t="s">
        <v>898</v>
      </c>
      <c r="H30" s="10" t="s">
        <v>899</v>
      </c>
      <c r="J30" t="s">
        <v>876</v>
      </c>
    </row>
    <row r="31" spans="1:10">
      <c r="A31" t="s">
        <v>1070</v>
      </c>
      <c r="B31">
        <v>30</v>
      </c>
      <c r="C31" t="s">
        <v>1071</v>
      </c>
      <c r="D31" t="s">
        <v>1072</v>
      </c>
      <c r="E31" t="s">
        <v>1025</v>
      </c>
      <c r="F31" s="8" t="s">
        <v>872</v>
      </c>
      <c r="G31" s="10" t="s">
        <v>898</v>
      </c>
      <c r="H31" s="10" t="s">
        <v>899</v>
      </c>
      <c r="J31" t="s">
        <v>876</v>
      </c>
    </row>
    <row r="32" spans="1:10">
      <c r="A32" t="s">
        <v>1073</v>
      </c>
      <c r="B32">
        <v>31</v>
      </c>
      <c r="C32" t="s">
        <v>1074</v>
      </c>
      <c r="D32" t="s">
        <v>1024</v>
      </c>
      <c r="E32" t="s">
        <v>1025</v>
      </c>
      <c r="F32" s="8" t="s">
        <v>872</v>
      </c>
      <c r="G32" s="10" t="s">
        <v>898</v>
      </c>
      <c r="H32" s="10" t="s">
        <v>899</v>
      </c>
      <c r="J32" t="s">
        <v>876</v>
      </c>
    </row>
    <row r="33" spans="1:10">
      <c r="A33" t="s">
        <v>1075</v>
      </c>
      <c r="B33">
        <v>32</v>
      </c>
      <c r="C33" t="s">
        <v>1074</v>
      </c>
      <c r="D33" t="s">
        <v>1024</v>
      </c>
      <c r="E33" t="s">
        <v>1025</v>
      </c>
      <c r="F33" s="8" t="s">
        <v>872</v>
      </c>
      <c r="G33" s="10" t="s">
        <v>898</v>
      </c>
      <c r="H33" s="10" t="s">
        <v>899</v>
      </c>
      <c r="J33" t="s">
        <v>876</v>
      </c>
    </row>
    <row r="34" spans="1:10">
      <c r="A34" t="s">
        <v>1076</v>
      </c>
      <c r="B34">
        <v>33</v>
      </c>
      <c r="C34" t="s">
        <v>1077</v>
      </c>
      <c r="D34" t="s">
        <v>1024</v>
      </c>
      <c r="E34" t="s">
        <v>1025</v>
      </c>
      <c r="F34" s="8" t="s">
        <v>872</v>
      </c>
      <c r="G34" s="10" t="s">
        <v>898</v>
      </c>
      <c r="H34" s="10" t="s">
        <v>899</v>
      </c>
      <c r="J34" t="s">
        <v>876</v>
      </c>
    </row>
    <row r="35" spans="1:10">
      <c r="A35" t="s">
        <v>1078</v>
      </c>
      <c r="B35">
        <v>34</v>
      </c>
      <c r="C35" t="s">
        <v>1079</v>
      </c>
      <c r="D35" t="s">
        <v>1024</v>
      </c>
      <c r="E35" t="s">
        <v>1025</v>
      </c>
      <c r="F35" s="8" t="s">
        <v>872</v>
      </c>
      <c r="G35" s="10" t="s">
        <v>898</v>
      </c>
      <c r="H35" s="10" t="s">
        <v>899</v>
      </c>
      <c r="J35" t="s">
        <v>876</v>
      </c>
    </row>
    <row r="36" spans="1:10">
      <c r="A36" t="s">
        <v>1080</v>
      </c>
      <c r="B36">
        <v>35</v>
      </c>
      <c r="C36" t="s">
        <v>1079</v>
      </c>
      <c r="D36" t="s">
        <v>1024</v>
      </c>
      <c r="E36" t="s">
        <v>1025</v>
      </c>
      <c r="F36" s="8" t="s">
        <v>872</v>
      </c>
      <c r="G36" s="10" t="s">
        <v>898</v>
      </c>
      <c r="H36" s="10" t="s">
        <v>899</v>
      </c>
      <c r="J36" t="s">
        <v>876</v>
      </c>
    </row>
    <row r="37" spans="1:10">
      <c r="A37" t="s">
        <v>1081</v>
      </c>
      <c r="B37">
        <v>36</v>
      </c>
      <c r="C37" t="s">
        <v>1082</v>
      </c>
      <c r="D37" t="s">
        <v>1024</v>
      </c>
      <c r="E37" t="s">
        <v>1025</v>
      </c>
      <c r="F37" s="8" t="s">
        <v>872</v>
      </c>
      <c r="G37" s="10" t="s">
        <v>898</v>
      </c>
      <c r="H37" s="10" t="s">
        <v>899</v>
      </c>
      <c r="J37" t="s">
        <v>876</v>
      </c>
    </row>
    <row r="38" spans="1:10">
      <c r="A38" t="s">
        <v>1083</v>
      </c>
      <c r="B38">
        <v>37</v>
      </c>
      <c r="C38" t="s">
        <v>1083</v>
      </c>
      <c r="D38" t="s">
        <v>1024</v>
      </c>
      <c r="E38" t="s">
        <v>1025</v>
      </c>
      <c r="F38" s="7" t="s">
        <v>880</v>
      </c>
      <c r="G38" s="10" t="s">
        <v>895</v>
      </c>
      <c r="H38" s="10" t="s">
        <v>1028</v>
      </c>
      <c r="J38" t="s">
        <v>876</v>
      </c>
    </row>
    <row r="39" spans="1:10">
      <c r="A39" t="s">
        <v>1084</v>
      </c>
      <c r="B39">
        <v>38</v>
      </c>
      <c r="C39" t="s">
        <v>1085</v>
      </c>
      <c r="D39" t="s">
        <v>1024</v>
      </c>
      <c r="E39" t="s">
        <v>1025</v>
      </c>
      <c r="F39" s="8" t="s">
        <v>872</v>
      </c>
      <c r="G39" s="10" t="s">
        <v>898</v>
      </c>
      <c r="H39" s="10" t="s">
        <v>899</v>
      </c>
      <c r="J39" t="s">
        <v>876</v>
      </c>
    </row>
    <row r="40" spans="1:10">
      <c r="A40" t="s">
        <v>1086</v>
      </c>
      <c r="B40">
        <v>39</v>
      </c>
      <c r="C40" t="s">
        <v>1085</v>
      </c>
      <c r="D40" t="s">
        <v>1024</v>
      </c>
      <c r="E40" t="s">
        <v>1025</v>
      </c>
      <c r="F40" s="8" t="s">
        <v>872</v>
      </c>
      <c r="G40" s="10" t="s">
        <v>898</v>
      </c>
      <c r="H40" s="10" t="s">
        <v>899</v>
      </c>
      <c r="J40" t="s">
        <v>876</v>
      </c>
    </row>
    <row r="41" spans="1:10">
      <c r="A41" t="s">
        <v>1087</v>
      </c>
      <c r="B41">
        <v>40</v>
      </c>
      <c r="C41" t="s">
        <v>1088</v>
      </c>
      <c r="D41" t="s">
        <v>1024</v>
      </c>
      <c r="E41" t="s">
        <v>1025</v>
      </c>
      <c r="F41" s="8" t="s">
        <v>872</v>
      </c>
      <c r="G41" s="10" t="s">
        <v>898</v>
      </c>
      <c r="H41" s="10" t="s">
        <v>899</v>
      </c>
      <c r="J41" t="s">
        <v>876</v>
      </c>
    </row>
    <row r="42" spans="1:10">
      <c r="A42" t="s">
        <v>1089</v>
      </c>
      <c r="B42">
        <v>41</v>
      </c>
      <c r="C42" t="s">
        <v>1090</v>
      </c>
      <c r="D42" t="s">
        <v>1024</v>
      </c>
      <c r="E42" t="s">
        <v>1025</v>
      </c>
      <c r="F42" s="8" t="s">
        <v>872</v>
      </c>
      <c r="G42" s="10" t="s">
        <v>898</v>
      </c>
      <c r="H42" s="10" t="s">
        <v>899</v>
      </c>
      <c r="J42" t="s">
        <v>876</v>
      </c>
    </row>
    <row r="43" spans="1:10">
      <c r="A43" t="s">
        <v>1091</v>
      </c>
      <c r="B43">
        <v>42</v>
      </c>
      <c r="C43" t="s">
        <v>1091</v>
      </c>
      <c r="D43" t="s">
        <v>1024</v>
      </c>
      <c r="E43" t="s">
        <v>1025</v>
      </c>
      <c r="F43" s="8" t="s">
        <v>872</v>
      </c>
      <c r="G43" s="10" t="s">
        <v>898</v>
      </c>
      <c r="H43" s="10" t="s">
        <v>899</v>
      </c>
      <c r="J43" t="s">
        <v>876</v>
      </c>
    </row>
    <row r="44" spans="1:10">
      <c r="A44" t="s">
        <v>1092</v>
      </c>
      <c r="B44">
        <v>43</v>
      </c>
      <c r="C44" t="s">
        <v>1093</v>
      </c>
      <c r="D44" t="s">
        <v>1024</v>
      </c>
      <c r="E44" t="s">
        <v>1025</v>
      </c>
      <c r="F44" s="8" t="s">
        <v>872</v>
      </c>
      <c r="G44" s="10" t="s">
        <v>898</v>
      </c>
      <c r="H44" s="10" t="s">
        <v>899</v>
      </c>
      <c r="J44" t="s">
        <v>876</v>
      </c>
    </row>
    <row r="45" spans="1:10">
      <c r="A45" t="s">
        <v>1094</v>
      </c>
      <c r="B45">
        <v>44</v>
      </c>
      <c r="C45" t="s">
        <v>1095</v>
      </c>
      <c r="D45" t="s">
        <v>1024</v>
      </c>
      <c r="E45" t="s">
        <v>1025</v>
      </c>
      <c r="F45" s="8" t="s">
        <v>872</v>
      </c>
      <c r="G45" s="10" t="s">
        <v>898</v>
      </c>
      <c r="H45" s="10" t="s">
        <v>899</v>
      </c>
      <c r="J45" t="s">
        <v>876</v>
      </c>
    </row>
    <row r="46" spans="1:10">
      <c r="A46" t="s">
        <v>1096</v>
      </c>
      <c r="B46">
        <v>45</v>
      </c>
      <c r="C46" t="s">
        <v>1095</v>
      </c>
      <c r="D46" t="s">
        <v>1024</v>
      </c>
      <c r="E46" t="s">
        <v>1025</v>
      </c>
      <c r="F46" s="8" t="s">
        <v>872</v>
      </c>
      <c r="G46" s="10" t="s">
        <v>898</v>
      </c>
      <c r="H46" s="10" t="s">
        <v>899</v>
      </c>
      <c r="J46" t="s">
        <v>876</v>
      </c>
    </row>
    <row r="47" spans="1:10">
      <c r="A47" t="s">
        <v>1097</v>
      </c>
      <c r="B47">
        <v>46</v>
      </c>
      <c r="C47" t="s">
        <v>1098</v>
      </c>
      <c r="D47" t="s">
        <v>1024</v>
      </c>
      <c r="E47" t="s">
        <v>1025</v>
      </c>
      <c r="F47" s="8" t="s">
        <v>872</v>
      </c>
      <c r="G47" s="10" t="s">
        <v>898</v>
      </c>
      <c r="H47" s="10" t="s">
        <v>899</v>
      </c>
      <c r="J47" t="s">
        <v>876</v>
      </c>
    </row>
    <row r="48" spans="1:10">
      <c r="A48" t="s">
        <v>1099</v>
      </c>
      <c r="B48">
        <v>47</v>
      </c>
      <c r="C48" t="s">
        <v>1098</v>
      </c>
      <c r="D48" t="s">
        <v>1024</v>
      </c>
      <c r="E48" t="s">
        <v>1025</v>
      </c>
      <c r="F48" s="8" t="s">
        <v>872</v>
      </c>
      <c r="G48" s="10" t="s">
        <v>898</v>
      </c>
      <c r="H48" s="10" t="s">
        <v>899</v>
      </c>
      <c r="J48" t="s">
        <v>876</v>
      </c>
    </row>
    <row r="49" spans="1:10">
      <c r="A49" t="s">
        <v>1100</v>
      </c>
      <c r="B49">
        <v>48</v>
      </c>
      <c r="C49" t="s">
        <v>1101</v>
      </c>
      <c r="D49" t="s">
        <v>1024</v>
      </c>
      <c r="E49" t="s">
        <v>1025</v>
      </c>
      <c r="F49" s="8" t="s">
        <v>872</v>
      </c>
      <c r="G49" s="10" t="s">
        <v>898</v>
      </c>
      <c r="H49" s="10" t="s">
        <v>899</v>
      </c>
      <c r="J49" t="s">
        <v>876</v>
      </c>
    </row>
    <row r="50" spans="1:10">
      <c r="A50" t="s">
        <v>1102</v>
      </c>
      <c r="B50">
        <v>49</v>
      </c>
      <c r="C50" t="s">
        <v>1101</v>
      </c>
      <c r="D50" t="s">
        <v>1024</v>
      </c>
      <c r="E50" t="s">
        <v>1025</v>
      </c>
      <c r="F50" s="8" t="s">
        <v>872</v>
      </c>
      <c r="G50" s="10" t="s">
        <v>898</v>
      </c>
      <c r="H50" s="10" t="s">
        <v>899</v>
      </c>
      <c r="J50" t="s">
        <v>876</v>
      </c>
    </row>
    <row r="51" spans="1:10">
      <c r="A51" t="s">
        <v>1103</v>
      </c>
      <c r="B51">
        <v>50</v>
      </c>
      <c r="C51" t="s">
        <v>1104</v>
      </c>
      <c r="D51" t="s">
        <v>1024</v>
      </c>
      <c r="E51" t="s">
        <v>1025</v>
      </c>
      <c r="F51" s="7" t="s">
        <v>880</v>
      </c>
      <c r="G51" s="10" t="s">
        <v>895</v>
      </c>
      <c r="H51" s="10" t="s">
        <v>1028</v>
      </c>
      <c r="J51" t="s">
        <v>876</v>
      </c>
    </row>
    <row r="52" spans="1:10">
      <c r="A52" t="s">
        <v>1105</v>
      </c>
      <c r="B52">
        <v>51</v>
      </c>
      <c r="C52" t="s">
        <v>1104</v>
      </c>
      <c r="D52" t="s">
        <v>1024</v>
      </c>
      <c r="E52" t="s">
        <v>1025</v>
      </c>
      <c r="F52" s="7" t="s">
        <v>880</v>
      </c>
      <c r="G52" s="10" t="s">
        <v>895</v>
      </c>
      <c r="H52" s="10" t="s">
        <v>1028</v>
      </c>
      <c r="J52" t="s">
        <v>876</v>
      </c>
    </row>
    <row r="53" spans="1:10">
      <c r="A53" t="s">
        <v>1106</v>
      </c>
      <c r="B53">
        <v>52</v>
      </c>
      <c r="C53" t="s">
        <v>1107</v>
      </c>
      <c r="D53" t="s">
        <v>1024</v>
      </c>
      <c r="E53" t="s">
        <v>1025</v>
      </c>
      <c r="F53" s="8" t="s">
        <v>872</v>
      </c>
      <c r="G53" s="10" t="s">
        <v>898</v>
      </c>
      <c r="H53" s="10" t="s">
        <v>899</v>
      </c>
      <c r="J53" t="s">
        <v>876</v>
      </c>
    </row>
    <row r="54" spans="1:10">
      <c r="A54" t="s">
        <v>1108</v>
      </c>
      <c r="B54">
        <v>53</v>
      </c>
      <c r="C54" t="s">
        <v>1109</v>
      </c>
      <c r="D54" t="s">
        <v>1024</v>
      </c>
      <c r="E54" t="s">
        <v>1025</v>
      </c>
      <c r="F54" s="8" t="s">
        <v>872</v>
      </c>
      <c r="G54" s="10" t="s">
        <v>898</v>
      </c>
      <c r="H54" s="10" t="s">
        <v>899</v>
      </c>
      <c r="J54" t="s">
        <v>876</v>
      </c>
    </row>
    <row r="55" spans="1:10">
      <c r="A55" t="s">
        <v>1110</v>
      </c>
      <c r="B55">
        <v>54</v>
      </c>
      <c r="C55" t="s">
        <v>1110</v>
      </c>
      <c r="D55" t="s">
        <v>1024</v>
      </c>
      <c r="E55" t="s">
        <v>1025</v>
      </c>
      <c r="F55" s="8" t="s">
        <v>872</v>
      </c>
      <c r="G55" s="10" t="s">
        <v>898</v>
      </c>
      <c r="H55" s="10" t="s">
        <v>899</v>
      </c>
      <c r="J55" t="s">
        <v>876</v>
      </c>
    </row>
    <row r="56" spans="1:10">
      <c r="A56" t="s">
        <v>1111</v>
      </c>
      <c r="B56">
        <v>55</v>
      </c>
      <c r="C56" t="s">
        <v>1112</v>
      </c>
      <c r="D56" t="s">
        <v>1024</v>
      </c>
      <c r="E56" t="s">
        <v>1025</v>
      </c>
      <c r="F56" s="8" t="s">
        <v>872</v>
      </c>
      <c r="G56" s="10" t="s">
        <v>898</v>
      </c>
      <c r="H56" s="10" t="s">
        <v>899</v>
      </c>
      <c r="J56" t="s">
        <v>876</v>
      </c>
    </row>
    <row r="57" spans="1:10">
      <c r="A57" t="s">
        <v>1113</v>
      </c>
      <c r="B57">
        <v>56</v>
      </c>
      <c r="C57" t="s">
        <v>1113</v>
      </c>
      <c r="D57" t="s">
        <v>1024</v>
      </c>
      <c r="E57" t="s">
        <v>1025</v>
      </c>
      <c r="F57" s="8" t="s">
        <v>872</v>
      </c>
      <c r="G57" s="10" t="s">
        <v>898</v>
      </c>
      <c r="H57" s="10" t="s">
        <v>899</v>
      </c>
      <c r="J57" t="s">
        <v>876</v>
      </c>
    </row>
    <row r="58" spans="1:10">
      <c r="A58" t="s">
        <v>1114</v>
      </c>
      <c r="B58">
        <v>57</v>
      </c>
      <c r="C58" t="s">
        <v>1115</v>
      </c>
      <c r="D58" t="s">
        <v>1024</v>
      </c>
      <c r="E58" t="s">
        <v>1025</v>
      </c>
      <c r="F58" s="8" t="s">
        <v>872</v>
      </c>
      <c r="G58" s="10" t="s">
        <v>898</v>
      </c>
      <c r="H58" s="10" t="s">
        <v>899</v>
      </c>
      <c r="J58" t="s">
        <v>876</v>
      </c>
    </row>
    <row r="59" spans="1:10">
      <c r="A59" t="s">
        <v>1116</v>
      </c>
      <c r="B59">
        <v>58</v>
      </c>
      <c r="C59" t="s">
        <v>1115</v>
      </c>
      <c r="D59" t="s">
        <v>1024</v>
      </c>
      <c r="E59" t="s">
        <v>1025</v>
      </c>
      <c r="F59" s="8" t="s">
        <v>872</v>
      </c>
      <c r="G59" s="10" t="s">
        <v>898</v>
      </c>
      <c r="H59" s="10" t="s">
        <v>899</v>
      </c>
      <c r="J59" t="s">
        <v>876</v>
      </c>
    </row>
    <row r="60" spans="1:10">
      <c r="A60" t="s">
        <v>1117</v>
      </c>
      <c r="B60">
        <v>59</v>
      </c>
      <c r="C60" t="s">
        <v>1115</v>
      </c>
      <c r="D60" t="s">
        <v>1024</v>
      </c>
      <c r="E60" t="s">
        <v>1025</v>
      </c>
      <c r="F60" s="8" t="s">
        <v>872</v>
      </c>
      <c r="G60" s="10" t="s">
        <v>898</v>
      </c>
      <c r="H60" s="10" t="s">
        <v>899</v>
      </c>
      <c r="J60" t="s">
        <v>876</v>
      </c>
    </row>
    <row r="61" spans="1:10">
      <c r="A61" t="s">
        <v>1118</v>
      </c>
      <c r="B61">
        <v>60</v>
      </c>
      <c r="C61" t="s">
        <v>1119</v>
      </c>
      <c r="D61" t="s">
        <v>1024</v>
      </c>
      <c r="E61" t="s">
        <v>1025</v>
      </c>
      <c r="F61" s="8" t="s">
        <v>872</v>
      </c>
      <c r="G61" s="10" t="s">
        <v>898</v>
      </c>
      <c r="H61" s="10" t="s">
        <v>899</v>
      </c>
      <c r="J61" t="s">
        <v>876</v>
      </c>
    </row>
    <row r="62" spans="1:10">
      <c r="A62" t="s">
        <v>1120</v>
      </c>
      <c r="B62">
        <v>61</v>
      </c>
      <c r="C62" t="s">
        <v>1119</v>
      </c>
      <c r="D62" t="s">
        <v>1024</v>
      </c>
      <c r="E62" t="s">
        <v>1025</v>
      </c>
      <c r="F62" s="8" t="s">
        <v>872</v>
      </c>
      <c r="G62" s="10" t="s">
        <v>898</v>
      </c>
      <c r="H62" s="10" t="s">
        <v>899</v>
      </c>
      <c r="J62" t="s">
        <v>876</v>
      </c>
    </row>
    <row r="63" spans="1:10">
      <c r="A63" t="s">
        <v>1121</v>
      </c>
      <c r="B63">
        <v>62</v>
      </c>
      <c r="C63" t="s">
        <v>1122</v>
      </c>
      <c r="D63" t="s">
        <v>1024</v>
      </c>
      <c r="E63" t="s">
        <v>1025</v>
      </c>
      <c r="F63" s="8" t="s">
        <v>872</v>
      </c>
      <c r="G63" s="10" t="s">
        <v>898</v>
      </c>
      <c r="H63" s="10" t="s">
        <v>899</v>
      </c>
      <c r="J63" t="s">
        <v>876</v>
      </c>
    </row>
    <row r="64" spans="1:10">
      <c r="A64" t="s">
        <v>1123</v>
      </c>
      <c r="B64">
        <v>63</v>
      </c>
      <c r="C64" t="s">
        <v>1124</v>
      </c>
      <c r="D64" t="s">
        <v>1024</v>
      </c>
      <c r="E64" t="s">
        <v>1025</v>
      </c>
      <c r="F64" s="8" t="s">
        <v>872</v>
      </c>
      <c r="G64" s="10" t="s">
        <v>898</v>
      </c>
      <c r="H64" s="10" t="s">
        <v>899</v>
      </c>
      <c r="J64" t="s">
        <v>876</v>
      </c>
    </row>
    <row r="65" spans="1:10">
      <c r="A65" t="s">
        <v>1125</v>
      </c>
      <c r="B65">
        <v>64</v>
      </c>
      <c r="C65" t="s">
        <v>1124</v>
      </c>
      <c r="D65" t="s">
        <v>1024</v>
      </c>
      <c r="E65" t="s">
        <v>1025</v>
      </c>
      <c r="F65" s="8" t="s">
        <v>872</v>
      </c>
      <c r="G65" s="10" t="s">
        <v>898</v>
      </c>
      <c r="H65" s="10" t="s">
        <v>899</v>
      </c>
      <c r="J65" t="s">
        <v>876</v>
      </c>
    </row>
    <row r="66" spans="1:10">
      <c r="A66" t="s">
        <v>1126</v>
      </c>
      <c r="B66">
        <v>65</v>
      </c>
      <c r="C66" t="s">
        <v>1127</v>
      </c>
      <c r="D66" t="s">
        <v>1024</v>
      </c>
      <c r="E66" t="s">
        <v>1025</v>
      </c>
      <c r="F66" s="8" t="s">
        <v>872</v>
      </c>
      <c r="G66" s="10" t="s">
        <v>898</v>
      </c>
      <c r="H66" s="10" t="s">
        <v>899</v>
      </c>
      <c r="J66" t="s">
        <v>876</v>
      </c>
    </row>
    <row r="67" spans="1:10">
      <c r="A67" t="s">
        <v>1128</v>
      </c>
      <c r="B67">
        <v>66</v>
      </c>
      <c r="C67" t="s">
        <v>1128</v>
      </c>
      <c r="D67" t="s">
        <v>1027</v>
      </c>
      <c r="E67" t="s">
        <v>1025</v>
      </c>
      <c r="F67" s="8" t="s">
        <v>872</v>
      </c>
      <c r="G67" s="10" t="s">
        <v>898</v>
      </c>
      <c r="H67" s="10" t="s">
        <v>899</v>
      </c>
      <c r="J67" t="s">
        <v>876</v>
      </c>
    </row>
    <row r="68" spans="1:10">
      <c r="A68" t="s">
        <v>1129</v>
      </c>
      <c r="B68">
        <v>67</v>
      </c>
      <c r="C68" t="s">
        <v>1129</v>
      </c>
      <c r="D68" t="s">
        <v>1027</v>
      </c>
      <c r="E68" t="s">
        <v>1025</v>
      </c>
      <c r="F68" s="8" t="s">
        <v>872</v>
      </c>
      <c r="G68" s="10" t="s">
        <v>898</v>
      </c>
      <c r="H68" s="10" t="s">
        <v>899</v>
      </c>
      <c r="J68" t="s">
        <v>876</v>
      </c>
    </row>
    <row r="69" spans="1:10">
      <c r="A69" t="s">
        <v>1130</v>
      </c>
      <c r="B69">
        <v>68</v>
      </c>
      <c r="C69" t="s">
        <v>1131</v>
      </c>
      <c r="D69" t="s">
        <v>1024</v>
      </c>
      <c r="E69" t="s">
        <v>1025</v>
      </c>
      <c r="F69" s="8" t="s">
        <v>872</v>
      </c>
      <c r="G69" s="10" t="s">
        <v>898</v>
      </c>
      <c r="H69" s="10" t="s">
        <v>899</v>
      </c>
      <c r="J69" t="s">
        <v>876</v>
      </c>
    </row>
    <row r="70" spans="1:10">
      <c r="A70" t="s">
        <v>1132</v>
      </c>
      <c r="B70">
        <v>69</v>
      </c>
      <c r="C70" t="s">
        <v>1133</v>
      </c>
      <c r="D70" t="s">
        <v>1134</v>
      </c>
      <c r="E70" t="s">
        <v>1135</v>
      </c>
      <c r="F70" s="8" t="s">
        <v>872</v>
      </c>
      <c r="G70" s="10" t="s">
        <v>895</v>
      </c>
      <c r="H70" s="10" t="s">
        <v>1136</v>
      </c>
      <c r="J70" t="s">
        <v>876</v>
      </c>
    </row>
    <row r="71" spans="1:10">
      <c r="A71" t="s">
        <v>1137</v>
      </c>
      <c r="B71">
        <v>70</v>
      </c>
      <c r="C71" t="s">
        <v>1138</v>
      </c>
      <c r="D71" t="s">
        <v>1134</v>
      </c>
      <c r="E71" t="s">
        <v>1135</v>
      </c>
      <c r="F71" s="8" t="s">
        <v>872</v>
      </c>
      <c r="G71" s="10" t="s">
        <v>895</v>
      </c>
      <c r="H71" s="10" t="s">
        <v>1139</v>
      </c>
      <c r="J71" t="s">
        <v>876</v>
      </c>
    </row>
    <row r="72" spans="1:10">
      <c r="A72" t="s">
        <v>1140</v>
      </c>
      <c r="B72">
        <v>71</v>
      </c>
      <c r="C72" t="s">
        <v>1141</v>
      </c>
      <c r="D72" t="s">
        <v>1134</v>
      </c>
      <c r="E72" t="s">
        <v>1135</v>
      </c>
      <c r="F72" s="8" t="s">
        <v>872</v>
      </c>
      <c r="G72" s="10" t="s">
        <v>895</v>
      </c>
      <c r="H72" s="10" t="s">
        <v>1142</v>
      </c>
      <c r="J72" t="s">
        <v>876</v>
      </c>
    </row>
    <row r="73" spans="1:10">
      <c r="A73" t="s">
        <v>1143</v>
      </c>
      <c r="B73">
        <v>72</v>
      </c>
      <c r="C73" t="s">
        <v>1144</v>
      </c>
      <c r="D73" t="s">
        <v>1134</v>
      </c>
      <c r="E73" t="s">
        <v>1135</v>
      </c>
      <c r="F73" s="8" t="s">
        <v>872</v>
      </c>
      <c r="G73" s="10" t="s">
        <v>895</v>
      </c>
      <c r="H73" s="10" t="s">
        <v>1142</v>
      </c>
      <c r="J73" t="s">
        <v>876</v>
      </c>
    </row>
    <row r="74" spans="1:10">
      <c r="A74" t="s">
        <v>1145</v>
      </c>
      <c r="B74">
        <v>73</v>
      </c>
      <c r="C74" t="s">
        <v>1146</v>
      </c>
      <c r="D74" t="s">
        <v>1134</v>
      </c>
      <c r="E74" t="s">
        <v>1135</v>
      </c>
      <c r="F74" s="8" t="s">
        <v>872</v>
      </c>
      <c r="G74" s="10" t="s">
        <v>895</v>
      </c>
      <c r="H74" s="10" t="s">
        <v>1147</v>
      </c>
      <c r="J74" t="s">
        <v>876</v>
      </c>
    </row>
    <row r="75" spans="1:10">
      <c r="A75" t="s">
        <v>1148</v>
      </c>
      <c r="B75">
        <v>74</v>
      </c>
      <c r="C75" t="s">
        <v>1149</v>
      </c>
      <c r="D75" t="s">
        <v>1134</v>
      </c>
      <c r="E75" t="s">
        <v>1135</v>
      </c>
      <c r="F75" s="8" t="s">
        <v>872</v>
      </c>
      <c r="G75" s="10" t="s">
        <v>895</v>
      </c>
      <c r="H75" s="10" t="s">
        <v>1150</v>
      </c>
      <c r="J75" t="s">
        <v>876</v>
      </c>
    </row>
    <row r="76" spans="1:10">
      <c r="A76" t="s">
        <v>1151</v>
      </c>
      <c r="B76">
        <v>75</v>
      </c>
      <c r="C76" t="s">
        <v>1152</v>
      </c>
      <c r="D76" t="s">
        <v>1134</v>
      </c>
      <c r="E76" t="s">
        <v>1135</v>
      </c>
      <c r="F76" s="8" t="s">
        <v>872</v>
      </c>
      <c r="G76" s="10" t="s">
        <v>895</v>
      </c>
      <c r="H76" s="10" t="s">
        <v>1150</v>
      </c>
      <c r="J76" t="s">
        <v>876</v>
      </c>
    </row>
    <row r="77" spans="1:10">
      <c r="A77" t="s">
        <v>1153</v>
      </c>
      <c r="B77">
        <v>76</v>
      </c>
      <c r="C77" t="s">
        <v>1154</v>
      </c>
      <c r="D77" t="s">
        <v>1134</v>
      </c>
      <c r="E77" t="s">
        <v>1135</v>
      </c>
      <c r="F77" s="8" t="s">
        <v>872</v>
      </c>
      <c r="G77" s="10" t="s">
        <v>895</v>
      </c>
      <c r="H77" s="10" t="s">
        <v>1155</v>
      </c>
      <c r="J77" t="s">
        <v>876</v>
      </c>
    </row>
    <row r="78" spans="1:10">
      <c r="A78" t="s">
        <v>1156</v>
      </c>
      <c r="B78">
        <v>77</v>
      </c>
      <c r="C78" t="s">
        <v>1157</v>
      </c>
      <c r="D78" t="s">
        <v>1134</v>
      </c>
      <c r="E78" t="s">
        <v>1135</v>
      </c>
      <c r="F78" s="8" t="s">
        <v>872</v>
      </c>
      <c r="G78" s="10" t="s">
        <v>895</v>
      </c>
      <c r="H78" s="10" t="s">
        <v>1158</v>
      </c>
      <c r="J78" t="s">
        <v>876</v>
      </c>
    </row>
    <row r="79" spans="1:10">
      <c r="A79" t="s">
        <v>1159</v>
      </c>
      <c r="B79">
        <v>78</v>
      </c>
      <c r="C79" t="s">
        <v>1159</v>
      </c>
      <c r="D79" t="s">
        <v>1160</v>
      </c>
      <c r="E79" t="s">
        <v>1135</v>
      </c>
      <c r="F79" s="8" t="s">
        <v>872</v>
      </c>
      <c r="G79" s="10" t="s">
        <v>895</v>
      </c>
      <c r="H79" s="10" t="s">
        <v>1161</v>
      </c>
      <c r="J79" t="s">
        <v>876</v>
      </c>
    </row>
    <row r="80" spans="1:10">
      <c r="A80" t="s">
        <v>1162</v>
      </c>
      <c r="B80">
        <v>79</v>
      </c>
      <c r="C80" t="s">
        <v>1163</v>
      </c>
      <c r="D80" t="s">
        <v>1134</v>
      </c>
      <c r="E80" t="s">
        <v>1135</v>
      </c>
      <c r="F80" s="8" t="s">
        <v>872</v>
      </c>
      <c r="G80" s="10" t="s">
        <v>895</v>
      </c>
      <c r="H80" s="10" t="s">
        <v>485</v>
      </c>
      <c r="J80" t="s">
        <v>876</v>
      </c>
    </row>
    <row r="81" spans="1:10">
      <c r="A81" t="s">
        <v>1164</v>
      </c>
      <c r="B81">
        <v>80</v>
      </c>
      <c r="C81" t="s">
        <v>1165</v>
      </c>
      <c r="D81" t="s">
        <v>1134</v>
      </c>
      <c r="E81" t="s">
        <v>1135</v>
      </c>
      <c r="F81" s="8" t="s">
        <v>872</v>
      </c>
      <c r="G81" s="10" t="s">
        <v>895</v>
      </c>
      <c r="H81" s="10" t="s">
        <v>485</v>
      </c>
      <c r="J81" t="s">
        <v>876</v>
      </c>
    </row>
    <row r="82" spans="1:10">
      <c r="A82" t="s">
        <v>1166</v>
      </c>
      <c r="B82">
        <v>81</v>
      </c>
      <c r="C82" t="s">
        <v>1167</v>
      </c>
      <c r="D82" t="s">
        <v>1134</v>
      </c>
      <c r="E82" t="s">
        <v>1135</v>
      </c>
      <c r="F82" s="8" t="s">
        <v>872</v>
      </c>
      <c r="G82" s="10" t="s">
        <v>895</v>
      </c>
      <c r="H82" s="10" t="s">
        <v>1168</v>
      </c>
      <c r="J82" t="s">
        <v>876</v>
      </c>
    </row>
    <row r="83" spans="1:10">
      <c r="A83" t="s">
        <v>1169</v>
      </c>
      <c r="B83">
        <v>82</v>
      </c>
      <c r="C83" t="s">
        <v>1169</v>
      </c>
      <c r="D83" t="s">
        <v>1170</v>
      </c>
      <c r="E83" t="s">
        <v>1135</v>
      </c>
      <c r="F83" s="8" t="s">
        <v>872</v>
      </c>
      <c r="G83" s="10" t="s">
        <v>895</v>
      </c>
      <c r="H83" s="10" t="s">
        <v>1171</v>
      </c>
      <c r="J83" t="s">
        <v>876</v>
      </c>
    </row>
    <row r="84" spans="1:10">
      <c r="A84" t="s">
        <v>1172</v>
      </c>
      <c r="B84">
        <v>83</v>
      </c>
      <c r="C84" t="s">
        <v>1173</v>
      </c>
      <c r="D84" t="s">
        <v>1174</v>
      </c>
      <c r="E84" t="s">
        <v>885</v>
      </c>
      <c r="F84" s="8" t="s">
        <v>872</v>
      </c>
      <c r="G84" s="10" t="s">
        <v>889</v>
      </c>
      <c r="H84" s="10" t="s">
        <v>890</v>
      </c>
      <c r="I84" s="11" t="s">
        <v>888</v>
      </c>
      <c r="J84" t="s">
        <v>884</v>
      </c>
    </row>
    <row r="85" spans="1:10">
      <c r="A85" t="s">
        <v>1175</v>
      </c>
      <c r="B85">
        <v>84</v>
      </c>
      <c r="C85" t="s">
        <v>1176</v>
      </c>
      <c r="D85" t="s">
        <v>1174</v>
      </c>
      <c r="E85" t="s">
        <v>885</v>
      </c>
      <c r="F85" s="8" t="s">
        <v>872</v>
      </c>
      <c r="G85" s="10" t="s">
        <v>889</v>
      </c>
      <c r="H85" s="10" t="s">
        <v>890</v>
      </c>
      <c r="I85" s="11" t="s">
        <v>888</v>
      </c>
      <c r="J85" t="s">
        <v>884</v>
      </c>
    </row>
    <row r="86" spans="1:10">
      <c r="A86" t="s">
        <v>1177</v>
      </c>
      <c r="B86">
        <v>85</v>
      </c>
      <c r="C86" t="s">
        <v>1177</v>
      </c>
      <c r="D86" t="s">
        <v>1178</v>
      </c>
      <c r="E86" t="s">
        <v>885</v>
      </c>
      <c r="F86" s="8" t="s">
        <v>872</v>
      </c>
      <c r="G86" s="10" t="s">
        <v>886</v>
      </c>
      <c r="H86" s="10" t="s">
        <v>887</v>
      </c>
      <c r="I86" s="11" t="s">
        <v>888</v>
      </c>
      <c r="J86" t="s">
        <v>876</v>
      </c>
    </row>
    <row r="87" spans="1:10">
      <c r="A87" t="s">
        <v>199</v>
      </c>
      <c r="B87">
        <v>86</v>
      </c>
      <c r="C87" t="s">
        <v>199</v>
      </c>
      <c r="D87" t="s">
        <v>1174</v>
      </c>
      <c r="E87" t="s">
        <v>885</v>
      </c>
      <c r="F87" s="8" t="s">
        <v>872</v>
      </c>
      <c r="G87" s="10" t="s">
        <v>886</v>
      </c>
      <c r="H87" s="10" t="s">
        <v>1179</v>
      </c>
      <c r="I87" s="11" t="s">
        <v>888</v>
      </c>
      <c r="J87" t="s">
        <v>876</v>
      </c>
    </row>
    <row r="88" spans="1:10">
      <c r="A88" t="s">
        <v>1180</v>
      </c>
      <c r="B88">
        <v>87</v>
      </c>
      <c r="C88" t="s">
        <v>1180</v>
      </c>
      <c r="D88" t="s">
        <v>1174</v>
      </c>
      <c r="E88" t="s">
        <v>885</v>
      </c>
      <c r="F88" s="8" t="s">
        <v>872</v>
      </c>
      <c r="G88" s="10" t="s">
        <v>886</v>
      </c>
      <c r="H88" s="10" t="s">
        <v>1181</v>
      </c>
      <c r="I88" s="11" t="s">
        <v>888</v>
      </c>
      <c r="J88" t="s">
        <v>876</v>
      </c>
    </row>
    <row r="89" spans="1:10">
      <c r="A89" t="s">
        <v>1182</v>
      </c>
      <c r="B89">
        <v>88</v>
      </c>
      <c r="C89" t="s">
        <v>1183</v>
      </c>
      <c r="D89" t="s">
        <v>1174</v>
      </c>
      <c r="E89" t="s">
        <v>885</v>
      </c>
      <c r="F89" s="8" t="s">
        <v>872</v>
      </c>
      <c r="G89" s="10" t="s">
        <v>886</v>
      </c>
      <c r="H89" s="10" t="s">
        <v>1184</v>
      </c>
      <c r="I89" s="11" t="s">
        <v>888</v>
      </c>
      <c r="J89" t="s">
        <v>876</v>
      </c>
    </row>
    <row r="90" spans="1:10">
      <c r="A90" t="s">
        <v>1185</v>
      </c>
      <c r="B90">
        <v>89</v>
      </c>
      <c r="C90" t="s">
        <v>1186</v>
      </c>
      <c r="D90" t="s">
        <v>1174</v>
      </c>
      <c r="E90" t="s">
        <v>885</v>
      </c>
      <c r="F90" s="8" t="s">
        <v>872</v>
      </c>
      <c r="G90" s="10" t="s">
        <v>886</v>
      </c>
      <c r="H90" s="10" t="s">
        <v>1187</v>
      </c>
      <c r="I90" s="11" t="s">
        <v>888</v>
      </c>
      <c r="J90" t="s">
        <v>876</v>
      </c>
    </row>
    <row r="91" spans="1:10">
      <c r="A91" t="s">
        <v>1188</v>
      </c>
      <c r="B91">
        <v>90</v>
      </c>
      <c r="C91" t="s">
        <v>1188</v>
      </c>
      <c r="D91" t="s">
        <v>1178</v>
      </c>
      <c r="E91" t="s">
        <v>885</v>
      </c>
      <c r="F91" s="8" t="s">
        <v>872</v>
      </c>
      <c r="G91" s="10" t="s">
        <v>886</v>
      </c>
      <c r="H91" s="10" t="s">
        <v>1189</v>
      </c>
      <c r="I91" s="11" t="s">
        <v>888</v>
      </c>
      <c r="J91" t="s">
        <v>876</v>
      </c>
    </row>
    <row r="92" spans="1:10">
      <c r="A92" t="s">
        <v>1190</v>
      </c>
      <c r="B92">
        <v>91</v>
      </c>
      <c r="C92" t="s">
        <v>1190</v>
      </c>
      <c r="D92" t="s">
        <v>1174</v>
      </c>
      <c r="E92" t="s">
        <v>885</v>
      </c>
      <c r="F92" s="8" t="s">
        <v>872</v>
      </c>
      <c r="G92" s="10" t="s">
        <v>886</v>
      </c>
      <c r="H92" s="10" t="s">
        <v>1191</v>
      </c>
      <c r="I92" s="11" t="s">
        <v>888</v>
      </c>
      <c r="J92" t="s">
        <v>876</v>
      </c>
    </row>
    <row r="93" spans="1:10">
      <c r="A93" t="s">
        <v>1192</v>
      </c>
      <c r="B93">
        <v>92</v>
      </c>
      <c r="C93" t="s">
        <v>1193</v>
      </c>
      <c r="D93" t="s">
        <v>1178</v>
      </c>
      <c r="E93" t="s">
        <v>885</v>
      </c>
      <c r="F93" s="8" t="s">
        <v>872</v>
      </c>
      <c r="G93" s="10" t="s">
        <v>886</v>
      </c>
      <c r="H93" s="10" t="s">
        <v>1194</v>
      </c>
      <c r="I93" s="11" t="s">
        <v>888</v>
      </c>
      <c r="J93" t="s">
        <v>876</v>
      </c>
    </row>
    <row r="94" spans="1:10">
      <c r="A94" t="s">
        <v>1195</v>
      </c>
      <c r="B94">
        <v>93</v>
      </c>
      <c r="C94" t="s">
        <v>1196</v>
      </c>
      <c r="D94" t="s">
        <v>1178</v>
      </c>
      <c r="E94" t="s">
        <v>885</v>
      </c>
      <c r="F94" s="8" t="s">
        <v>872</v>
      </c>
      <c r="G94" s="10" t="s">
        <v>886</v>
      </c>
      <c r="H94" s="10" t="s">
        <v>1197</v>
      </c>
      <c r="I94" s="11" t="s">
        <v>888</v>
      </c>
      <c r="J94" t="s">
        <v>876</v>
      </c>
    </row>
    <row r="95" spans="1:10">
      <c r="A95" t="s">
        <v>1198</v>
      </c>
      <c r="B95">
        <v>94</v>
      </c>
      <c r="C95" t="s">
        <v>1199</v>
      </c>
      <c r="D95" t="s">
        <v>1174</v>
      </c>
      <c r="E95" t="s">
        <v>885</v>
      </c>
      <c r="F95" s="8" t="s">
        <v>872</v>
      </c>
      <c r="G95" s="10" t="s">
        <v>886</v>
      </c>
      <c r="H95" s="10" t="s">
        <v>1200</v>
      </c>
      <c r="I95" s="11" t="s">
        <v>888</v>
      </c>
      <c r="J95" t="s">
        <v>876</v>
      </c>
    </row>
    <row r="96" spans="1:10">
      <c r="A96" t="s">
        <v>1201</v>
      </c>
      <c r="B96">
        <v>95</v>
      </c>
      <c r="C96" t="s">
        <v>1202</v>
      </c>
      <c r="D96" t="s">
        <v>1178</v>
      </c>
      <c r="E96" t="s">
        <v>885</v>
      </c>
      <c r="F96" s="8" t="s">
        <v>872</v>
      </c>
      <c r="G96" s="10" t="s">
        <v>886</v>
      </c>
      <c r="H96" s="10" t="s">
        <v>1203</v>
      </c>
      <c r="I96" s="11" t="s">
        <v>888</v>
      </c>
      <c r="J96" t="s">
        <v>876</v>
      </c>
    </row>
    <row r="97" spans="1:10">
      <c r="A97" t="s">
        <v>1204</v>
      </c>
      <c r="B97">
        <v>96</v>
      </c>
      <c r="C97" t="s">
        <v>1204</v>
      </c>
      <c r="D97" t="s">
        <v>1174</v>
      </c>
      <c r="E97" t="s">
        <v>885</v>
      </c>
      <c r="F97" s="8" t="s">
        <v>872</v>
      </c>
      <c r="G97" s="10" t="s">
        <v>886</v>
      </c>
      <c r="H97" s="10" t="s">
        <v>1205</v>
      </c>
      <c r="I97" s="11" t="s">
        <v>888</v>
      </c>
      <c r="J97" t="s">
        <v>876</v>
      </c>
    </row>
    <row r="98" spans="1:10">
      <c r="A98" t="s">
        <v>1206</v>
      </c>
      <c r="B98">
        <v>97</v>
      </c>
      <c r="C98" t="s">
        <v>1207</v>
      </c>
      <c r="D98" t="s">
        <v>1178</v>
      </c>
      <c r="E98" t="s">
        <v>885</v>
      </c>
      <c r="F98" s="8" t="s">
        <v>872</v>
      </c>
      <c r="G98" s="10" t="s">
        <v>886</v>
      </c>
      <c r="H98" s="10" t="s">
        <v>1208</v>
      </c>
      <c r="I98" s="11" t="s">
        <v>888</v>
      </c>
      <c r="J98" t="s">
        <v>876</v>
      </c>
    </row>
    <row r="99" spans="1:10">
      <c r="A99" t="s">
        <v>1209</v>
      </c>
      <c r="B99">
        <v>98</v>
      </c>
      <c r="C99" t="s">
        <v>1209</v>
      </c>
      <c r="D99" t="s">
        <v>1210</v>
      </c>
      <c r="E99" t="s">
        <v>1015</v>
      </c>
      <c r="F99" s="8" t="s">
        <v>872</v>
      </c>
      <c r="G99" s="10" t="s">
        <v>898</v>
      </c>
      <c r="H99" s="10" t="s">
        <v>899</v>
      </c>
      <c r="J99" t="s">
        <v>876</v>
      </c>
    </row>
    <row r="100" spans="1:10">
      <c r="A100" t="s">
        <v>1211</v>
      </c>
      <c r="B100">
        <v>99</v>
      </c>
      <c r="C100" t="s">
        <v>1211</v>
      </c>
      <c r="D100" t="s">
        <v>1210</v>
      </c>
      <c r="E100" t="s">
        <v>1015</v>
      </c>
      <c r="F100" s="8" t="s">
        <v>872</v>
      </c>
      <c r="G100" s="10" t="s">
        <v>886</v>
      </c>
      <c r="H100" s="10" t="s">
        <v>1212</v>
      </c>
      <c r="I100" s="11" t="s">
        <v>888</v>
      </c>
      <c r="J100" t="s">
        <v>876</v>
      </c>
    </row>
    <row r="101" spans="1:10">
      <c r="A101" t="s">
        <v>1213</v>
      </c>
      <c r="B101">
        <v>100</v>
      </c>
      <c r="C101" t="s">
        <v>1213</v>
      </c>
      <c r="D101" t="s">
        <v>1210</v>
      </c>
      <c r="E101" t="s">
        <v>1015</v>
      </c>
      <c r="F101" s="8" t="s">
        <v>872</v>
      </c>
      <c r="G101" s="10" t="s">
        <v>886</v>
      </c>
      <c r="H101" s="10" t="s">
        <v>1214</v>
      </c>
      <c r="I101" s="11" t="s">
        <v>888</v>
      </c>
      <c r="J101" t="s">
        <v>876</v>
      </c>
    </row>
    <row r="102" spans="1:10">
      <c r="A102" t="s">
        <v>1215</v>
      </c>
      <c r="B102">
        <v>101</v>
      </c>
      <c r="C102" t="s">
        <v>1215</v>
      </c>
      <c r="D102" t="s">
        <v>1210</v>
      </c>
      <c r="E102" t="s">
        <v>1015</v>
      </c>
      <c r="F102" s="7" t="s">
        <v>880</v>
      </c>
      <c r="G102" s="10" t="s">
        <v>906</v>
      </c>
      <c r="H102" s="10" t="s">
        <v>907</v>
      </c>
      <c r="J102" t="s">
        <v>884</v>
      </c>
    </row>
    <row r="103" spans="1:10">
      <c r="A103" t="s">
        <v>1216</v>
      </c>
      <c r="B103">
        <v>102</v>
      </c>
      <c r="C103" t="s">
        <v>1217</v>
      </c>
      <c r="D103" t="s">
        <v>1210</v>
      </c>
      <c r="E103" t="s">
        <v>1015</v>
      </c>
      <c r="F103" s="8" t="s">
        <v>872</v>
      </c>
      <c r="G103" s="10" t="s">
        <v>898</v>
      </c>
      <c r="H103" s="10" t="s">
        <v>899</v>
      </c>
      <c r="J103" t="s">
        <v>876</v>
      </c>
    </row>
    <row r="104" spans="1:10">
      <c r="A104" t="s">
        <v>1218</v>
      </c>
      <c r="B104">
        <v>103</v>
      </c>
      <c r="C104" t="s">
        <v>1219</v>
      </c>
      <c r="D104" t="s">
        <v>1220</v>
      </c>
      <c r="E104" t="s">
        <v>1015</v>
      </c>
      <c r="F104" s="7" t="s">
        <v>880</v>
      </c>
      <c r="G104" s="10" t="s">
        <v>906</v>
      </c>
      <c r="H104" s="10" t="s">
        <v>907</v>
      </c>
      <c r="J104" t="s">
        <v>884</v>
      </c>
    </row>
    <row r="105" spans="1:10">
      <c r="A105" t="s">
        <v>1221</v>
      </c>
      <c r="B105">
        <v>104</v>
      </c>
      <c r="C105" t="s">
        <v>1222</v>
      </c>
      <c r="D105" t="s">
        <v>1210</v>
      </c>
      <c r="E105" t="s">
        <v>1015</v>
      </c>
      <c r="F105" s="8" t="s">
        <v>872</v>
      </c>
      <c r="G105" s="10" t="s">
        <v>898</v>
      </c>
      <c r="H105" s="10" t="s">
        <v>899</v>
      </c>
      <c r="J105" t="s">
        <v>876</v>
      </c>
    </row>
    <row r="106" spans="1:10">
      <c r="A106" t="s">
        <v>1223</v>
      </c>
      <c r="B106">
        <v>105</v>
      </c>
      <c r="C106" t="s">
        <v>1224</v>
      </c>
      <c r="D106" t="s">
        <v>1210</v>
      </c>
      <c r="E106" t="s">
        <v>1015</v>
      </c>
      <c r="F106" s="8" t="s">
        <v>872</v>
      </c>
      <c r="G106" s="10" t="s">
        <v>886</v>
      </c>
      <c r="H106" s="10" t="s">
        <v>1225</v>
      </c>
      <c r="I106" s="11" t="s">
        <v>888</v>
      </c>
      <c r="J106" t="s">
        <v>876</v>
      </c>
    </row>
    <row r="107" spans="1:10">
      <c r="A107" t="s">
        <v>1226</v>
      </c>
      <c r="B107">
        <v>106</v>
      </c>
      <c r="C107" t="s">
        <v>212</v>
      </c>
      <c r="D107" t="s">
        <v>1210</v>
      </c>
      <c r="E107" t="s">
        <v>1015</v>
      </c>
      <c r="F107" s="8" t="s">
        <v>872</v>
      </c>
      <c r="G107" s="10" t="s">
        <v>898</v>
      </c>
      <c r="H107" s="10" t="s">
        <v>899</v>
      </c>
      <c r="J107" t="s">
        <v>876</v>
      </c>
    </row>
    <row r="108" spans="1:10">
      <c r="A108" t="s">
        <v>1227</v>
      </c>
      <c r="B108">
        <v>107</v>
      </c>
      <c r="C108" t="s">
        <v>1228</v>
      </c>
      <c r="D108" t="s">
        <v>1210</v>
      </c>
      <c r="E108" t="s">
        <v>1015</v>
      </c>
      <c r="F108" s="8" t="s">
        <v>872</v>
      </c>
      <c r="G108" s="10" t="s">
        <v>898</v>
      </c>
      <c r="H108" s="10" t="s">
        <v>899</v>
      </c>
      <c r="J108" t="s">
        <v>876</v>
      </c>
    </row>
    <row r="109" spans="1:10">
      <c r="A109" t="s">
        <v>1229</v>
      </c>
      <c r="B109">
        <v>108</v>
      </c>
      <c r="C109" t="s">
        <v>1230</v>
      </c>
      <c r="D109" t="s">
        <v>1210</v>
      </c>
      <c r="E109" t="s">
        <v>1015</v>
      </c>
      <c r="F109" s="12" t="s">
        <v>1231</v>
      </c>
      <c r="G109" s="13" t="s">
        <v>1231</v>
      </c>
      <c r="H109" s="12" t="s">
        <v>1231</v>
      </c>
    </row>
    <row r="110" spans="1:10">
      <c r="A110" t="s">
        <v>1232</v>
      </c>
      <c r="B110">
        <v>109</v>
      </c>
      <c r="C110" t="s">
        <v>1232</v>
      </c>
      <c r="D110" t="s">
        <v>1233</v>
      </c>
      <c r="E110" t="s">
        <v>894</v>
      </c>
      <c r="F110" s="8" t="s">
        <v>872</v>
      </c>
      <c r="G110" s="10" t="s">
        <v>895</v>
      </c>
      <c r="H110" s="10" t="s">
        <v>1234</v>
      </c>
      <c r="J110" t="s">
        <v>876</v>
      </c>
    </row>
    <row r="111" spans="1:10">
      <c r="A111" t="s">
        <v>1235</v>
      </c>
      <c r="B111">
        <v>110</v>
      </c>
      <c r="C111" t="s">
        <v>1235</v>
      </c>
      <c r="D111" t="s">
        <v>1233</v>
      </c>
      <c r="E111" t="s">
        <v>894</v>
      </c>
      <c r="F111" s="8" t="s">
        <v>872</v>
      </c>
      <c r="G111" s="10" t="s">
        <v>895</v>
      </c>
      <c r="H111" s="10" t="s">
        <v>1234</v>
      </c>
      <c r="J111" t="s">
        <v>876</v>
      </c>
    </row>
    <row r="112" spans="1:10">
      <c r="A112" t="s">
        <v>1236</v>
      </c>
      <c r="B112">
        <v>111</v>
      </c>
      <c r="C112" t="s">
        <v>1237</v>
      </c>
      <c r="D112" t="s">
        <v>1220</v>
      </c>
      <c r="E112" t="s">
        <v>894</v>
      </c>
      <c r="F112" s="8" t="s">
        <v>872</v>
      </c>
      <c r="G112" s="10" t="s">
        <v>895</v>
      </c>
      <c r="H112" s="10" t="s">
        <v>1238</v>
      </c>
      <c r="J112" t="s">
        <v>876</v>
      </c>
    </row>
    <row r="113" spans="1:10">
      <c r="A113" t="s">
        <v>1239</v>
      </c>
      <c r="B113">
        <v>112</v>
      </c>
      <c r="C113" t="s">
        <v>1240</v>
      </c>
      <c r="D113" t="s">
        <v>1241</v>
      </c>
      <c r="E113" t="s">
        <v>894</v>
      </c>
      <c r="F113" s="8" t="s">
        <v>872</v>
      </c>
      <c r="G113" s="10" t="s">
        <v>898</v>
      </c>
      <c r="H113" s="10" t="s">
        <v>899</v>
      </c>
      <c r="J113" t="s">
        <v>876</v>
      </c>
    </row>
    <row r="114" spans="1:10">
      <c r="A114" t="s">
        <v>69</v>
      </c>
      <c r="B114">
        <v>113</v>
      </c>
      <c r="C114" t="s">
        <v>1242</v>
      </c>
      <c r="D114" t="s">
        <v>1243</v>
      </c>
      <c r="E114" t="s">
        <v>894</v>
      </c>
      <c r="F114" s="8" t="s">
        <v>872</v>
      </c>
      <c r="G114" s="5" t="s">
        <v>889</v>
      </c>
      <c r="H114" s="10" t="s">
        <v>890</v>
      </c>
      <c r="J114" t="s">
        <v>884</v>
      </c>
    </row>
    <row r="115" spans="1:10">
      <c r="A115" t="s">
        <v>1244</v>
      </c>
      <c r="B115">
        <v>114</v>
      </c>
      <c r="C115" t="s">
        <v>1245</v>
      </c>
      <c r="D115" t="s">
        <v>1233</v>
      </c>
      <c r="E115" t="s">
        <v>894</v>
      </c>
      <c r="F115" s="8" t="s">
        <v>872</v>
      </c>
      <c r="G115" s="10" t="s">
        <v>898</v>
      </c>
      <c r="H115" s="10" t="s">
        <v>899</v>
      </c>
      <c r="J115" t="s">
        <v>876</v>
      </c>
    </row>
    <row r="116" spans="1:10">
      <c r="A116" t="s">
        <v>1246</v>
      </c>
      <c r="B116">
        <v>115</v>
      </c>
      <c r="C116" t="s">
        <v>1245</v>
      </c>
      <c r="D116" t="s">
        <v>1233</v>
      </c>
      <c r="E116" t="s">
        <v>894</v>
      </c>
      <c r="F116" s="8" t="s">
        <v>872</v>
      </c>
      <c r="G116" s="10" t="s">
        <v>898</v>
      </c>
      <c r="H116" s="10" t="s">
        <v>899</v>
      </c>
      <c r="J116" t="s">
        <v>876</v>
      </c>
    </row>
    <row r="117" spans="1:10">
      <c r="A117" t="s">
        <v>1247</v>
      </c>
      <c r="B117">
        <v>116</v>
      </c>
      <c r="C117" t="s">
        <v>1245</v>
      </c>
      <c r="D117" t="s">
        <v>1233</v>
      </c>
      <c r="E117" t="s">
        <v>894</v>
      </c>
      <c r="F117" s="8" t="s">
        <v>872</v>
      </c>
      <c r="G117" s="10" t="s">
        <v>898</v>
      </c>
      <c r="H117" s="10" t="s">
        <v>899</v>
      </c>
      <c r="J117" t="s">
        <v>876</v>
      </c>
    </row>
    <row r="118" spans="1:10">
      <c r="A118" t="s">
        <v>1248</v>
      </c>
      <c r="B118">
        <v>117</v>
      </c>
      <c r="C118" t="s">
        <v>1248</v>
      </c>
      <c r="D118" t="s">
        <v>1233</v>
      </c>
      <c r="E118" t="s">
        <v>894</v>
      </c>
      <c r="F118" s="8" t="s">
        <v>872</v>
      </c>
      <c r="G118" s="10" t="s">
        <v>895</v>
      </c>
      <c r="H118" s="10" t="s">
        <v>1249</v>
      </c>
      <c r="J118" t="s">
        <v>876</v>
      </c>
    </row>
    <row r="119" spans="1:10">
      <c r="A119" t="s">
        <v>1250</v>
      </c>
      <c r="B119">
        <v>118</v>
      </c>
      <c r="C119" t="s">
        <v>1250</v>
      </c>
      <c r="D119" t="s">
        <v>1243</v>
      </c>
      <c r="E119" t="s">
        <v>894</v>
      </c>
      <c r="F119" s="8" t="s">
        <v>872</v>
      </c>
      <c r="G119" s="10" t="s">
        <v>898</v>
      </c>
      <c r="H119" s="10" t="s">
        <v>899</v>
      </c>
      <c r="J119" t="s">
        <v>876</v>
      </c>
    </row>
    <row r="120" spans="1:10">
      <c r="A120" t="s">
        <v>1251</v>
      </c>
      <c r="B120">
        <v>119</v>
      </c>
      <c r="C120" t="s">
        <v>1251</v>
      </c>
      <c r="D120" t="s">
        <v>1243</v>
      </c>
      <c r="E120" t="s">
        <v>894</v>
      </c>
      <c r="F120" s="8" t="s">
        <v>872</v>
      </c>
      <c r="G120" s="10" t="s">
        <v>898</v>
      </c>
      <c r="H120" s="10" t="s">
        <v>899</v>
      </c>
      <c r="J120" t="s">
        <v>876</v>
      </c>
    </row>
    <row r="121" spans="1:10">
      <c r="A121" t="s">
        <v>1252</v>
      </c>
      <c r="B121">
        <v>120</v>
      </c>
      <c r="C121" t="s">
        <v>1252</v>
      </c>
      <c r="D121" t="s">
        <v>1243</v>
      </c>
      <c r="E121" t="s">
        <v>894</v>
      </c>
      <c r="F121" s="8" t="s">
        <v>872</v>
      </c>
      <c r="G121" s="10" t="s">
        <v>898</v>
      </c>
      <c r="H121" s="10" t="s">
        <v>899</v>
      </c>
      <c r="J121" t="s">
        <v>876</v>
      </c>
    </row>
    <row r="122" spans="1:10">
      <c r="A122" t="s">
        <v>1253</v>
      </c>
      <c r="B122">
        <v>121</v>
      </c>
      <c r="C122" t="s">
        <v>1254</v>
      </c>
      <c r="D122" t="s">
        <v>1178</v>
      </c>
      <c r="E122" t="s">
        <v>894</v>
      </c>
      <c r="F122" s="8" t="s">
        <v>872</v>
      </c>
      <c r="G122" s="10" t="s">
        <v>898</v>
      </c>
      <c r="H122" s="10" t="s">
        <v>899</v>
      </c>
      <c r="J122" t="s">
        <v>876</v>
      </c>
    </row>
    <row r="123" spans="1:10">
      <c r="A123" t="s">
        <v>227</v>
      </c>
      <c r="B123">
        <v>122</v>
      </c>
      <c r="C123" t="s">
        <v>1255</v>
      </c>
      <c r="D123" t="s">
        <v>1233</v>
      </c>
      <c r="E123" t="s">
        <v>894</v>
      </c>
      <c r="F123" s="8" t="s">
        <v>872</v>
      </c>
      <c r="G123" s="10" t="s">
        <v>889</v>
      </c>
      <c r="H123" s="10" t="s">
        <v>890</v>
      </c>
      <c r="J123" t="s">
        <v>884</v>
      </c>
    </row>
    <row r="124" spans="1:10">
      <c r="A124" t="s">
        <v>1256</v>
      </c>
      <c r="B124">
        <v>123</v>
      </c>
      <c r="C124" t="s">
        <v>35</v>
      </c>
      <c r="D124" t="s">
        <v>1257</v>
      </c>
      <c r="E124" t="s">
        <v>871</v>
      </c>
      <c r="F124" s="8" t="s">
        <v>872</v>
      </c>
      <c r="G124" s="5" t="s">
        <v>929</v>
      </c>
      <c r="H124" s="10" t="s">
        <v>930</v>
      </c>
      <c r="J124" t="s">
        <v>876</v>
      </c>
    </row>
    <row r="125" spans="1:10">
      <c r="A125" t="s">
        <v>1258</v>
      </c>
      <c r="B125">
        <v>124</v>
      </c>
      <c r="C125" t="s">
        <v>1258</v>
      </c>
      <c r="D125" t="s">
        <v>1257</v>
      </c>
      <c r="E125" t="s">
        <v>871</v>
      </c>
      <c r="F125" s="8" t="s">
        <v>872</v>
      </c>
      <c r="G125" s="10" t="s">
        <v>895</v>
      </c>
      <c r="H125" s="10" t="s">
        <v>933</v>
      </c>
      <c r="J125" t="s">
        <v>876</v>
      </c>
    </row>
    <row r="126" spans="1:10">
      <c r="A126" t="s">
        <v>1259</v>
      </c>
      <c r="B126">
        <v>125</v>
      </c>
      <c r="C126" t="s">
        <v>1259</v>
      </c>
      <c r="D126" t="s">
        <v>1257</v>
      </c>
      <c r="E126" t="s">
        <v>871</v>
      </c>
      <c r="F126" s="8" t="s">
        <v>872</v>
      </c>
      <c r="G126" s="10" t="s">
        <v>895</v>
      </c>
      <c r="H126" s="10" t="s">
        <v>933</v>
      </c>
      <c r="J126" t="s">
        <v>876</v>
      </c>
    </row>
    <row r="127" spans="1:10">
      <c r="A127" t="s">
        <v>1260</v>
      </c>
      <c r="B127">
        <v>126</v>
      </c>
      <c r="C127" t="s">
        <v>1260</v>
      </c>
      <c r="D127" t="s">
        <v>1261</v>
      </c>
      <c r="E127" t="s">
        <v>871</v>
      </c>
      <c r="F127" s="8" t="s">
        <v>872</v>
      </c>
      <c r="G127" s="10" t="s">
        <v>895</v>
      </c>
      <c r="H127" s="10" t="s">
        <v>1262</v>
      </c>
      <c r="J127" t="s">
        <v>876</v>
      </c>
    </row>
    <row r="128" spans="1:10">
      <c r="A128" t="s">
        <v>1263</v>
      </c>
      <c r="B128">
        <v>127</v>
      </c>
      <c r="C128" t="s">
        <v>184</v>
      </c>
      <c r="D128" t="s">
        <v>1264</v>
      </c>
      <c r="E128" t="s">
        <v>871</v>
      </c>
      <c r="F128" s="8" t="s">
        <v>872</v>
      </c>
      <c r="G128" s="10" t="s">
        <v>889</v>
      </c>
      <c r="H128" s="10" t="s">
        <v>890</v>
      </c>
      <c r="J128" t="s">
        <v>876</v>
      </c>
    </row>
    <row r="129" spans="1:10">
      <c r="A129" t="s">
        <v>1265</v>
      </c>
      <c r="B129">
        <v>128</v>
      </c>
      <c r="C129" t="s">
        <v>1265</v>
      </c>
      <c r="D129" t="s">
        <v>1266</v>
      </c>
      <c r="E129" t="s">
        <v>871</v>
      </c>
      <c r="F129" s="7" t="s">
        <v>880</v>
      </c>
      <c r="G129" s="10" t="s">
        <v>906</v>
      </c>
      <c r="H129" s="10" t="s">
        <v>907</v>
      </c>
      <c r="J129" t="s">
        <v>884</v>
      </c>
    </row>
    <row r="130" spans="1:10">
      <c r="A130" t="s">
        <v>1267</v>
      </c>
      <c r="B130">
        <v>129</v>
      </c>
      <c r="C130" t="s">
        <v>1268</v>
      </c>
      <c r="D130" t="s">
        <v>1269</v>
      </c>
      <c r="E130" t="s">
        <v>1011</v>
      </c>
      <c r="F130" s="8" t="s">
        <v>872</v>
      </c>
      <c r="G130" s="10" t="s">
        <v>895</v>
      </c>
      <c r="H130" s="10" t="s">
        <v>1270</v>
      </c>
      <c r="J130" t="s">
        <v>884</v>
      </c>
    </row>
    <row r="131" spans="1:10">
      <c r="A131" t="s">
        <v>1271</v>
      </c>
      <c r="B131">
        <v>130</v>
      </c>
      <c r="C131" t="s">
        <v>1268</v>
      </c>
      <c r="D131" t="s">
        <v>1269</v>
      </c>
      <c r="E131" t="s">
        <v>1011</v>
      </c>
      <c r="F131" s="8" t="s">
        <v>872</v>
      </c>
      <c r="G131" s="10" t="s">
        <v>895</v>
      </c>
      <c r="H131" s="10" t="s">
        <v>1270</v>
      </c>
      <c r="J131" t="s">
        <v>884</v>
      </c>
    </row>
    <row r="132" spans="1:10">
      <c r="A132" t="s">
        <v>1272</v>
      </c>
      <c r="B132">
        <v>131</v>
      </c>
      <c r="C132" t="s">
        <v>1273</v>
      </c>
      <c r="D132" t="s">
        <v>1269</v>
      </c>
      <c r="E132" t="s">
        <v>1011</v>
      </c>
      <c r="F132" s="8" t="s">
        <v>872</v>
      </c>
      <c r="G132" s="10" t="s">
        <v>895</v>
      </c>
      <c r="H132" s="10" t="s">
        <v>1270</v>
      </c>
      <c r="J132" t="s">
        <v>884</v>
      </c>
    </row>
    <row r="133" spans="1:10">
      <c r="A133" t="s">
        <v>1274</v>
      </c>
      <c r="B133">
        <v>132</v>
      </c>
      <c r="C133" t="s">
        <v>1275</v>
      </c>
      <c r="D133" t="s">
        <v>1276</v>
      </c>
      <c r="E133" t="s">
        <v>956</v>
      </c>
      <c r="F133" s="8" t="s">
        <v>872</v>
      </c>
      <c r="G133" s="10" t="s">
        <v>878</v>
      </c>
      <c r="H133" s="10" t="s">
        <v>879</v>
      </c>
      <c r="J133" t="s">
        <v>876</v>
      </c>
    </row>
    <row r="134" spans="1:10">
      <c r="A134" t="s">
        <v>1277</v>
      </c>
      <c r="B134">
        <v>133</v>
      </c>
      <c r="C134" t="s">
        <v>1278</v>
      </c>
      <c r="D134" t="s">
        <v>1279</v>
      </c>
      <c r="E134" t="s">
        <v>956</v>
      </c>
      <c r="F134" s="8" t="s">
        <v>872</v>
      </c>
      <c r="G134" s="10" t="s">
        <v>895</v>
      </c>
      <c r="H134" s="10" t="s">
        <v>1280</v>
      </c>
      <c r="J134" t="s">
        <v>884</v>
      </c>
    </row>
    <row r="135" spans="1:10">
      <c r="A135" t="s">
        <v>1281</v>
      </c>
      <c r="B135">
        <v>134</v>
      </c>
      <c r="C135" t="s">
        <v>1282</v>
      </c>
      <c r="D135" t="s">
        <v>1279</v>
      </c>
      <c r="E135" t="s">
        <v>956</v>
      </c>
      <c r="F135" s="8" t="s">
        <v>872</v>
      </c>
      <c r="G135" s="10" t="s">
        <v>895</v>
      </c>
      <c r="H135" s="10" t="s">
        <v>1280</v>
      </c>
      <c r="J135" t="s">
        <v>884</v>
      </c>
    </row>
    <row r="136" spans="1:10">
      <c r="A136" t="s">
        <v>1283</v>
      </c>
      <c r="B136">
        <v>135</v>
      </c>
      <c r="C136" t="s">
        <v>1284</v>
      </c>
      <c r="D136" t="s">
        <v>1285</v>
      </c>
      <c r="E136" t="s">
        <v>1013</v>
      </c>
      <c r="F136" s="8" t="s">
        <v>872</v>
      </c>
      <c r="G136" s="10" t="s">
        <v>895</v>
      </c>
      <c r="H136" s="10" t="s">
        <v>1286</v>
      </c>
      <c r="J136" t="s">
        <v>915</v>
      </c>
    </row>
    <row r="137" spans="1:10">
      <c r="A137" t="s">
        <v>1287</v>
      </c>
      <c r="B137">
        <v>136</v>
      </c>
      <c r="C137" t="s">
        <v>37</v>
      </c>
      <c r="D137" t="s">
        <v>1257</v>
      </c>
      <c r="E137" t="s">
        <v>1017</v>
      </c>
      <c r="F137" s="8" t="s">
        <v>872</v>
      </c>
      <c r="G137" s="5" t="s">
        <v>929</v>
      </c>
      <c r="H137" s="10" t="s">
        <v>930</v>
      </c>
      <c r="J137" t="s">
        <v>884</v>
      </c>
    </row>
    <row r="138" spans="1:10">
      <c r="A138" t="s">
        <v>37</v>
      </c>
      <c r="B138">
        <v>137</v>
      </c>
      <c r="C138" t="s">
        <v>37</v>
      </c>
      <c r="D138" t="s">
        <v>1257</v>
      </c>
      <c r="E138" t="s">
        <v>1017</v>
      </c>
      <c r="F138" s="8" t="s">
        <v>872</v>
      </c>
      <c r="G138" s="5" t="s">
        <v>929</v>
      </c>
      <c r="H138" s="10" t="s">
        <v>930</v>
      </c>
      <c r="J138" t="s">
        <v>884</v>
      </c>
    </row>
    <row r="139" spans="1:10">
      <c r="A139" t="s">
        <v>1288</v>
      </c>
      <c r="B139">
        <v>138</v>
      </c>
      <c r="C139" t="s">
        <v>39</v>
      </c>
      <c r="D139" t="s">
        <v>1257</v>
      </c>
      <c r="E139" t="s">
        <v>1017</v>
      </c>
      <c r="F139" s="8" t="s">
        <v>872</v>
      </c>
      <c r="G139" s="10" t="s">
        <v>895</v>
      </c>
      <c r="H139" s="10" t="s">
        <v>933</v>
      </c>
      <c r="J139" t="s">
        <v>884</v>
      </c>
    </row>
    <row r="140" spans="1:10">
      <c r="A140" t="s">
        <v>1289</v>
      </c>
      <c r="B140">
        <v>139</v>
      </c>
      <c r="C140" t="s">
        <v>40</v>
      </c>
      <c r="D140" t="s">
        <v>1257</v>
      </c>
      <c r="E140" t="s">
        <v>1017</v>
      </c>
      <c r="F140" s="8" t="s">
        <v>872</v>
      </c>
      <c r="G140" s="10" t="s">
        <v>895</v>
      </c>
      <c r="H140" s="10" t="s">
        <v>933</v>
      </c>
      <c r="J140" t="s">
        <v>884</v>
      </c>
    </row>
    <row r="141" spans="1:10">
      <c r="A141" t="s">
        <v>39</v>
      </c>
      <c r="B141">
        <v>140</v>
      </c>
      <c r="C141" t="s">
        <v>39</v>
      </c>
      <c r="D141" t="s">
        <v>1257</v>
      </c>
      <c r="E141" t="s">
        <v>1017</v>
      </c>
      <c r="F141" s="8" t="s">
        <v>872</v>
      </c>
      <c r="G141" s="10" t="s">
        <v>895</v>
      </c>
      <c r="H141" s="10" t="s">
        <v>934</v>
      </c>
      <c r="J141" t="s">
        <v>884</v>
      </c>
    </row>
    <row r="142" spans="1:10">
      <c r="A142" t="s">
        <v>40</v>
      </c>
      <c r="B142">
        <v>141</v>
      </c>
      <c r="C142" t="s">
        <v>40</v>
      </c>
      <c r="D142" t="s">
        <v>1257</v>
      </c>
      <c r="E142" t="s">
        <v>1017</v>
      </c>
      <c r="F142" s="8" t="s">
        <v>872</v>
      </c>
      <c r="G142" s="10" t="s">
        <v>895</v>
      </c>
      <c r="H142" s="10" t="s">
        <v>934</v>
      </c>
      <c r="J142" t="s">
        <v>884</v>
      </c>
    </row>
    <row r="143" spans="1:10">
      <c r="A143" t="s">
        <v>1290</v>
      </c>
      <c r="B143">
        <v>142</v>
      </c>
      <c r="C143" t="s">
        <v>1291</v>
      </c>
      <c r="D143" t="s">
        <v>1292</v>
      </c>
      <c r="E143" t="s">
        <v>1017</v>
      </c>
      <c r="F143" s="8" t="s">
        <v>872</v>
      </c>
      <c r="G143" s="10" t="s">
        <v>898</v>
      </c>
      <c r="H143" s="10" t="s">
        <v>899</v>
      </c>
      <c r="J143" t="s">
        <v>876</v>
      </c>
    </row>
    <row r="144" spans="1:10">
      <c r="A144" t="s">
        <v>1293</v>
      </c>
      <c r="B144">
        <v>143</v>
      </c>
      <c r="C144" t="s">
        <v>149</v>
      </c>
      <c r="D144" t="s">
        <v>1294</v>
      </c>
      <c r="E144" t="s">
        <v>1017</v>
      </c>
      <c r="F144" s="8" t="s">
        <v>872</v>
      </c>
      <c r="G144" s="5" t="s">
        <v>873</v>
      </c>
      <c r="H144" s="10" t="s">
        <v>874</v>
      </c>
      <c r="J144" t="s">
        <v>876</v>
      </c>
    </row>
    <row r="145" spans="1:10">
      <c r="A145" t="s">
        <v>149</v>
      </c>
      <c r="B145">
        <v>144</v>
      </c>
      <c r="C145" t="s">
        <v>149</v>
      </c>
      <c r="D145" t="s">
        <v>1294</v>
      </c>
      <c r="E145" t="s">
        <v>1017</v>
      </c>
      <c r="F145" s="8" t="s">
        <v>872</v>
      </c>
      <c r="G145" s="5" t="s">
        <v>873</v>
      </c>
      <c r="H145" s="10" t="s">
        <v>874</v>
      </c>
      <c r="J145" t="s">
        <v>876</v>
      </c>
    </row>
    <row r="146" spans="1:10">
      <c r="A146" t="s">
        <v>1295</v>
      </c>
      <c r="B146">
        <v>145</v>
      </c>
      <c r="C146" t="s">
        <v>1296</v>
      </c>
      <c r="D146" t="s">
        <v>1292</v>
      </c>
      <c r="E146" t="s">
        <v>1017</v>
      </c>
      <c r="F146" s="8" t="s">
        <v>872</v>
      </c>
      <c r="G146" s="10" t="s">
        <v>898</v>
      </c>
      <c r="H146" s="10" t="s">
        <v>899</v>
      </c>
      <c r="J146" t="s">
        <v>876</v>
      </c>
    </row>
    <row r="147" spans="1:10">
      <c r="A147" t="s">
        <v>227</v>
      </c>
      <c r="B147">
        <v>146</v>
      </c>
      <c r="C147" t="s">
        <v>227</v>
      </c>
      <c r="D147" t="s">
        <v>1292</v>
      </c>
      <c r="E147" t="s">
        <v>1017</v>
      </c>
      <c r="F147" s="8" t="s">
        <v>872</v>
      </c>
      <c r="G147" s="10" t="s">
        <v>889</v>
      </c>
      <c r="H147" s="10" t="s">
        <v>890</v>
      </c>
      <c r="J147" t="s">
        <v>884</v>
      </c>
    </row>
    <row r="149" spans="1:10">
      <c r="C149" s="3" t="s">
        <v>935</v>
      </c>
      <c r="D149" s="3" t="s">
        <v>936</v>
      </c>
    </row>
    <row r="150" spans="1:10">
      <c r="C150" t="s">
        <v>1025</v>
      </c>
      <c r="D150" t="s">
        <v>941</v>
      </c>
    </row>
    <row r="151" spans="1:10">
      <c r="C151" t="s">
        <v>1135</v>
      </c>
      <c r="D151" t="s">
        <v>1009</v>
      </c>
    </row>
    <row r="152" spans="1:10">
      <c r="C152" t="s">
        <v>871</v>
      </c>
      <c r="D152" t="s">
        <v>939</v>
      </c>
    </row>
    <row r="153" spans="1:10">
      <c r="C153" t="s">
        <v>1011</v>
      </c>
      <c r="D153" t="s">
        <v>1012</v>
      </c>
    </row>
    <row r="154" spans="1:10">
      <c r="C154" t="s">
        <v>956</v>
      </c>
      <c r="D154" t="s">
        <v>1297</v>
      </c>
    </row>
    <row r="155" spans="1:10">
      <c r="C155" t="s">
        <v>894</v>
      </c>
      <c r="D155" t="s">
        <v>941</v>
      </c>
    </row>
    <row r="156" spans="1:10">
      <c r="C156" t="s">
        <v>885</v>
      </c>
      <c r="D156" t="s">
        <v>940</v>
      </c>
    </row>
    <row r="157" spans="1:10">
      <c r="C157" t="s">
        <v>1013</v>
      </c>
      <c r="D157" t="s">
        <v>1014</v>
      </c>
    </row>
    <row r="158" spans="1:10">
      <c r="C158" t="s">
        <v>1015</v>
      </c>
      <c r="D158" t="s">
        <v>1298</v>
      </c>
    </row>
    <row r="159" spans="1:10">
      <c r="C159" t="s">
        <v>1017</v>
      </c>
      <c r="D159" t="s">
        <v>1018</v>
      </c>
    </row>
  </sheetData>
  <autoFilter ref="A1:J147" xr:uid="{E2565E78-C32E-4A53-B10B-E24CAE6AF8B8}"/>
  <sortState xmlns:xlrd2="http://schemas.microsoft.com/office/spreadsheetml/2017/richdata2" ref="A150:A295">
    <sortCondition ref="A150:A295"/>
  </sortState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57E5-E836-47EF-BDD2-DA7FDAFDB4A3}">
  <dimension ref="A1:B321"/>
  <sheetViews>
    <sheetView zoomScaleNormal="100" workbookViewId="0">
      <selection activeCell="A61" sqref="A61"/>
    </sheetView>
  </sheetViews>
  <sheetFormatPr defaultColWidth="26.28515625" defaultRowHeight="15"/>
  <cols>
    <col min="1" max="1" width="60.28515625" bestFit="1" customWidth="1"/>
    <col min="2" max="2" width="31.42578125" bestFit="1" customWidth="1"/>
  </cols>
  <sheetData>
    <row r="1" spans="1:2">
      <c r="A1" s="16" t="s">
        <v>865</v>
      </c>
      <c r="B1" s="16" t="s">
        <v>1299</v>
      </c>
    </row>
    <row r="2" spans="1:2">
      <c r="A2" s="10" t="s">
        <v>879</v>
      </c>
      <c r="B2" t="s">
        <v>1300</v>
      </c>
    </row>
    <row r="3" spans="1:2">
      <c r="A3" s="10" t="s">
        <v>887</v>
      </c>
      <c r="B3" t="s">
        <v>1301</v>
      </c>
    </row>
    <row r="4" spans="1:2">
      <c r="A4" s="10" t="s">
        <v>890</v>
      </c>
      <c r="B4" t="s">
        <v>1302</v>
      </c>
    </row>
    <row r="5" spans="1:2">
      <c r="A5" s="10" t="s">
        <v>899</v>
      </c>
      <c r="B5" t="s">
        <v>1303</v>
      </c>
    </row>
    <row r="6" spans="1:2">
      <c r="A6" s="10" t="s">
        <v>907</v>
      </c>
      <c r="B6" t="s">
        <v>1304</v>
      </c>
    </row>
    <row r="7" spans="1:2">
      <c r="A7" s="10" t="s">
        <v>909</v>
      </c>
      <c r="B7" t="s">
        <v>1305</v>
      </c>
    </row>
    <row r="8" spans="1:2">
      <c r="A8" s="10" t="s">
        <v>912</v>
      </c>
      <c r="B8" t="s">
        <v>1306</v>
      </c>
    </row>
    <row r="9" spans="1:2">
      <c r="A9" s="10" t="s">
        <v>914</v>
      </c>
      <c r="B9" t="s">
        <v>1307</v>
      </c>
    </row>
    <row r="10" spans="1:2">
      <c r="A10" s="10" t="s">
        <v>653</v>
      </c>
      <c r="B10" t="s">
        <v>1308</v>
      </c>
    </row>
    <row r="11" spans="1:2">
      <c r="A11" s="10" t="s">
        <v>919</v>
      </c>
      <c r="B11" t="s">
        <v>1309</v>
      </c>
    </row>
    <row r="12" spans="1:2">
      <c r="A12" s="10" t="s">
        <v>921</v>
      </c>
      <c r="B12" t="s">
        <v>1310</v>
      </c>
    </row>
    <row r="13" spans="1:2">
      <c r="A13" s="10" t="s">
        <v>924</v>
      </c>
      <c r="B13" t="s">
        <v>1311</v>
      </c>
    </row>
    <row r="14" spans="1:2">
      <c r="A14" s="10" t="s">
        <v>926</v>
      </c>
      <c r="B14" t="s">
        <v>1312</v>
      </c>
    </row>
    <row r="15" spans="1:2">
      <c r="A15" s="10" t="s">
        <v>617</v>
      </c>
      <c r="B15" t="s">
        <v>1313</v>
      </c>
    </row>
    <row r="16" spans="1:2">
      <c r="A16" s="10" t="s">
        <v>930</v>
      </c>
      <c r="B16" t="s">
        <v>1314</v>
      </c>
    </row>
    <row r="17" spans="1:2">
      <c r="A17" s="10" t="s">
        <v>476</v>
      </c>
      <c r="B17" t="s">
        <v>1315</v>
      </c>
    </row>
    <row r="18" spans="1:2">
      <c r="A18" s="10" t="s">
        <v>874</v>
      </c>
      <c r="B18" t="s">
        <v>1305</v>
      </c>
    </row>
    <row r="19" spans="1:2">
      <c r="A19" s="10" t="s">
        <v>933</v>
      </c>
      <c r="B19" t="s">
        <v>1316</v>
      </c>
    </row>
    <row r="20" spans="1:2">
      <c r="A20" s="10" t="s">
        <v>934</v>
      </c>
      <c r="B20" t="s">
        <v>1317</v>
      </c>
    </row>
    <row r="21" spans="1:2">
      <c r="A21" s="10" t="s">
        <v>1139</v>
      </c>
      <c r="B21" t="s">
        <v>1318</v>
      </c>
    </row>
    <row r="22" spans="1:2">
      <c r="A22" s="10" t="s">
        <v>1142</v>
      </c>
      <c r="B22" t="s">
        <v>1311</v>
      </c>
    </row>
    <row r="23" spans="1:2">
      <c r="A23" s="10" t="s">
        <v>1150</v>
      </c>
      <c r="B23" t="s">
        <v>1303</v>
      </c>
    </row>
    <row r="24" spans="1:2">
      <c r="A24" s="10" t="s">
        <v>1158</v>
      </c>
      <c r="B24" t="s">
        <v>1303</v>
      </c>
    </row>
    <row r="25" spans="1:2">
      <c r="A25" s="10" t="s">
        <v>1161</v>
      </c>
      <c r="B25" t="s">
        <v>1303</v>
      </c>
    </row>
    <row r="26" spans="1:2">
      <c r="A26" s="10" t="s">
        <v>485</v>
      </c>
      <c r="B26" t="s">
        <v>1303</v>
      </c>
    </row>
    <row r="27" spans="1:2">
      <c r="A27" s="10" t="s">
        <v>1168</v>
      </c>
      <c r="B27" t="s">
        <v>1303</v>
      </c>
    </row>
    <row r="28" spans="1:2">
      <c r="A28" s="10" t="s">
        <v>1171</v>
      </c>
      <c r="B28" t="s">
        <v>1308</v>
      </c>
    </row>
    <row r="29" spans="1:2">
      <c r="A29" s="10" t="s">
        <v>1234</v>
      </c>
      <c r="B29" t="s">
        <v>1303</v>
      </c>
    </row>
    <row r="30" spans="1:2">
      <c r="A30" s="10" t="s">
        <v>1238</v>
      </c>
      <c r="B30" t="s">
        <v>1303</v>
      </c>
    </row>
    <row r="31" spans="1:2">
      <c r="A31" s="10" t="s">
        <v>1249</v>
      </c>
      <c r="B31" t="s">
        <v>1303</v>
      </c>
    </row>
    <row r="32" spans="1:2">
      <c r="A32" s="10" t="s">
        <v>1262</v>
      </c>
      <c r="B32" t="s">
        <v>1303</v>
      </c>
    </row>
    <row r="33" spans="1:2">
      <c r="A33" s="10" t="s">
        <v>1286</v>
      </c>
      <c r="B33" t="s">
        <v>1319</v>
      </c>
    </row>
    <row r="34" spans="1:2">
      <c r="A34" s="10" t="s">
        <v>1320</v>
      </c>
      <c r="B34" t="s">
        <v>1321</v>
      </c>
    </row>
    <row r="35" spans="1:2">
      <c r="A35" s="10" t="s">
        <v>499</v>
      </c>
      <c r="B35" t="s">
        <v>1322</v>
      </c>
    </row>
    <row r="36" spans="1:2">
      <c r="A36" s="10" t="s">
        <v>893</v>
      </c>
      <c r="B36" t="s">
        <v>1323</v>
      </c>
    </row>
    <row r="37" spans="1:2">
      <c r="A37" s="10" t="s">
        <v>896</v>
      </c>
      <c r="B37" t="s">
        <v>1324</v>
      </c>
    </row>
    <row r="38" spans="1:2">
      <c r="A38" s="10" t="s">
        <v>1325</v>
      </c>
      <c r="B38" t="s">
        <v>1326</v>
      </c>
    </row>
    <row r="39" spans="1:2">
      <c r="A39" s="10" t="s">
        <v>904</v>
      </c>
      <c r="B39" t="s">
        <v>1327</v>
      </c>
    </row>
    <row r="40" spans="1:2">
      <c r="A40" s="10" t="s">
        <v>913</v>
      </c>
      <c r="B40" t="s">
        <v>1328</v>
      </c>
    </row>
    <row r="41" spans="1:2">
      <c r="A41" s="10" t="s">
        <v>917</v>
      </c>
      <c r="B41" t="s">
        <v>1329</v>
      </c>
    </row>
    <row r="42" spans="1:2">
      <c r="A42" s="10" t="s">
        <v>925</v>
      </c>
      <c r="B42" t="s">
        <v>1329</v>
      </c>
    </row>
    <row r="43" spans="1:2">
      <c r="A43" s="10" t="s">
        <v>927</v>
      </c>
      <c r="B43" t="s">
        <v>1330</v>
      </c>
    </row>
    <row r="44" spans="1:2">
      <c r="A44" s="10" t="s">
        <v>1028</v>
      </c>
      <c r="B44" t="s">
        <v>1331</v>
      </c>
    </row>
    <row r="45" spans="1:2">
      <c r="A45" s="10" t="s">
        <v>1136</v>
      </c>
      <c r="B45" t="s">
        <v>1332</v>
      </c>
    </row>
    <row r="46" spans="1:2">
      <c r="A46" s="10" t="s">
        <v>1147</v>
      </c>
      <c r="B46" t="s">
        <v>1330</v>
      </c>
    </row>
    <row r="47" spans="1:2">
      <c r="A47" s="10" t="s">
        <v>1155</v>
      </c>
      <c r="B47" t="s">
        <v>1330</v>
      </c>
    </row>
    <row r="48" spans="1:2">
      <c r="A48" s="10" t="s">
        <v>1270</v>
      </c>
      <c r="B48" t="s">
        <v>1308</v>
      </c>
    </row>
    <row r="49" spans="1:2">
      <c r="A49" s="10" t="s">
        <v>1280</v>
      </c>
      <c r="B49" t="s">
        <v>1303</v>
      </c>
    </row>
    <row r="50" spans="1:2">
      <c r="A50" s="49" t="s">
        <v>1333</v>
      </c>
      <c r="B50" t="s">
        <v>1308</v>
      </c>
    </row>
    <row r="51" spans="1:2">
      <c r="A51" s="10" t="s">
        <v>879</v>
      </c>
      <c r="B51" t="s">
        <v>1334</v>
      </c>
    </row>
    <row r="52" spans="1:2">
      <c r="A52" s="10" t="s">
        <v>883</v>
      </c>
      <c r="B52" t="s">
        <v>1335</v>
      </c>
    </row>
    <row r="53" spans="1:2">
      <c r="A53" s="10" t="s">
        <v>903</v>
      </c>
      <c r="B53" t="s">
        <v>1336</v>
      </c>
    </row>
    <row r="54" spans="1:2">
      <c r="A54" s="10" t="s">
        <v>932</v>
      </c>
      <c r="B54" t="s">
        <v>1303</v>
      </c>
    </row>
    <row r="321" spans="1:1">
      <c r="A321" s="1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F9CF-779D-40EE-85C1-B65EA8303B10}">
  <dimension ref="A1:N338"/>
  <sheetViews>
    <sheetView zoomScaleNormal="100" workbookViewId="0">
      <selection activeCell="C93" sqref="C93"/>
    </sheetView>
  </sheetViews>
  <sheetFormatPr defaultColWidth="26.28515625" defaultRowHeight="15"/>
  <cols>
    <col min="1" max="1" width="6.7109375" customWidth="1"/>
    <col min="2" max="2" width="17" customWidth="1"/>
    <col min="3" max="3" width="80.5703125" bestFit="1" customWidth="1"/>
    <col min="4" max="4" width="13.140625" style="28" customWidth="1"/>
    <col min="5" max="5" width="13.5703125" style="28" customWidth="1"/>
    <col min="6" max="6" width="9" customWidth="1"/>
    <col min="7" max="7" width="13.5703125" customWidth="1"/>
    <col min="9" max="9" width="60.28515625" bestFit="1" customWidth="1"/>
    <col min="11" max="11" width="45.7109375" bestFit="1" customWidth="1"/>
    <col min="13" max="13" width="26.28515625" style="5"/>
    <col min="14" max="14" width="31.42578125" bestFit="1" customWidth="1"/>
  </cols>
  <sheetData>
    <row r="1" spans="1:14">
      <c r="A1" s="14" t="s">
        <v>858</v>
      </c>
      <c r="B1" s="14" t="s">
        <v>1337</v>
      </c>
      <c r="C1" s="14" t="s">
        <v>859</v>
      </c>
      <c r="D1" s="25" t="s">
        <v>860</v>
      </c>
      <c r="E1" s="25" t="s">
        <v>861</v>
      </c>
      <c r="F1" s="14" t="s">
        <v>862</v>
      </c>
      <c r="G1" s="14" t="s">
        <v>863</v>
      </c>
      <c r="H1" s="15" t="s">
        <v>864</v>
      </c>
      <c r="I1" s="16" t="s">
        <v>865</v>
      </c>
      <c r="J1" s="16" t="s">
        <v>870</v>
      </c>
      <c r="K1" s="16" t="s">
        <v>1338</v>
      </c>
      <c r="L1" s="16" t="s">
        <v>1339</v>
      </c>
      <c r="M1" s="16" t="s">
        <v>1340</v>
      </c>
      <c r="N1" s="16" t="s">
        <v>1299</v>
      </c>
    </row>
    <row r="2" spans="1:14" hidden="1">
      <c r="A2" s="24">
        <v>12</v>
      </c>
      <c r="B2" s="46">
        <v>46072</v>
      </c>
      <c r="C2" s="29" t="s">
        <v>16</v>
      </c>
      <c r="D2" s="2">
        <v>41</v>
      </c>
      <c r="E2" s="2">
        <v>11</v>
      </c>
      <c r="F2" s="2" t="s">
        <v>871</v>
      </c>
      <c r="G2" s="8" t="s">
        <v>872</v>
      </c>
      <c r="H2" s="5" t="s">
        <v>892</v>
      </c>
      <c r="I2" s="10" t="s">
        <v>893</v>
      </c>
      <c r="J2" t="s">
        <v>884</v>
      </c>
      <c r="K2" t="s">
        <v>1341</v>
      </c>
      <c r="L2" t="s">
        <v>1342</v>
      </c>
      <c r="N2" t="s">
        <v>1323</v>
      </c>
    </row>
    <row r="3" spans="1:14" hidden="1">
      <c r="A3">
        <v>31</v>
      </c>
      <c r="B3" s="47">
        <v>46056</v>
      </c>
      <c r="C3" t="s">
        <v>10</v>
      </c>
      <c r="D3" s="2">
        <v>10</v>
      </c>
      <c r="E3" s="2">
        <v>1</v>
      </c>
      <c r="F3" s="2" t="s">
        <v>871</v>
      </c>
      <c r="G3" s="8" t="s">
        <v>872</v>
      </c>
      <c r="H3" s="5" t="s">
        <v>892</v>
      </c>
      <c r="I3" s="10" t="s">
        <v>893</v>
      </c>
      <c r="J3" t="s">
        <v>884</v>
      </c>
      <c r="K3" t="s">
        <v>1341</v>
      </c>
      <c r="L3" t="s">
        <v>1342</v>
      </c>
      <c r="N3" t="s">
        <v>1323</v>
      </c>
    </row>
    <row r="4" spans="1:14" hidden="1">
      <c r="A4">
        <v>75</v>
      </c>
      <c r="B4" s="47">
        <v>46063</v>
      </c>
      <c r="C4" t="s">
        <v>14</v>
      </c>
      <c r="D4" s="2">
        <v>4</v>
      </c>
      <c r="E4" s="2">
        <v>1</v>
      </c>
      <c r="F4" s="2" t="s">
        <v>871</v>
      </c>
      <c r="G4" s="7" t="s">
        <v>880</v>
      </c>
      <c r="H4" s="5" t="s">
        <v>892</v>
      </c>
      <c r="I4" s="10" t="s">
        <v>893</v>
      </c>
      <c r="J4" t="s">
        <v>884</v>
      </c>
      <c r="K4" t="s">
        <v>1341</v>
      </c>
      <c r="L4" t="s">
        <v>1342</v>
      </c>
      <c r="N4" t="s">
        <v>1323</v>
      </c>
    </row>
    <row r="5" spans="1:14" hidden="1">
      <c r="A5">
        <v>112</v>
      </c>
      <c r="B5" s="47">
        <v>46064</v>
      </c>
      <c r="C5" t="s">
        <v>26</v>
      </c>
      <c r="D5" s="2">
        <v>2</v>
      </c>
      <c r="E5" s="2">
        <v>1</v>
      </c>
      <c r="F5" s="2" t="s">
        <v>871</v>
      </c>
      <c r="G5" s="8" t="s">
        <v>872</v>
      </c>
      <c r="H5" s="5" t="s">
        <v>892</v>
      </c>
      <c r="I5" s="10" t="s">
        <v>893</v>
      </c>
      <c r="J5" t="s">
        <v>884</v>
      </c>
      <c r="K5" t="s">
        <v>1341</v>
      </c>
      <c r="L5" t="s">
        <v>1342</v>
      </c>
      <c r="N5" t="s">
        <v>1323</v>
      </c>
    </row>
    <row r="6" spans="1:14" hidden="1">
      <c r="A6">
        <v>113</v>
      </c>
      <c r="B6" s="47">
        <v>46064</v>
      </c>
      <c r="C6" t="s">
        <v>12</v>
      </c>
      <c r="D6" s="2">
        <v>2</v>
      </c>
      <c r="E6" s="2">
        <v>1</v>
      </c>
      <c r="F6" s="2" t="s">
        <v>871</v>
      </c>
      <c r="G6" s="7" t="s">
        <v>880</v>
      </c>
      <c r="H6" s="5" t="s">
        <v>892</v>
      </c>
      <c r="I6" s="10" t="s">
        <v>893</v>
      </c>
      <c r="J6" t="s">
        <v>884</v>
      </c>
      <c r="K6" t="s">
        <v>1341</v>
      </c>
      <c r="L6" t="s">
        <v>1342</v>
      </c>
      <c r="N6" t="s">
        <v>1323</v>
      </c>
    </row>
    <row r="7" spans="1:14" hidden="1">
      <c r="A7">
        <v>151</v>
      </c>
      <c r="B7" s="47">
        <v>46067</v>
      </c>
      <c r="C7" t="s">
        <v>40</v>
      </c>
      <c r="D7" s="2">
        <v>1</v>
      </c>
      <c r="E7" s="2">
        <v>1</v>
      </c>
      <c r="F7" s="2" t="s">
        <v>871</v>
      </c>
      <c r="G7" s="8" t="s">
        <v>872</v>
      </c>
      <c r="H7" s="5" t="s">
        <v>918</v>
      </c>
      <c r="I7" s="10" t="s">
        <v>933</v>
      </c>
      <c r="J7" t="s">
        <v>915</v>
      </c>
      <c r="K7" t="s">
        <v>1343</v>
      </c>
      <c r="L7" t="s">
        <v>1344</v>
      </c>
      <c r="M7" s="151" t="s">
        <v>875</v>
      </c>
      <c r="N7" s="2" t="s">
        <v>1316</v>
      </c>
    </row>
    <row r="8" spans="1:14" hidden="1">
      <c r="A8">
        <v>281</v>
      </c>
      <c r="C8" t="s">
        <v>1258</v>
      </c>
      <c r="D8" s="2" t="s">
        <v>1345</v>
      </c>
      <c r="E8" s="2" t="s">
        <v>1346</v>
      </c>
      <c r="F8" s="2" t="s">
        <v>871</v>
      </c>
      <c r="G8" s="8" t="s">
        <v>872</v>
      </c>
      <c r="H8" s="10" t="s">
        <v>895</v>
      </c>
      <c r="I8" s="10" t="s">
        <v>933</v>
      </c>
      <c r="J8" t="s">
        <v>876</v>
      </c>
      <c r="K8" t="s">
        <v>1343</v>
      </c>
      <c r="L8" t="s">
        <v>1347</v>
      </c>
      <c r="M8" s="151" t="s">
        <v>875</v>
      </c>
      <c r="N8" s="2" t="s">
        <v>1316</v>
      </c>
    </row>
    <row r="9" spans="1:14" hidden="1">
      <c r="A9">
        <v>282</v>
      </c>
      <c r="C9" t="s">
        <v>1259</v>
      </c>
      <c r="D9" s="2" t="s">
        <v>1345</v>
      </c>
      <c r="E9" s="2" t="s">
        <v>1346</v>
      </c>
      <c r="F9" s="2" t="s">
        <v>871</v>
      </c>
      <c r="G9" s="8" t="s">
        <v>872</v>
      </c>
      <c r="H9" s="10" t="s">
        <v>895</v>
      </c>
      <c r="I9" s="10" t="s">
        <v>933</v>
      </c>
      <c r="J9" t="s">
        <v>876</v>
      </c>
      <c r="K9" t="s">
        <v>1343</v>
      </c>
      <c r="L9" t="s">
        <v>1347</v>
      </c>
      <c r="M9" s="151" t="s">
        <v>875</v>
      </c>
      <c r="N9" s="2" t="s">
        <v>1316</v>
      </c>
    </row>
    <row r="10" spans="1:14" hidden="1">
      <c r="A10">
        <v>295</v>
      </c>
      <c r="C10" t="s">
        <v>39</v>
      </c>
      <c r="D10" s="2" t="s">
        <v>1345</v>
      </c>
      <c r="E10" s="2" t="s">
        <v>1346</v>
      </c>
      <c r="F10" s="2" t="s">
        <v>1017</v>
      </c>
      <c r="G10" s="8" t="s">
        <v>872</v>
      </c>
      <c r="H10" s="10" t="s">
        <v>895</v>
      </c>
      <c r="I10" s="10" t="s">
        <v>933</v>
      </c>
      <c r="J10" t="s">
        <v>884</v>
      </c>
      <c r="K10" t="s">
        <v>1343</v>
      </c>
      <c r="L10" t="s">
        <v>1347</v>
      </c>
      <c r="M10" s="151" t="s">
        <v>875</v>
      </c>
      <c r="N10" s="2" t="s">
        <v>1316</v>
      </c>
    </row>
    <row r="11" spans="1:14" hidden="1">
      <c r="A11">
        <v>296</v>
      </c>
      <c r="C11" t="s">
        <v>40</v>
      </c>
      <c r="D11" s="2" t="s">
        <v>1345</v>
      </c>
      <c r="E11" s="2" t="s">
        <v>1346</v>
      </c>
      <c r="F11" s="2" t="s">
        <v>1017</v>
      </c>
      <c r="G11" s="8" t="s">
        <v>872</v>
      </c>
      <c r="H11" s="10" t="s">
        <v>895</v>
      </c>
      <c r="I11" s="10" t="s">
        <v>933</v>
      </c>
      <c r="J11" t="s">
        <v>884</v>
      </c>
      <c r="K11" t="s">
        <v>1343</v>
      </c>
      <c r="L11" t="s">
        <v>1347</v>
      </c>
      <c r="M11" s="151" t="s">
        <v>875</v>
      </c>
      <c r="N11" s="2" t="s">
        <v>1316</v>
      </c>
    </row>
    <row r="12" spans="1:14" hidden="1">
      <c r="A12">
        <v>152</v>
      </c>
      <c r="B12" s="47">
        <v>46067</v>
      </c>
      <c r="C12" t="s">
        <v>39</v>
      </c>
      <c r="D12" s="2">
        <v>1</v>
      </c>
      <c r="E12" s="2">
        <v>1</v>
      </c>
      <c r="F12" s="2" t="s">
        <v>871</v>
      </c>
      <c r="G12" s="8" t="s">
        <v>872</v>
      </c>
      <c r="H12" s="5" t="s">
        <v>918</v>
      </c>
      <c r="I12" s="10" t="s">
        <v>934</v>
      </c>
      <c r="J12" t="s">
        <v>915</v>
      </c>
      <c r="K12" t="s">
        <v>1343</v>
      </c>
      <c r="L12" t="s">
        <v>1344</v>
      </c>
      <c r="N12" t="s">
        <v>1317</v>
      </c>
    </row>
    <row r="13" spans="1:14" hidden="1">
      <c r="A13">
        <v>297</v>
      </c>
      <c r="C13" t="s">
        <v>39</v>
      </c>
      <c r="D13" s="2" t="s">
        <v>1345</v>
      </c>
      <c r="E13" s="2" t="s">
        <v>1346</v>
      </c>
      <c r="F13" s="2" t="s">
        <v>1017</v>
      </c>
      <c r="G13" s="8" t="s">
        <v>872</v>
      </c>
      <c r="H13" s="10" t="s">
        <v>895</v>
      </c>
      <c r="I13" s="10" t="s">
        <v>934</v>
      </c>
      <c r="J13" t="s">
        <v>884</v>
      </c>
      <c r="K13" t="s">
        <v>1343</v>
      </c>
      <c r="L13" t="s">
        <v>1347</v>
      </c>
      <c r="N13" t="s">
        <v>1317</v>
      </c>
    </row>
    <row r="14" spans="1:14" hidden="1">
      <c r="A14">
        <v>298</v>
      </c>
      <c r="C14" t="s">
        <v>40</v>
      </c>
      <c r="D14" s="2" t="s">
        <v>1345</v>
      </c>
      <c r="E14" s="2" t="s">
        <v>1346</v>
      </c>
      <c r="F14" s="2" t="s">
        <v>1017</v>
      </c>
      <c r="G14" s="8" t="s">
        <v>872</v>
      </c>
      <c r="H14" s="10" t="s">
        <v>895</v>
      </c>
      <c r="I14" s="10" t="s">
        <v>934</v>
      </c>
      <c r="J14" t="s">
        <v>884</v>
      </c>
      <c r="K14" t="s">
        <v>1343</v>
      </c>
      <c r="L14" t="s">
        <v>1347</v>
      </c>
      <c r="N14" t="s">
        <v>1317</v>
      </c>
    </row>
    <row r="15" spans="1:14" hidden="1">
      <c r="A15">
        <v>35</v>
      </c>
      <c r="B15" s="47">
        <v>46069</v>
      </c>
      <c r="C15" t="s">
        <v>51</v>
      </c>
      <c r="D15" s="2">
        <v>9</v>
      </c>
      <c r="E15" s="2">
        <v>2</v>
      </c>
      <c r="F15" s="2" t="s">
        <v>905</v>
      </c>
      <c r="G15" s="7" t="s">
        <v>880</v>
      </c>
      <c r="H15" s="5" t="s">
        <v>906</v>
      </c>
      <c r="I15" s="10" t="s">
        <v>907</v>
      </c>
      <c r="J15" t="s">
        <v>884</v>
      </c>
      <c r="K15" t="s">
        <v>1348</v>
      </c>
      <c r="L15" t="s">
        <v>1344</v>
      </c>
      <c r="N15" t="s">
        <v>1304</v>
      </c>
    </row>
    <row r="16" spans="1:14" hidden="1">
      <c r="A16">
        <v>61</v>
      </c>
      <c r="B16" s="47">
        <v>46072</v>
      </c>
      <c r="C16" t="s">
        <v>48</v>
      </c>
      <c r="D16" s="2">
        <v>5</v>
      </c>
      <c r="E16" s="2">
        <v>2</v>
      </c>
      <c r="F16" s="2" t="s">
        <v>905</v>
      </c>
      <c r="G16" s="7" t="s">
        <v>880</v>
      </c>
      <c r="H16" s="5" t="s">
        <v>906</v>
      </c>
      <c r="I16" s="10" t="s">
        <v>907</v>
      </c>
      <c r="J16" t="s">
        <v>884</v>
      </c>
      <c r="K16" t="s">
        <v>1348</v>
      </c>
      <c r="L16" t="s">
        <v>1344</v>
      </c>
      <c r="N16" t="s">
        <v>1304</v>
      </c>
    </row>
    <row r="17" spans="1:14" hidden="1">
      <c r="A17">
        <v>85</v>
      </c>
      <c r="B17" s="47">
        <v>46069</v>
      </c>
      <c r="C17" t="s">
        <v>45</v>
      </c>
      <c r="D17" s="2">
        <v>3</v>
      </c>
      <c r="E17" s="2">
        <v>2</v>
      </c>
      <c r="F17" s="2" t="s">
        <v>905</v>
      </c>
      <c r="G17" s="7" t="s">
        <v>880</v>
      </c>
      <c r="H17" s="5" t="s">
        <v>906</v>
      </c>
      <c r="I17" s="10" t="s">
        <v>907</v>
      </c>
      <c r="J17" t="s">
        <v>884</v>
      </c>
      <c r="K17" t="s">
        <v>1348</v>
      </c>
      <c r="L17" t="s">
        <v>1344</v>
      </c>
      <c r="N17" t="s">
        <v>1304</v>
      </c>
    </row>
    <row r="18" spans="1:14" hidden="1">
      <c r="A18">
        <v>148</v>
      </c>
      <c r="B18" s="47">
        <v>42402</v>
      </c>
      <c r="C18" t="s">
        <v>52</v>
      </c>
      <c r="D18" s="2">
        <v>1</v>
      </c>
      <c r="E18" s="2">
        <v>1</v>
      </c>
      <c r="F18" s="2" t="s">
        <v>905</v>
      </c>
      <c r="G18" s="8" t="s">
        <v>872</v>
      </c>
      <c r="H18" s="5" t="s">
        <v>1349</v>
      </c>
      <c r="I18" s="10" t="s">
        <v>907</v>
      </c>
      <c r="J18" t="s">
        <v>884</v>
      </c>
      <c r="K18" t="s">
        <v>1348</v>
      </c>
      <c r="L18" t="s">
        <v>1344</v>
      </c>
      <c r="N18" t="s">
        <v>1304</v>
      </c>
    </row>
    <row r="19" spans="1:14" hidden="1">
      <c r="A19">
        <v>149</v>
      </c>
      <c r="B19" s="47">
        <v>46038</v>
      </c>
      <c r="C19" t="s">
        <v>44</v>
      </c>
      <c r="D19" s="2">
        <v>1</v>
      </c>
      <c r="E19" s="2">
        <v>1</v>
      </c>
      <c r="F19" s="2" t="s">
        <v>905</v>
      </c>
      <c r="G19" s="8" t="s">
        <v>872</v>
      </c>
      <c r="H19" s="5" t="s">
        <v>1349</v>
      </c>
      <c r="I19" s="10" t="s">
        <v>907</v>
      </c>
      <c r="J19" t="s">
        <v>884</v>
      </c>
      <c r="K19" t="s">
        <v>1348</v>
      </c>
      <c r="L19" t="s">
        <v>1344</v>
      </c>
      <c r="N19" t="s">
        <v>1304</v>
      </c>
    </row>
    <row r="20" spans="1:14" hidden="1">
      <c r="A20">
        <v>150</v>
      </c>
      <c r="B20" s="47">
        <v>46065</v>
      </c>
      <c r="C20" t="s">
        <v>43</v>
      </c>
      <c r="D20" s="2">
        <v>1</v>
      </c>
      <c r="E20" s="2">
        <v>1</v>
      </c>
      <c r="F20" s="2" t="s">
        <v>905</v>
      </c>
      <c r="G20" s="8" t="s">
        <v>872</v>
      </c>
      <c r="H20" s="5" t="s">
        <v>1349</v>
      </c>
      <c r="I20" s="10" t="s">
        <v>907</v>
      </c>
      <c r="J20" t="s">
        <v>884</v>
      </c>
      <c r="K20" t="s">
        <v>1348</v>
      </c>
      <c r="L20" t="s">
        <v>1344</v>
      </c>
      <c r="N20" t="s">
        <v>1304</v>
      </c>
    </row>
    <row r="21" spans="1:14" hidden="1">
      <c r="A21">
        <v>258</v>
      </c>
      <c r="C21" t="s">
        <v>1215</v>
      </c>
      <c r="D21" s="2" t="s">
        <v>1345</v>
      </c>
      <c r="E21" s="2" t="s">
        <v>1350</v>
      </c>
      <c r="F21" s="2" t="s">
        <v>1015</v>
      </c>
      <c r="G21" s="7" t="s">
        <v>880</v>
      </c>
      <c r="H21" s="10" t="s">
        <v>906</v>
      </c>
      <c r="I21" s="10" t="s">
        <v>907</v>
      </c>
      <c r="J21" t="s">
        <v>884</v>
      </c>
      <c r="K21" t="s">
        <v>1348</v>
      </c>
      <c r="L21" t="s">
        <v>1344</v>
      </c>
      <c r="N21" t="s">
        <v>1304</v>
      </c>
    </row>
    <row r="22" spans="1:14" hidden="1">
      <c r="A22">
        <v>285</v>
      </c>
      <c r="C22" t="s">
        <v>1265</v>
      </c>
      <c r="D22" s="2" t="s">
        <v>1345</v>
      </c>
      <c r="E22" s="2" t="s">
        <v>1346</v>
      </c>
      <c r="F22" s="2" t="s">
        <v>871</v>
      </c>
      <c r="G22" s="7" t="s">
        <v>880</v>
      </c>
      <c r="H22" s="10" t="s">
        <v>906</v>
      </c>
      <c r="I22" s="10" t="s">
        <v>907</v>
      </c>
      <c r="J22" t="s">
        <v>884</v>
      </c>
      <c r="K22" t="s">
        <v>1348</v>
      </c>
      <c r="L22" t="s">
        <v>1344</v>
      </c>
      <c r="N22" t="s">
        <v>1304</v>
      </c>
    </row>
    <row r="23" spans="1:14" hidden="1">
      <c r="A23" s="6">
        <v>260</v>
      </c>
      <c r="B23" s="6"/>
      <c r="C23" s="6" t="s">
        <v>1219</v>
      </c>
      <c r="D23" s="6" t="s">
        <v>1345</v>
      </c>
      <c r="E23" s="6" t="s">
        <v>1351</v>
      </c>
      <c r="F23" s="6" t="s">
        <v>1015</v>
      </c>
      <c r="G23" s="21" t="s">
        <v>880</v>
      </c>
      <c r="H23" s="19" t="s">
        <v>906</v>
      </c>
      <c r="I23" s="19" t="s">
        <v>907</v>
      </c>
      <c r="J23" s="6" t="s">
        <v>884</v>
      </c>
      <c r="K23" s="6" t="s">
        <v>1348</v>
      </c>
      <c r="L23" s="6" t="s">
        <v>1351</v>
      </c>
      <c r="N23" t="s">
        <v>1304</v>
      </c>
    </row>
    <row r="24" spans="1:14" hidden="1">
      <c r="A24">
        <v>4</v>
      </c>
      <c r="B24" s="47">
        <v>46071</v>
      </c>
      <c r="C24" s="29" t="s">
        <v>124</v>
      </c>
      <c r="D24" s="2">
        <v>114</v>
      </c>
      <c r="E24" s="2">
        <v>14</v>
      </c>
      <c r="F24" s="2" t="s">
        <v>871</v>
      </c>
      <c r="G24" s="7" t="s">
        <v>880</v>
      </c>
      <c r="H24" s="5" t="s">
        <v>878</v>
      </c>
      <c r="I24" s="10" t="s">
        <v>879</v>
      </c>
      <c r="J24" t="s">
        <v>876</v>
      </c>
      <c r="K24" t="s">
        <v>1341</v>
      </c>
      <c r="L24" t="s">
        <v>1347</v>
      </c>
      <c r="N24" t="s">
        <v>1334</v>
      </c>
    </row>
    <row r="25" spans="1:14" hidden="1">
      <c r="A25">
        <v>14</v>
      </c>
      <c r="B25" s="47">
        <v>46072</v>
      </c>
      <c r="C25" t="s">
        <v>190</v>
      </c>
      <c r="D25" s="2">
        <v>35</v>
      </c>
      <c r="E25" s="2">
        <v>7</v>
      </c>
      <c r="F25" s="2" t="s">
        <v>871</v>
      </c>
      <c r="G25" s="8" t="s">
        <v>872</v>
      </c>
      <c r="H25" s="5" t="s">
        <v>878</v>
      </c>
      <c r="I25" s="10" t="s">
        <v>879</v>
      </c>
      <c r="J25" t="s">
        <v>876</v>
      </c>
      <c r="K25" t="s">
        <v>1341</v>
      </c>
      <c r="L25" t="s">
        <v>1347</v>
      </c>
      <c r="N25" t="s">
        <v>1334</v>
      </c>
    </row>
    <row r="26" spans="1:14" hidden="1">
      <c r="A26">
        <v>17</v>
      </c>
      <c r="B26" s="47">
        <v>46071</v>
      </c>
      <c r="C26" s="29" t="s">
        <v>126</v>
      </c>
      <c r="D26" s="2">
        <v>25</v>
      </c>
      <c r="E26" s="2">
        <v>5</v>
      </c>
      <c r="F26" s="2" t="s">
        <v>871</v>
      </c>
      <c r="G26" s="7" t="s">
        <v>880</v>
      </c>
      <c r="H26" s="5" t="s">
        <v>878</v>
      </c>
      <c r="I26" s="10" t="s">
        <v>879</v>
      </c>
      <c r="J26" t="s">
        <v>876</v>
      </c>
      <c r="K26" t="s">
        <v>1341</v>
      </c>
      <c r="L26" t="s">
        <v>1347</v>
      </c>
      <c r="N26" t="s">
        <v>1334</v>
      </c>
    </row>
    <row r="27" spans="1:14" hidden="1">
      <c r="A27">
        <v>26</v>
      </c>
      <c r="B27" s="47">
        <v>46048</v>
      </c>
      <c r="C27" t="s">
        <v>131</v>
      </c>
      <c r="D27" s="2">
        <v>12</v>
      </c>
      <c r="E27" s="2">
        <v>4</v>
      </c>
      <c r="F27" s="2" t="s">
        <v>871</v>
      </c>
      <c r="G27" s="7" t="s">
        <v>880</v>
      </c>
      <c r="H27" s="5" t="s">
        <v>878</v>
      </c>
      <c r="I27" s="10" t="s">
        <v>879</v>
      </c>
      <c r="J27" t="s">
        <v>876</v>
      </c>
      <c r="K27" t="s">
        <v>1341</v>
      </c>
      <c r="L27" t="s">
        <v>1347</v>
      </c>
      <c r="N27" t="s">
        <v>1334</v>
      </c>
    </row>
    <row r="28" spans="1:14" hidden="1">
      <c r="A28">
        <v>33</v>
      </c>
      <c r="B28" s="47">
        <v>46071</v>
      </c>
      <c r="C28" t="s">
        <v>127</v>
      </c>
      <c r="D28" s="2">
        <v>9</v>
      </c>
      <c r="E28" s="2">
        <v>2</v>
      </c>
      <c r="F28" s="2" t="s">
        <v>871</v>
      </c>
      <c r="G28" s="7" t="s">
        <v>880</v>
      </c>
      <c r="H28" s="5" t="s">
        <v>878</v>
      </c>
      <c r="I28" s="10" t="s">
        <v>879</v>
      </c>
      <c r="J28" t="s">
        <v>876</v>
      </c>
      <c r="K28" t="s">
        <v>1341</v>
      </c>
      <c r="L28" t="s">
        <v>1347</v>
      </c>
      <c r="N28" t="s">
        <v>1334</v>
      </c>
    </row>
    <row r="29" spans="1:14" hidden="1">
      <c r="A29">
        <v>38</v>
      </c>
      <c r="B29" s="47">
        <v>46045</v>
      </c>
      <c r="C29" t="s">
        <v>129</v>
      </c>
      <c r="D29" s="2">
        <v>8</v>
      </c>
      <c r="E29" s="2">
        <v>2</v>
      </c>
      <c r="F29" s="2" t="s">
        <v>871</v>
      </c>
      <c r="G29" s="7" t="s">
        <v>880</v>
      </c>
      <c r="H29" s="5" t="s">
        <v>878</v>
      </c>
      <c r="I29" s="10" t="s">
        <v>879</v>
      </c>
      <c r="J29" t="s">
        <v>876</v>
      </c>
      <c r="K29" t="s">
        <v>1341</v>
      </c>
      <c r="L29" t="s">
        <v>1347</v>
      </c>
      <c r="N29" t="s">
        <v>1334</v>
      </c>
    </row>
    <row r="30" spans="1:14" hidden="1">
      <c r="A30">
        <v>47</v>
      </c>
      <c r="B30" s="47">
        <v>46069</v>
      </c>
      <c r="C30" t="s">
        <v>113</v>
      </c>
      <c r="D30" s="2">
        <v>6</v>
      </c>
      <c r="E30" s="2">
        <v>2</v>
      </c>
      <c r="F30" s="2" t="s">
        <v>871</v>
      </c>
      <c r="G30" s="7" t="s">
        <v>880</v>
      </c>
      <c r="H30" s="5" t="s">
        <v>878</v>
      </c>
      <c r="I30" s="10" t="s">
        <v>879</v>
      </c>
      <c r="J30" t="s">
        <v>876</v>
      </c>
      <c r="K30" t="s">
        <v>1341</v>
      </c>
      <c r="L30" t="s">
        <v>1347</v>
      </c>
      <c r="N30" t="s">
        <v>1334</v>
      </c>
    </row>
    <row r="31" spans="1:14" hidden="1">
      <c r="A31">
        <v>67</v>
      </c>
      <c r="B31" s="48">
        <v>45853</v>
      </c>
      <c r="C31" t="s">
        <v>130</v>
      </c>
      <c r="D31" s="2">
        <v>4</v>
      </c>
      <c r="E31" s="2">
        <v>1</v>
      </c>
      <c r="F31" s="2" t="s">
        <v>871</v>
      </c>
      <c r="G31" s="7" t="s">
        <v>880</v>
      </c>
      <c r="H31" s="5" t="s">
        <v>878</v>
      </c>
      <c r="I31" s="10" t="s">
        <v>879</v>
      </c>
      <c r="J31" t="s">
        <v>876</v>
      </c>
      <c r="K31" t="s">
        <v>1341</v>
      </c>
      <c r="L31" t="s">
        <v>1347</v>
      </c>
      <c r="N31" t="s">
        <v>1334</v>
      </c>
    </row>
    <row r="32" spans="1:14" hidden="1">
      <c r="A32">
        <v>71</v>
      </c>
      <c r="B32" s="47">
        <v>46065</v>
      </c>
      <c r="C32" t="s">
        <v>78</v>
      </c>
      <c r="D32" s="2">
        <v>4</v>
      </c>
      <c r="E32" s="2">
        <v>1</v>
      </c>
      <c r="F32" s="2" t="s">
        <v>871</v>
      </c>
      <c r="G32" s="7" t="s">
        <v>880</v>
      </c>
      <c r="H32" s="5" t="s">
        <v>878</v>
      </c>
      <c r="I32" s="10" t="s">
        <v>879</v>
      </c>
      <c r="J32" t="s">
        <v>876</v>
      </c>
      <c r="K32" t="s">
        <v>1341</v>
      </c>
      <c r="L32" t="s">
        <v>1347</v>
      </c>
      <c r="N32" t="s">
        <v>1334</v>
      </c>
    </row>
    <row r="33" spans="1:14" hidden="1">
      <c r="A33">
        <v>79</v>
      </c>
      <c r="B33" s="47">
        <v>46069</v>
      </c>
      <c r="C33" t="s">
        <v>133</v>
      </c>
      <c r="D33" s="2">
        <v>3</v>
      </c>
      <c r="E33" s="2">
        <v>2</v>
      </c>
      <c r="F33" s="2" t="s">
        <v>871</v>
      </c>
      <c r="G33" s="7" t="s">
        <v>880</v>
      </c>
      <c r="H33" s="5" t="s">
        <v>878</v>
      </c>
      <c r="I33" s="10" t="s">
        <v>879</v>
      </c>
      <c r="J33" t="s">
        <v>876</v>
      </c>
      <c r="K33" t="s">
        <v>1341</v>
      </c>
      <c r="L33" t="s">
        <v>1347</v>
      </c>
      <c r="N33" t="s">
        <v>1334</v>
      </c>
    </row>
    <row r="34" spans="1:14" hidden="1">
      <c r="A34">
        <v>80</v>
      </c>
      <c r="B34" s="47">
        <v>46072</v>
      </c>
      <c r="C34" t="s">
        <v>125</v>
      </c>
      <c r="D34" s="2">
        <v>3</v>
      </c>
      <c r="E34" s="2">
        <v>2</v>
      </c>
      <c r="F34" s="2" t="s">
        <v>871</v>
      </c>
      <c r="G34" s="7" t="s">
        <v>880</v>
      </c>
      <c r="H34" s="5" t="s">
        <v>878</v>
      </c>
      <c r="I34" s="10" t="s">
        <v>879</v>
      </c>
      <c r="J34" t="s">
        <v>876</v>
      </c>
      <c r="K34" t="s">
        <v>1341</v>
      </c>
      <c r="L34" t="s">
        <v>1347</v>
      </c>
      <c r="N34" t="s">
        <v>1334</v>
      </c>
    </row>
    <row r="35" spans="1:14" hidden="1">
      <c r="A35">
        <v>100</v>
      </c>
      <c r="B35" s="47">
        <v>46062</v>
      </c>
      <c r="C35" t="s">
        <v>132</v>
      </c>
      <c r="D35" s="2">
        <v>2</v>
      </c>
      <c r="E35" s="2">
        <v>1</v>
      </c>
      <c r="F35" s="2" t="s">
        <v>871</v>
      </c>
      <c r="G35" s="7" t="s">
        <v>880</v>
      </c>
      <c r="H35" s="5" t="s">
        <v>878</v>
      </c>
      <c r="I35" s="10" t="s">
        <v>879</v>
      </c>
      <c r="J35" t="s">
        <v>876</v>
      </c>
      <c r="K35" t="s">
        <v>1341</v>
      </c>
      <c r="L35" t="s">
        <v>1347</v>
      </c>
      <c r="N35" t="s">
        <v>1334</v>
      </c>
    </row>
    <row r="36" spans="1:14" hidden="1">
      <c r="A36">
        <v>101</v>
      </c>
      <c r="B36" s="47">
        <v>46027</v>
      </c>
      <c r="C36" t="s">
        <v>128</v>
      </c>
      <c r="D36" s="2">
        <v>2</v>
      </c>
      <c r="E36" s="2">
        <v>1</v>
      </c>
      <c r="F36" s="2" t="s">
        <v>871</v>
      </c>
      <c r="G36" s="7" t="s">
        <v>880</v>
      </c>
      <c r="H36" s="5" t="s">
        <v>878</v>
      </c>
      <c r="I36" s="10" t="s">
        <v>879</v>
      </c>
      <c r="J36" t="s">
        <v>876</v>
      </c>
      <c r="K36" t="s">
        <v>1341</v>
      </c>
      <c r="L36" t="s">
        <v>1347</v>
      </c>
      <c r="N36" t="s">
        <v>1334</v>
      </c>
    </row>
    <row r="37" spans="1:14" hidden="1">
      <c r="A37">
        <v>109</v>
      </c>
      <c r="B37" s="47">
        <v>46071</v>
      </c>
      <c r="C37" t="s">
        <v>77</v>
      </c>
      <c r="D37" s="2">
        <v>2</v>
      </c>
      <c r="E37" s="2">
        <v>1</v>
      </c>
      <c r="F37" s="2" t="s">
        <v>871</v>
      </c>
      <c r="G37" s="7" t="s">
        <v>880</v>
      </c>
      <c r="H37" s="5" t="s">
        <v>878</v>
      </c>
      <c r="I37" s="10" t="s">
        <v>879</v>
      </c>
      <c r="J37" t="s">
        <v>876</v>
      </c>
      <c r="K37" t="s">
        <v>1341</v>
      </c>
      <c r="L37" t="s">
        <v>1347</v>
      </c>
      <c r="N37" t="s">
        <v>1334</v>
      </c>
    </row>
    <row r="38" spans="1:14" hidden="1">
      <c r="A38">
        <v>110</v>
      </c>
      <c r="B38" s="47">
        <v>46057</v>
      </c>
      <c r="C38" t="s">
        <v>67</v>
      </c>
      <c r="D38" s="2">
        <v>2</v>
      </c>
      <c r="E38" s="2">
        <v>1</v>
      </c>
      <c r="F38" s="2" t="s">
        <v>871</v>
      </c>
      <c r="G38" s="7" t="s">
        <v>880</v>
      </c>
      <c r="H38" s="5" t="s">
        <v>878</v>
      </c>
      <c r="I38" s="10" t="s">
        <v>879</v>
      </c>
      <c r="J38" t="s">
        <v>876</v>
      </c>
      <c r="K38" t="s">
        <v>1341</v>
      </c>
      <c r="L38" t="s">
        <v>1347</v>
      </c>
      <c r="N38" t="s">
        <v>1334</v>
      </c>
    </row>
    <row r="39" spans="1:14" hidden="1">
      <c r="A39">
        <v>132</v>
      </c>
      <c r="B39" s="47">
        <v>46071</v>
      </c>
      <c r="C39" t="s">
        <v>161</v>
      </c>
      <c r="D39" s="2">
        <v>1</v>
      </c>
      <c r="E39" s="2">
        <v>1</v>
      </c>
      <c r="F39" s="2" t="s">
        <v>871</v>
      </c>
      <c r="G39" s="7" t="s">
        <v>880</v>
      </c>
      <c r="H39" s="5" t="s">
        <v>878</v>
      </c>
      <c r="I39" s="10" t="s">
        <v>879</v>
      </c>
      <c r="J39" t="s">
        <v>876</v>
      </c>
      <c r="K39" t="s">
        <v>1341</v>
      </c>
      <c r="L39" t="s">
        <v>1347</v>
      </c>
      <c r="N39" t="s">
        <v>1334</v>
      </c>
    </row>
    <row r="40" spans="1:14" hidden="1">
      <c r="A40" s="24">
        <v>5</v>
      </c>
      <c r="B40" s="46">
        <v>46063</v>
      </c>
      <c r="C40" t="s">
        <v>173</v>
      </c>
      <c r="D40" s="2">
        <v>77</v>
      </c>
      <c r="E40" s="2">
        <v>12</v>
      </c>
      <c r="F40" s="2" t="s">
        <v>881</v>
      </c>
      <c r="G40" s="8" t="s">
        <v>872</v>
      </c>
      <c r="H40" s="5" t="s">
        <v>882</v>
      </c>
      <c r="I40" s="10" t="s">
        <v>883</v>
      </c>
      <c r="J40" t="s">
        <v>884</v>
      </c>
      <c r="K40" t="s">
        <v>1352</v>
      </c>
      <c r="L40" t="s">
        <v>1347</v>
      </c>
      <c r="N40" t="s">
        <v>1335</v>
      </c>
    </row>
    <row r="41" spans="1:14" hidden="1">
      <c r="A41">
        <v>36</v>
      </c>
      <c r="B41" s="47">
        <v>46051</v>
      </c>
      <c r="C41" t="s">
        <v>174</v>
      </c>
      <c r="D41" s="2">
        <v>8</v>
      </c>
      <c r="E41" s="2">
        <v>1</v>
      </c>
      <c r="F41" s="2" t="s">
        <v>881</v>
      </c>
      <c r="G41" s="8" t="s">
        <v>872</v>
      </c>
      <c r="H41" s="5" t="s">
        <v>882</v>
      </c>
      <c r="I41" s="10" t="s">
        <v>883</v>
      </c>
      <c r="J41" t="s">
        <v>884</v>
      </c>
      <c r="K41" s="17" t="s">
        <v>1352</v>
      </c>
      <c r="L41" t="s">
        <v>1347</v>
      </c>
      <c r="N41" t="s">
        <v>1335</v>
      </c>
    </row>
    <row r="42" spans="1:14" hidden="1">
      <c r="A42">
        <v>55</v>
      </c>
      <c r="B42" s="47">
        <v>46052</v>
      </c>
      <c r="C42" t="s">
        <v>176</v>
      </c>
      <c r="D42" s="2">
        <v>5</v>
      </c>
      <c r="E42" s="2">
        <v>1</v>
      </c>
      <c r="F42" s="2" t="s">
        <v>881</v>
      </c>
      <c r="G42" s="8" t="s">
        <v>872</v>
      </c>
      <c r="H42" s="5" t="s">
        <v>882</v>
      </c>
      <c r="I42" s="10" t="s">
        <v>883</v>
      </c>
      <c r="J42" t="s">
        <v>884</v>
      </c>
      <c r="K42" s="17" t="s">
        <v>1352</v>
      </c>
      <c r="L42" t="s">
        <v>1347</v>
      </c>
      <c r="N42" t="s">
        <v>1335</v>
      </c>
    </row>
    <row r="43" spans="1:14" hidden="1">
      <c r="A43">
        <v>96</v>
      </c>
      <c r="B43" s="47">
        <v>46063</v>
      </c>
      <c r="C43" t="s">
        <v>175</v>
      </c>
      <c r="D43" s="2">
        <v>2</v>
      </c>
      <c r="E43" s="2">
        <v>1</v>
      </c>
      <c r="F43" s="2" t="s">
        <v>881</v>
      </c>
      <c r="G43" s="8" t="s">
        <v>872</v>
      </c>
      <c r="H43" s="5" t="s">
        <v>882</v>
      </c>
      <c r="I43" s="10" t="s">
        <v>883</v>
      </c>
      <c r="J43" t="s">
        <v>884</v>
      </c>
      <c r="K43" s="17" t="s">
        <v>1352</v>
      </c>
      <c r="L43" t="s">
        <v>1347</v>
      </c>
      <c r="N43" t="s">
        <v>1335</v>
      </c>
    </row>
    <row r="44" spans="1:14" hidden="1">
      <c r="A44">
        <v>127</v>
      </c>
      <c r="B44" s="47">
        <v>46071</v>
      </c>
      <c r="C44" t="s">
        <v>177</v>
      </c>
      <c r="D44" s="2">
        <v>1</v>
      </c>
      <c r="E44" s="2">
        <v>1</v>
      </c>
      <c r="F44" s="2" t="s">
        <v>881</v>
      </c>
      <c r="G44" s="8" t="s">
        <v>872</v>
      </c>
      <c r="H44" s="5" t="s">
        <v>882</v>
      </c>
      <c r="I44" s="10" t="s">
        <v>883</v>
      </c>
      <c r="J44" t="s">
        <v>884</v>
      </c>
      <c r="K44" s="17" t="s">
        <v>1352</v>
      </c>
      <c r="L44" t="s">
        <v>1347</v>
      </c>
      <c r="N44" t="s">
        <v>1335</v>
      </c>
    </row>
    <row r="45" spans="1:14" s="6" customFormat="1" hidden="1">
      <c r="A45" s="6">
        <v>114</v>
      </c>
      <c r="B45" s="48">
        <v>46064</v>
      </c>
      <c r="C45" s="6" t="s">
        <v>226</v>
      </c>
      <c r="D45" s="27">
        <v>1</v>
      </c>
      <c r="E45" s="27">
        <v>1</v>
      </c>
      <c r="F45" s="6" t="s">
        <v>894</v>
      </c>
      <c r="G45" s="18" t="s">
        <v>872</v>
      </c>
      <c r="H45" s="22" t="s">
        <v>895</v>
      </c>
      <c r="I45" s="19" t="s">
        <v>617</v>
      </c>
      <c r="J45" s="6" t="s">
        <v>876</v>
      </c>
      <c r="K45" s="6" t="s">
        <v>1353</v>
      </c>
      <c r="L45" s="6" t="s">
        <v>1344</v>
      </c>
      <c r="M45" s="22"/>
      <c r="N45" s="6" t="s">
        <v>1313</v>
      </c>
    </row>
    <row r="46" spans="1:14" hidden="1">
      <c r="A46">
        <v>227</v>
      </c>
      <c r="C46" t="s">
        <v>1138</v>
      </c>
      <c r="D46" s="26" t="s">
        <v>1345</v>
      </c>
      <c r="E46" s="26" t="s">
        <v>1346</v>
      </c>
      <c r="F46" s="2" t="s">
        <v>1135</v>
      </c>
      <c r="G46" s="8" t="s">
        <v>872</v>
      </c>
      <c r="H46" s="10" t="s">
        <v>895</v>
      </c>
      <c r="I46" s="10" t="s">
        <v>1139</v>
      </c>
      <c r="J46" t="s">
        <v>876</v>
      </c>
      <c r="K46" t="s">
        <v>1353</v>
      </c>
      <c r="L46" t="s">
        <v>1344</v>
      </c>
      <c r="N46" t="s">
        <v>1318</v>
      </c>
    </row>
    <row r="47" spans="1:14" hidden="1">
      <c r="A47">
        <v>48</v>
      </c>
      <c r="B47" s="47">
        <v>46041</v>
      </c>
      <c r="C47" t="s">
        <v>71</v>
      </c>
      <c r="D47" s="2">
        <v>6</v>
      </c>
      <c r="E47" s="2">
        <v>1</v>
      </c>
      <c r="F47" s="2" t="s">
        <v>871</v>
      </c>
      <c r="G47" s="8" t="s">
        <v>872</v>
      </c>
      <c r="H47" s="5" t="s">
        <v>908</v>
      </c>
      <c r="I47" s="10" t="s">
        <v>909</v>
      </c>
      <c r="J47" t="s">
        <v>884</v>
      </c>
      <c r="K47" t="s">
        <v>1354</v>
      </c>
      <c r="L47" t="s">
        <v>1344</v>
      </c>
      <c r="M47" s="151" t="s">
        <v>875</v>
      </c>
      <c r="N47" s="2" t="s">
        <v>1305</v>
      </c>
    </row>
    <row r="48" spans="1:14" hidden="1">
      <c r="A48">
        <v>143</v>
      </c>
      <c r="B48" s="47">
        <v>46050</v>
      </c>
      <c r="C48" t="s">
        <v>70</v>
      </c>
      <c r="D48" s="2">
        <v>1</v>
      </c>
      <c r="E48" s="2">
        <v>1</v>
      </c>
      <c r="F48" s="2" t="s">
        <v>871</v>
      </c>
      <c r="G48" s="7" t="s">
        <v>880</v>
      </c>
      <c r="H48" s="5" t="s">
        <v>908</v>
      </c>
      <c r="I48" s="10" t="s">
        <v>909</v>
      </c>
      <c r="J48" t="s">
        <v>884</v>
      </c>
      <c r="K48" t="s">
        <v>1341</v>
      </c>
      <c r="L48" t="s">
        <v>1344</v>
      </c>
      <c r="M48" s="151" t="s">
        <v>875</v>
      </c>
      <c r="N48" s="2" t="s">
        <v>1305</v>
      </c>
    </row>
    <row r="49" spans="1:14" hidden="1">
      <c r="A49">
        <v>145</v>
      </c>
      <c r="B49" s="47">
        <v>46066</v>
      </c>
      <c r="C49" t="s">
        <v>60</v>
      </c>
      <c r="D49" s="2">
        <v>1</v>
      </c>
      <c r="E49" s="2">
        <v>1</v>
      </c>
      <c r="F49" s="2" t="s">
        <v>916</v>
      </c>
      <c r="G49" s="8" t="s">
        <v>872</v>
      </c>
      <c r="H49" s="5" t="s">
        <v>895</v>
      </c>
      <c r="I49" s="10" t="s">
        <v>874</v>
      </c>
      <c r="J49" t="s">
        <v>876</v>
      </c>
      <c r="K49" t="s">
        <v>1355</v>
      </c>
      <c r="L49" t="s">
        <v>1344</v>
      </c>
      <c r="M49" s="151" t="s">
        <v>875</v>
      </c>
      <c r="N49" s="2" t="s">
        <v>1305</v>
      </c>
    </row>
    <row r="50" spans="1:14" hidden="1">
      <c r="A50" s="24">
        <v>1</v>
      </c>
      <c r="B50" s="47">
        <v>46072</v>
      </c>
      <c r="C50" s="29" t="s">
        <v>1356</v>
      </c>
      <c r="D50" s="2">
        <v>258</v>
      </c>
      <c r="E50" s="2">
        <v>24</v>
      </c>
      <c r="F50" s="2" t="s">
        <v>871</v>
      </c>
      <c r="G50" s="8" t="s">
        <v>872</v>
      </c>
      <c r="H50" s="5" t="s">
        <v>873</v>
      </c>
      <c r="I50" s="10" t="s">
        <v>874</v>
      </c>
      <c r="J50" t="s">
        <v>876</v>
      </c>
      <c r="K50" t="s">
        <v>1341</v>
      </c>
      <c r="L50" t="s">
        <v>1342</v>
      </c>
      <c r="M50" s="151" t="s">
        <v>875</v>
      </c>
      <c r="N50" s="2" t="s">
        <v>1305</v>
      </c>
    </row>
    <row r="51" spans="1:14" hidden="1">
      <c r="A51">
        <v>2</v>
      </c>
      <c r="B51" s="47">
        <v>46072</v>
      </c>
      <c r="C51" t="s">
        <v>109</v>
      </c>
      <c r="D51" s="2">
        <v>190</v>
      </c>
      <c r="E51" s="2">
        <v>8</v>
      </c>
      <c r="F51" s="2" t="s">
        <v>871</v>
      </c>
      <c r="G51" s="8" t="s">
        <v>872</v>
      </c>
      <c r="H51" s="5" t="s">
        <v>873</v>
      </c>
      <c r="I51" s="10" t="s">
        <v>874</v>
      </c>
      <c r="J51" t="s">
        <v>876</v>
      </c>
      <c r="K51" t="s">
        <v>1341</v>
      </c>
      <c r="L51" t="s">
        <v>1342</v>
      </c>
      <c r="M51" s="151" t="s">
        <v>875</v>
      </c>
      <c r="N51" s="2" t="s">
        <v>1305</v>
      </c>
    </row>
    <row r="52" spans="1:14" hidden="1">
      <c r="A52">
        <v>11</v>
      </c>
      <c r="B52" s="47">
        <v>46072</v>
      </c>
      <c r="C52" t="s">
        <v>140</v>
      </c>
      <c r="D52" s="2">
        <v>42</v>
      </c>
      <c r="E52" s="2">
        <v>9</v>
      </c>
      <c r="F52" s="2" t="s">
        <v>871</v>
      </c>
      <c r="G52" s="8" t="s">
        <v>872</v>
      </c>
      <c r="H52" s="5" t="s">
        <v>873</v>
      </c>
      <c r="I52" s="10" t="s">
        <v>874</v>
      </c>
      <c r="J52" t="s">
        <v>876</v>
      </c>
      <c r="K52" t="s">
        <v>1341</v>
      </c>
      <c r="L52" t="s">
        <v>1342</v>
      </c>
      <c r="M52" s="151" t="s">
        <v>875</v>
      </c>
      <c r="N52" s="2" t="s">
        <v>1305</v>
      </c>
    </row>
    <row r="53" spans="1:14" hidden="1">
      <c r="A53">
        <v>18</v>
      </c>
      <c r="B53" s="47">
        <v>46071</v>
      </c>
      <c r="C53" t="s">
        <v>136</v>
      </c>
      <c r="D53" s="2">
        <v>24</v>
      </c>
      <c r="E53" s="2">
        <v>5</v>
      </c>
      <c r="F53" s="2" t="s">
        <v>871</v>
      </c>
      <c r="G53" s="8" t="s">
        <v>872</v>
      </c>
      <c r="H53" s="5" t="s">
        <v>873</v>
      </c>
      <c r="I53" s="10" t="s">
        <v>874</v>
      </c>
      <c r="J53" t="s">
        <v>876</v>
      </c>
      <c r="K53" t="s">
        <v>1341</v>
      </c>
      <c r="L53" t="s">
        <v>1342</v>
      </c>
      <c r="M53" s="151" t="s">
        <v>875</v>
      </c>
      <c r="N53" s="2" t="s">
        <v>1305</v>
      </c>
    </row>
    <row r="54" spans="1:14" hidden="1">
      <c r="A54">
        <v>28</v>
      </c>
      <c r="B54" s="47">
        <v>46070</v>
      </c>
      <c r="C54" t="s">
        <v>156</v>
      </c>
      <c r="D54" s="2">
        <v>11</v>
      </c>
      <c r="E54" s="2">
        <v>2</v>
      </c>
      <c r="F54" s="2" t="s">
        <v>871</v>
      </c>
      <c r="G54" s="8" t="s">
        <v>872</v>
      </c>
      <c r="H54" s="5" t="s">
        <v>873</v>
      </c>
      <c r="I54" s="10" t="s">
        <v>874</v>
      </c>
      <c r="J54" t="s">
        <v>876</v>
      </c>
      <c r="K54" t="s">
        <v>1341</v>
      </c>
      <c r="L54" t="s">
        <v>1342</v>
      </c>
      <c r="M54" s="151" t="s">
        <v>875</v>
      </c>
      <c r="N54" s="2" t="s">
        <v>1305</v>
      </c>
    </row>
    <row r="55" spans="1:14" hidden="1">
      <c r="A55">
        <v>34</v>
      </c>
      <c r="B55" s="47">
        <v>46064</v>
      </c>
      <c r="C55" t="s">
        <v>73</v>
      </c>
      <c r="D55" s="2">
        <v>9</v>
      </c>
      <c r="E55" s="2">
        <v>1</v>
      </c>
      <c r="F55" s="2" t="s">
        <v>871</v>
      </c>
      <c r="G55" s="8" t="s">
        <v>872</v>
      </c>
      <c r="H55" s="5" t="s">
        <v>873</v>
      </c>
      <c r="I55" s="10" t="s">
        <v>874</v>
      </c>
      <c r="J55" t="s">
        <v>876</v>
      </c>
      <c r="K55" t="s">
        <v>1341</v>
      </c>
      <c r="L55" t="s">
        <v>1342</v>
      </c>
      <c r="M55" s="151" t="s">
        <v>875</v>
      </c>
      <c r="N55" s="2" t="s">
        <v>1305</v>
      </c>
    </row>
    <row r="56" spans="1:14" hidden="1">
      <c r="A56">
        <v>37</v>
      </c>
      <c r="B56" s="47">
        <v>46066</v>
      </c>
      <c r="C56" t="s">
        <v>167</v>
      </c>
      <c r="D56" s="2">
        <v>8</v>
      </c>
      <c r="E56" s="2">
        <v>5</v>
      </c>
      <c r="F56" s="2" t="s">
        <v>871</v>
      </c>
      <c r="G56" s="8" t="s">
        <v>872</v>
      </c>
      <c r="H56" s="5" t="s">
        <v>873</v>
      </c>
      <c r="I56" s="10" t="s">
        <v>874</v>
      </c>
      <c r="J56" t="s">
        <v>876</v>
      </c>
      <c r="K56" t="s">
        <v>1341</v>
      </c>
      <c r="L56" t="s">
        <v>1342</v>
      </c>
      <c r="M56" s="151" t="s">
        <v>875</v>
      </c>
      <c r="N56" s="2" t="s">
        <v>1305</v>
      </c>
    </row>
    <row r="57" spans="1:14" hidden="1">
      <c r="A57">
        <v>39</v>
      </c>
      <c r="B57" s="47">
        <v>46069</v>
      </c>
      <c r="C57" t="s">
        <v>112</v>
      </c>
      <c r="D57" s="2">
        <v>8</v>
      </c>
      <c r="E57" s="2">
        <v>1</v>
      </c>
      <c r="F57" s="2" t="s">
        <v>871</v>
      </c>
      <c r="G57" s="8" t="s">
        <v>872</v>
      </c>
      <c r="H57" s="5" t="s">
        <v>873</v>
      </c>
      <c r="I57" s="10" t="s">
        <v>874</v>
      </c>
      <c r="J57" t="s">
        <v>876</v>
      </c>
      <c r="K57" t="s">
        <v>1341</v>
      </c>
      <c r="L57" t="s">
        <v>1342</v>
      </c>
      <c r="M57" s="151" t="s">
        <v>875</v>
      </c>
      <c r="N57" s="2" t="s">
        <v>1305</v>
      </c>
    </row>
    <row r="58" spans="1:14" hidden="1">
      <c r="A58">
        <v>46</v>
      </c>
      <c r="B58" s="47">
        <v>46070</v>
      </c>
      <c r="C58" t="s">
        <v>191</v>
      </c>
      <c r="D58" s="2">
        <v>6</v>
      </c>
      <c r="E58" s="2">
        <v>1</v>
      </c>
      <c r="F58" s="2" t="s">
        <v>871</v>
      </c>
      <c r="G58" s="8" t="s">
        <v>872</v>
      </c>
      <c r="H58" s="5" t="s">
        <v>873</v>
      </c>
      <c r="I58" s="10" t="s">
        <v>874</v>
      </c>
      <c r="J58" t="s">
        <v>876</v>
      </c>
      <c r="K58" t="s">
        <v>1341</v>
      </c>
      <c r="L58" t="s">
        <v>1342</v>
      </c>
      <c r="M58" s="151" t="s">
        <v>875</v>
      </c>
      <c r="N58" s="2" t="s">
        <v>1305</v>
      </c>
    </row>
    <row r="59" spans="1:14" hidden="1">
      <c r="A59">
        <v>58</v>
      </c>
      <c r="B59" s="47">
        <v>46072</v>
      </c>
      <c r="C59" t="s">
        <v>82</v>
      </c>
      <c r="D59" s="2">
        <v>5</v>
      </c>
      <c r="E59" s="2">
        <v>1</v>
      </c>
      <c r="F59" s="2" t="s">
        <v>871</v>
      </c>
      <c r="G59" s="8" t="s">
        <v>872</v>
      </c>
      <c r="H59" s="5" t="s">
        <v>873</v>
      </c>
      <c r="I59" s="10" t="s">
        <v>874</v>
      </c>
      <c r="J59" t="s">
        <v>876</v>
      </c>
      <c r="K59" t="s">
        <v>1341</v>
      </c>
      <c r="L59" t="s">
        <v>1342</v>
      </c>
      <c r="M59" s="151" t="s">
        <v>875</v>
      </c>
      <c r="N59" s="2" t="s">
        <v>1305</v>
      </c>
    </row>
    <row r="60" spans="1:14" hidden="1">
      <c r="A60">
        <v>59</v>
      </c>
      <c r="B60" s="47">
        <v>46058</v>
      </c>
      <c r="C60" t="s">
        <v>80</v>
      </c>
      <c r="D60" s="2">
        <v>5</v>
      </c>
      <c r="E60" s="2">
        <v>1</v>
      </c>
      <c r="F60" s="2" t="s">
        <v>871</v>
      </c>
      <c r="G60" s="8" t="s">
        <v>872</v>
      </c>
      <c r="H60" s="5" t="s">
        <v>873</v>
      </c>
      <c r="I60" s="10" t="s">
        <v>874</v>
      </c>
      <c r="J60" t="s">
        <v>876</v>
      </c>
      <c r="K60" t="s">
        <v>1341</v>
      </c>
      <c r="L60" t="s">
        <v>1342</v>
      </c>
      <c r="M60" s="151" t="s">
        <v>875</v>
      </c>
      <c r="N60" s="2" t="s">
        <v>1305</v>
      </c>
    </row>
    <row r="61" spans="1:14" hidden="1">
      <c r="A61">
        <v>68</v>
      </c>
      <c r="B61" s="47">
        <v>46072</v>
      </c>
      <c r="C61" t="s">
        <v>98</v>
      </c>
      <c r="D61" s="2">
        <v>4</v>
      </c>
      <c r="E61" s="2">
        <v>3</v>
      </c>
      <c r="F61" s="2" t="s">
        <v>871</v>
      </c>
      <c r="G61" s="8" t="s">
        <v>872</v>
      </c>
      <c r="H61" s="5" t="s">
        <v>873</v>
      </c>
      <c r="I61" s="10" t="s">
        <v>874</v>
      </c>
      <c r="J61" t="s">
        <v>876</v>
      </c>
      <c r="K61" t="s">
        <v>1341</v>
      </c>
      <c r="L61" t="s">
        <v>1342</v>
      </c>
      <c r="M61" s="151" t="s">
        <v>875</v>
      </c>
      <c r="N61" s="2" t="s">
        <v>1305</v>
      </c>
    </row>
    <row r="62" spans="1:14" hidden="1">
      <c r="A62">
        <v>69</v>
      </c>
      <c r="B62" s="47">
        <v>46072</v>
      </c>
      <c r="C62" t="s">
        <v>92</v>
      </c>
      <c r="D62" s="2">
        <v>4</v>
      </c>
      <c r="E62" s="2">
        <v>1</v>
      </c>
      <c r="F62" s="2" t="s">
        <v>871</v>
      </c>
      <c r="G62" s="8" t="s">
        <v>872</v>
      </c>
      <c r="H62" s="5" t="s">
        <v>873</v>
      </c>
      <c r="I62" s="10" t="s">
        <v>874</v>
      </c>
      <c r="J62" t="s">
        <v>876</v>
      </c>
      <c r="K62" t="s">
        <v>1341</v>
      </c>
      <c r="L62" t="s">
        <v>1342</v>
      </c>
      <c r="M62" s="151" t="s">
        <v>875</v>
      </c>
      <c r="N62" s="2" t="s">
        <v>1305</v>
      </c>
    </row>
    <row r="63" spans="1:14" hidden="1">
      <c r="A63">
        <v>70</v>
      </c>
      <c r="B63" s="47">
        <v>46034</v>
      </c>
      <c r="C63" t="s">
        <v>83</v>
      </c>
      <c r="D63" s="2">
        <v>4</v>
      </c>
      <c r="E63" s="2">
        <v>1</v>
      </c>
      <c r="F63" s="2" t="s">
        <v>871</v>
      </c>
      <c r="G63" s="8" t="s">
        <v>872</v>
      </c>
      <c r="H63" s="5" t="s">
        <v>873</v>
      </c>
      <c r="I63" s="10" t="s">
        <v>874</v>
      </c>
      <c r="J63" t="s">
        <v>876</v>
      </c>
      <c r="K63" t="s">
        <v>1341</v>
      </c>
      <c r="L63" t="s">
        <v>1342</v>
      </c>
      <c r="M63" s="151" t="s">
        <v>875</v>
      </c>
      <c r="N63" s="2" t="s">
        <v>1305</v>
      </c>
    </row>
    <row r="64" spans="1:14" hidden="1">
      <c r="A64">
        <v>77</v>
      </c>
      <c r="B64" s="47">
        <v>46058</v>
      </c>
      <c r="C64" t="s">
        <v>159</v>
      </c>
      <c r="D64" s="2">
        <v>3</v>
      </c>
      <c r="E64" s="2">
        <v>2</v>
      </c>
      <c r="F64" s="2" t="s">
        <v>871</v>
      </c>
      <c r="G64" s="8" t="s">
        <v>872</v>
      </c>
      <c r="H64" s="5" t="s">
        <v>873</v>
      </c>
      <c r="I64" s="10" t="s">
        <v>874</v>
      </c>
      <c r="J64" t="s">
        <v>876</v>
      </c>
      <c r="K64" t="s">
        <v>1341</v>
      </c>
      <c r="L64" t="s">
        <v>1342</v>
      </c>
      <c r="M64" s="151" t="s">
        <v>875</v>
      </c>
      <c r="N64" s="2" t="s">
        <v>1305</v>
      </c>
    </row>
    <row r="65" spans="1:14" hidden="1">
      <c r="A65">
        <v>78</v>
      </c>
      <c r="B65" s="48">
        <v>45894</v>
      </c>
      <c r="C65" t="s">
        <v>151</v>
      </c>
      <c r="D65" s="2">
        <v>3</v>
      </c>
      <c r="E65" s="2">
        <v>1</v>
      </c>
      <c r="F65" s="2" t="s">
        <v>871</v>
      </c>
      <c r="G65" s="8" t="s">
        <v>872</v>
      </c>
      <c r="H65" s="5" t="s">
        <v>873</v>
      </c>
      <c r="I65" s="10" t="s">
        <v>874</v>
      </c>
      <c r="J65" t="s">
        <v>876</v>
      </c>
      <c r="K65" t="s">
        <v>1341</v>
      </c>
      <c r="L65" t="s">
        <v>1342</v>
      </c>
      <c r="M65" s="151" t="s">
        <v>875</v>
      </c>
      <c r="N65" s="2" t="s">
        <v>1305</v>
      </c>
    </row>
    <row r="66" spans="1:14" hidden="1">
      <c r="A66">
        <v>82</v>
      </c>
      <c r="B66" s="47">
        <v>46062</v>
      </c>
      <c r="C66" t="s">
        <v>90</v>
      </c>
      <c r="D66" s="2">
        <v>3</v>
      </c>
      <c r="E66" s="2">
        <v>1</v>
      </c>
      <c r="F66" s="2" t="s">
        <v>871</v>
      </c>
      <c r="G66" s="8" t="s">
        <v>872</v>
      </c>
      <c r="H66" s="5" t="s">
        <v>873</v>
      </c>
      <c r="I66" s="10" t="s">
        <v>874</v>
      </c>
      <c r="J66" t="s">
        <v>876</v>
      </c>
      <c r="K66" t="s">
        <v>1341</v>
      </c>
      <c r="L66" t="s">
        <v>1342</v>
      </c>
      <c r="M66" s="151" t="s">
        <v>875</v>
      </c>
      <c r="N66" s="2" t="s">
        <v>1305</v>
      </c>
    </row>
    <row r="67" spans="1:14" hidden="1">
      <c r="A67">
        <v>83</v>
      </c>
      <c r="B67" s="47">
        <v>46034</v>
      </c>
      <c r="C67" t="s">
        <v>85</v>
      </c>
      <c r="D67" s="2">
        <v>3</v>
      </c>
      <c r="E67" s="2">
        <v>1</v>
      </c>
      <c r="F67" s="2" t="s">
        <v>871</v>
      </c>
      <c r="G67" s="8" t="s">
        <v>872</v>
      </c>
      <c r="H67" s="5" t="s">
        <v>873</v>
      </c>
      <c r="I67" s="10" t="s">
        <v>874</v>
      </c>
      <c r="J67" t="s">
        <v>876</v>
      </c>
      <c r="K67" t="s">
        <v>1341</v>
      </c>
      <c r="L67" t="s">
        <v>1342</v>
      </c>
      <c r="M67" s="151" t="s">
        <v>875</v>
      </c>
      <c r="N67" s="2" t="s">
        <v>1305</v>
      </c>
    </row>
    <row r="68" spans="1:14" hidden="1">
      <c r="A68">
        <v>92</v>
      </c>
      <c r="B68" s="47">
        <v>46058</v>
      </c>
      <c r="C68" t="s">
        <v>205</v>
      </c>
      <c r="D68" s="2">
        <v>2</v>
      </c>
      <c r="E68" s="2">
        <v>1</v>
      </c>
      <c r="F68" s="2" t="s">
        <v>871</v>
      </c>
      <c r="G68" s="8" t="s">
        <v>872</v>
      </c>
      <c r="H68" s="5" t="s">
        <v>873</v>
      </c>
      <c r="I68" s="10" t="s">
        <v>874</v>
      </c>
      <c r="J68" t="s">
        <v>876</v>
      </c>
      <c r="K68" t="s">
        <v>1341</v>
      </c>
      <c r="L68" t="s">
        <v>1342</v>
      </c>
      <c r="M68" s="151" t="s">
        <v>875</v>
      </c>
      <c r="N68" s="2" t="s">
        <v>1305</v>
      </c>
    </row>
    <row r="69" spans="1:14" hidden="1">
      <c r="A69">
        <v>93</v>
      </c>
      <c r="B69" s="47">
        <v>46058</v>
      </c>
      <c r="C69" t="s">
        <v>204</v>
      </c>
      <c r="D69" s="2">
        <v>2</v>
      </c>
      <c r="E69" s="2">
        <v>1</v>
      </c>
      <c r="F69" s="2" t="s">
        <v>871</v>
      </c>
      <c r="G69" s="8" t="s">
        <v>872</v>
      </c>
      <c r="H69" s="5" t="s">
        <v>873</v>
      </c>
      <c r="I69" s="10" t="s">
        <v>874</v>
      </c>
      <c r="J69" t="s">
        <v>876</v>
      </c>
      <c r="K69" t="s">
        <v>1341</v>
      </c>
      <c r="L69" t="s">
        <v>1342</v>
      </c>
      <c r="M69" s="151" t="s">
        <v>875</v>
      </c>
      <c r="N69" s="2" t="s">
        <v>1305</v>
      </c>
    </row>
    <row r="70" spans="1:14" hidden="1">
      <c r="A70">
        <v>97</v>
      </c>
      <c r="B70" s="47">
        <v>46071</v>
      </c>
      <c r="C70" t="s">
        <v>168</v>
      </c>
      <c r="D70" s="2">
        <v>2</v>
      </c>
      <c r="E70" s="2">
        <v>2</v>
      </c>
      <c r="F70" s="2" t="s">
        <v>871</v>
      </c>
      <c r="G70" s="8" t="s">
        <v>872</v>
      </c>
      <c r="H70" s="5" t="s">
        <v>873</v>
      </c>
      <c r="I70" s="10" t="s">
        <v>874</v>
      </c>
      <c r="J70" t="s">
        <v>876</v>
      </c>
      <c r="K70" t="s">
        <v>1341</v>
      </c>
      <c r="L70" t="s">
        <v>1342</v>
      </c>
      <c r="M70" s="151" t="s">
        <v>875</v>
      </c>
      <c r="N70" s="2" t="s">
        <v>1305</v>
      </c>
    </row>
    <row r="71" spans="1:14" hidden="1">
      <c r="A71">
        <v>99</v>
      </c>
      <c r="B71" s="47">
        <v>46072</v>
      </c>
      <c r="C71" t="s">
        <v>149</v>
      </c>
      <c r="D71" s="2">
        <v>2</v>
      </c>
      <c r="E71" s="2">
        <v>1</v>
      </c>
      <c r="F71" s="2" t="s">
        <v>871</v>
      </c>
      <c r="G71" s="8" t="s">
        <v>872</v>
      </c>
      <c r="H71" s="5" t="s">
        <v>873</v>
      </c>
      <c r="I71" s="10" t="s">
        <v>874</v>
      </c>
      <c r="J71" t="s">
        <v>876</v>
      </c>
      <c r="K71" t="s">
        <v>1341</v>
      </c>
      <c r="L71" t="s">
        <v>1342</v>
      </c>
      <c r="M71" s="151" t="s">
        <v>875</v>
      </c>
      <c r="N71" s="2" t="s">
        <v>1305</v>
      </c>
    </row>
    <row r="72" spans="1:14" hidden="1">
      <c r="A72">
        <v>104</v>
      </c>
      <c r="B72" s="47">
        <v>46064</v>
      </c>
      <c r="C72" t="s">
        <v>108</v>
      </c>
      <c r="D72" s="2">
        <v>2</v>
      </c>
      <c r="E72" s="2">
        <v>2</v>
      </c>
      <c r="F72" s="2" t="s">
        <v>871</v>
      </c>
      <c r="G72" s="8" t="s">
        <v>872</v>
      </c>
      <c r="H72" s="5" t="s">
        <v>873</v>
      </c>
      <c r="I72" s="10" t="s">
        <v>874</v>
      </c>
      <c r="J72" t="s">
        <v>876</v>
      </c>
      <c r="K72" t="s">
        <v>1341</v>
      </c>
      <c r="L72" t="s">
        <v>1342</v>
      </c>
      <c r="M72" s="151" t="s">
        <v>875</v>
      </c>
      <c r="N72" s="2" t="s">
        <v>1305</v>
      </c>
    </row>
    <row r="73" spans="1:14" hidden="1">
      <c r="A73">
        <v>106</v>
      </c>
      <c r="B73" s="47">
        <v>46064</v>
      </c>
      <c r="C73" t="s">
        <v>89</v>
      </c>
      <c r="D73" s="2">
        <v>2</v>
      </c>
      <c r="E73" s="2">
        <v>1</v>
      </c>
      <c r="F73" s="2" t="s">
        <v>871</v>
      </c>
      <c r="G73" s="8" t="s">
        <v>872</v>
      </c>
      <c r="H73" s="5" t="s">
        <v>873</v>
      </c>
      <c r="I73" s="10" t="s">
        <v>874</v>
      </c>
      <c r="J73" t="s">
        <v>876</v>
      </c>
      <c r="K73" t="s">
        <v>1341</v>
      </c>
      <c r="L73" t="s">
        <v>1342</v>
      </c>
      <c r="M73" s="151" t="s">
        <v>875</v>
      </c>
      <c r="N73" s="2" t="s">
        <v>1305</v>
      </c>
    </row>
    <row r="74" spans="1:14" hidden="1">
      <c r="A74">
        <v>107</v>
      </c>
      <c r="B74" s="47">
        <v>46064</v>
      </c>
      <c r="C74" t="s">
        <v>87</v>
      </c>
      <c r="D74" s="2">
        <v>2</v>
      </c>
      <c r="E74" s="2">
        <v>1</v>
      </c>
      <c r="F74" s="2" t="s">
        <v>871</v>
      </c>
      <c r="G74" s="8" t="s">
        <v>872</v>
      </c>
      <c r="H74" s="5" t="s">
        <v>873</v>
      </c>
      <c r="I74" s="10" t="s">
        <v>874</v>
      </c>
      <c r="J74" t="s">
        <v>876</v>
      </c>
      <c r="K74" t="s">
        <v>1341</v>
      </c>
      <c r="L74" t="s">
        <v>1342</v>
      </c>
      <c r="M74" s="151" t="s">
        <v>875</v>
      </c>
      <c r="N74" s="2" t="s">
        <v>1305</v>
      </c>
    </row>
    <row r="75" spans="1:14" hidden="1">
      <c r="A75">
        <v>108</v>
      </c>
      <c r="B75" s="47">
        <v>46065</v>
      </c>
      <c r="C75" t="s">
        <v>84</v>
      </c>
      <c r="D75" s="2">
        <v>2</v>
      </c>
      <c r="E75" s="2">
        <v>1</v>
      </c>
      <c r="F75" s="2" t="s">
        <v>871</v>
      </c>
      <c r="G75" s="8" t="s">
        <v>872</v>
      </c>
      <c r="H75" s="5" t="s">
        <v>873</v>
      </c>
      <c r="I75" s="10" t="s">
        <v>874</v>
      </c>
      <c r="J75" t="s">
        <v>876</v>
      </c>
      <c r="K75" t="s">
        <v>1341</v>
      </c>
      <c r="L75" t="s">
        <v>1342</v>
      </c>
      <c r="M75" s="151" t="s">
        <v>875</v>
      </c>
      <c r="N75" s="2" t="s">
        <v>1305</v>
      </c>
    </row>
    <row r="76" spans="1:14" hidden="1">
      <c r="A76">
        <v>133</v>
      </c>
      <c r="B76" s="47">
        <v>46051</v>
      </c>
      <c r="C76" t="s">
        <v>158</v>
      </c>
      <c r="D76" s="2">
        <v>1</v>
      </c>
      <c r="E76" s="2">
        <v>1</v>
      </c>
      <c r="F76" s="2" t="s">
        <v>871</v>
      </c>
      <c r="G76" s="8" t="s">
        <v>872</v>
      </c>
      <c r="H76" s="5" t="s">
        <v>873</v>
      </c>
      <c r="I76" s="10" t="s">
        <v>874</v>
      </c>
      <c r="J76" t="s">
        <v>876</v>
      </c>
      <c r="K76" t="s">
        <v>1341</v>
      </c>
      <c r="L76" t="s">
        <v>1342</v>
      </c>
      <c r="M76" s="151" t="s">
        <v>875</v>
      </c>
      <c r="N76" s="2" t="s">
        <v>1305</v>
      </c>
    </row>
    <row r="77" spans="1:14" hidden="1">
      <c r="A77">
        <v>134</v>
      </c>
      <c r="B77" s="47">
        <v>46069</v>
      </c>
      <c r="C77" t="s">
        <v>154</v>
      </c>
      <c r="D77" s="2">
        <v>1</v>
      </c>
      <c r="E77" s="2">
        <v>1</v>
      </c>
      <c r="F77" s="2" t="s">
        <v>871</v>
      </c>
      <c r="G77" s="8" t="s">
        <v>872</v>
      </c>
      <c r="H77" s="5" t="s">
        <v>873</v>
      </c>
      <c r="I77" s="10" t="s">
        <v>874</v>
      </c>
      <c r="J77" t="s">
        <v>876</v>
      </c>
      <c r="K77" t="s">
        <v>1341</v>
      </c>
      <c r="L77" t="s">
        <v>1342</v>
      </c>
      <c r="M77" s="151" t="s">
        <v>875</v>
      </c>
      <c r="N77" s="2" t="s">
        <v>1305</v>
      </c>
    </row>
    <row r="78" spans="1:14" hidden="1">
      <c r="A78">
        <v>135</v>
      </c>
      <c r="B78" s="47">
        <v>46303</v>
      </c>
      <c r="C78" t="s">
        <v>152</v>
      </c>
      <c r="D78" s="2">
        <v>1</v>
      </c>
      <c r="E78" s="2">
        <v>1</v>
      </c>
      <c r="F78" s="2" t="s">
        <v>871</v>
      </c>
      <c r="G78" s="8" t="s">
        <v>872</v>
      </c>
      <c r="H78" s="5" t="s">
        <v>873</v>
      </c>
      <c r="I78" s="10" t="s">
        <v>874</v>
      </c>
      <c r="J78" t="s">
        <v>876</v>
      </c>
      <c r="K78" t="s">
        <v>1341</v>
      </c>
      <c r="L78" t="s">
        <v>1342</v>
      </c>
      <c r="M78" s="151" t="s">
        <v>875</v>
      </c>
      <c r="N78" s="2" t="s">
        <v>1305</v>
      </c>
    </row>
    <row r="79" spans="1:14" hidden="1">
      <c r="A79">
        <v>137</v>
      </c>
      <c r="B79" s="47">
        <v>46072</v>
      </c>
      <c r="C79" t="s">
        <v>91</v>
      </c>
      <c r="D79" s="2">
        <v>1</v>
      </c>
      <c r="E79" s="2">
        <v>1</v>
      </c>
      <c r="F79" s="2" t="s">
        <v>871</v>
      </c>
      <c r="G79" s="8" t="s">
        <v>872</v>
      </c>
      <c r="H79" s="5" t="s">
        <v>873</v>
      </c>
      <c r="I79" s="10" t="s">
        <v>874</v>
      </c>
      <c r="J79" t="s">
        <v>876</v>
      </c>
      <c r="K79" t="s">
        <v>1341</v>
      </c>
      <c r="L79" t="s">
        <v>1342</v>
      </c>
      <c r="M79" s="151" t="s">
        <v>875</v>
      </c>
      <c r="N79" s="2" t="s">
        <v>1305</v>
      </c>
    </row>
    <row r="80" spans="1:14" hidden="1">
      <c r="A80">
        <v>138</v>
      </c>
      <c r="B80" s="47">
        <v>46072</v>
      </c>
      <c r="C80" t="s">
        <v>88</v>
      </c>
      <c r="D80" s="2">
        <v>1</v>
      </c>
      <c r="E80" s="2">
        <v>1</v>
      </c>
      <c r="F80" s="2" t="s">
        <v>871</v>
      </c>
      <c r="G80" s="8" t="s">
        <v>872</v>
      </c>
      <c r="H80" s="5" t="s">
        <v>873</v>
      </c>
      <c r="I80" s="10" t="s">
        <v>874</v>
      </c>
      <c r="J80" t="s">
        <v>876</v>
      </c>
      <c r="K80" t="s">
        <v>1341</v>
      </c>
      <c r="L80" t="s">
        <v>1342</v>
      </c>
      <c r="M80" s="151" t="s">
        <v>875</v>
      </c>
      <c r="N80" s="2" t="s">
        <v>1305</v>
      </c>
    </row>
    <row r="81" spans="1:14" hidden="1">
      <c r="A81">
        <v>139</v>
      </c>
      <c r="B81" s="47">
        <v>46072</v>
      </c>
      <c r="C81" t="s">
        <v>86</v>
      </c>
      <c r="D81" s="2">
        <v>1</v>
      </c>
      <c r="E81" s="2">
        <v>1</v>
      </c>
      <c r="F81" s="2" t="s">
        <v>871</v>
      </c>
      <c r="G81" s="8" t="s">
        <v>872</v>
      </c>
      <c r="H81" s="5" t="s">
        <v>873</v>
      </c>
      <c r="I81" s="10" t="s">
        <v>874</v>
      </c>
      <c r="J81" t="s">
        <v>876</v>
      </c>
      <c r="K81" t="s">
        <v>1341</v>
      </c>
      <c r="L81" t="s">
        <v>1342</v>
      </c>
      <c r="M81" s="151" t="s">
        <v>875</v>
      </c>
      <c r="N81" s="2" t="s">
        <v>1305</v>
      </c>
    </row>
    <row r="82" spans="1:14" hidden="1">
      <c r="A82">
        <v>141</v>
      </c>
      <c r="B82" s="47">
        <v>46059</v>
      </c>
      <c r="C82" t="s">
        <v>79</v>
      </c>
      <c r="D82" s="2">
        <v>1</v>
      </c>
      <c r="E82" s="2">
        <v>1</v>
      </c>
      <c r="F82" s="2" t="s">
        <v>871</v>
      </c>
      <c r="G82" s="8" t="s">
        <v>872</v>
      </c>
      <c r="H82" s="5" t="s">
        <v>873</v>
      </c>
      <c r="I82" s="10" t="s">
        <v>874</v>
      </c>
      <c r="J82" t="s">
        <v>876</v>
      </c>
      <c r="K82" t="s">
        <v>1341</v>
      </c>
      <c r="L82" t="s">
        <v>1342</v>
      </c>
      <c r="M82" s="151" t="s">
        <v>875</v>
      </c>
      <c r="N82" s="2" t="s">
        <v>1305</v>
      </c>
    </row>
    <row r="83" spans="1:14" hidden="1">
      <c r="A83">
        <v>300</v>
      </c>
      <c r="C83" t="s">
        <v>149</v>
      </c>
      <c r="D83" s="2" t="s">
        <v>1345</v>
      </c>
      <c r="E83" s="2" t="s">
        <v>1346</v>
      </c>
      <c r="F83" s="2" t="s">
        <v>1017</v>
      </c>
      <c r="G83" s="8" t="s">
        <v>872</v>
      </c>
      <c r="H83" s="5" t="s">
        <v>873</v>
      </c>
      <c r="I83" s="10" t="s">
        <v>874</v>
      </c>
      <c r="J83" t="s">
        <v>876</v>
      </c>
      <c r="K83" t="s">
        <v>1341</v>
      </c>
      <c r="L83" t="s">
        <v>1342</v>
      </c>
      <c r="M83" s="151" t="s">
        <v>875</v>
      </c>
      <c r="N83" s="2" t="s">
        <v>1305</v>
      </c>
    </row>
    <row r="84" spans="1:14" hidden="1">
      <c r="A84">
        <v>301</v>
      </c>
      <c r="C84" t="s">
        <v>149</v>
      </c>
      <c r="D84" s="2" t="s">
        <v>1345</v>
      </c>
      <c r="E84" s="2" t="s">
        <v>1346</v>
      </c>
      <c r="F84" s="2" t="s">
        <v>1017</v>
      </c>
      <c r="G84" s="8" t="s">
        <v>872</v>
      </c>
      <c r="H84" s="5" t="s">
        <v>873</v>
      </c>
      <c r="I84" s="10" t="s">
        <v>874</v>
      </c>
      <c r="J84" t="s">
        <v>876</v>
      </c>
      <c r="K84" t="s">
        <v>1341</v>
      </c>
      <c r="L84" t="s">
        <v>1342</v>
      </c>
      <c r="M84" s="151" t="s">
        <v>875</v>
      </c>
      <c r="N84" s="2" t="s">
        <v>1305</v>
      </c>
    </row>
    <row r="85" spans="1:14" hidden="1">
      <c r="A85">
        <v>30</v>
      </c>
      <c r="B85" s="47">
        <v>46072</v>
      </c>
      <c r="C85" t="s">
        <v>147</v>
      </c>
      <c r="D85" s="2">
        <v>10</v>
      </c>
      <c r="E85" s="2">
        <v>2</v>
      </c>
      <c r="F85" s="2" t="s">
        <v>871</v>
      </c>
      <c r="G85" s="7" t="s">
        <v>880</v>
      </c>
      <c r="H85" s="5" t="s">
        <v>895</v>
      </c>
      <c r="I85" s="10" t="s">
        <v>903</v>
      </c>
      <c r="J85" t="s">
        <v>876</v>
      </c>
      <c r="K85" t="s">
        <v>1341</v>
      </c>
      <c r="L85" t="s">
        <v>1347</v>
      </c>
      <c r="M85" s="151" t="s">
        <v>875</v>
      </c>
      <c r="N85" s="2" t="s">
        <v>1305</v>
      </c>
    </row>
    <row r="86" spans="1:14" hidden="1">
      <c r="A86">
        <v>32</v>
      </c>
      <c r="B86" s="47">
        <v>46071</v>
      </c>
      <c r="C86" t="s">
        <v>187</v>
      </c>
      <c r="D86" s="2">
        <v>9</v>
      </c>
      <c r="E86" s="2">
        <v>1</v>
      </c>
      <c r="F86" s="2" t="s">
        <v>881</v>
      </c>
      <c r="G86" s="7" t="s">
        <v>880</v>
      </c>
      <c r="H86" s="5" t="s">
        <v>895</v>
      </c>
      <c r="I86" s="10" t="s">
        <v>904</v>
      </c>
      <c r="J86" t="s">
        <v>884</v>
      </c>
      <c r="K86" t="s">
        <v>1352</v>
      </c>
      <c r="L86" t="s">
        <v>1342</v>
      </c>
      <c r="N86" t="s">
        <v>1327</v>
      </c>
    </row>
    <row r="87" spans="1:14" hidden="1">
      <c r="A87">
        <v>20</v>
      </c>
      <c r="B87" s="47">
        <v>46072</v>
      </c>
      <c r="C87" t="s">
        <v>181</v>
      </c>
      <c r="D87" s="2">
        <v>23</v>
      </c>
      <c r="E87" s="2">
        <v>4</v>
      </c>
      <c r="F87" s="2" t="s">
        <v>881</v>
      </c>
      <c r="G87" s="8" t="s">
        <v>872</v>
      </c>
      <c r="H87" s="5" t="s">
        <v>900</v>
      </c>
      <c r="I87" s="10" t="s">
        <v>1325</v>
      </c>
      <c r="J87" t="s">
        <v>876</v>
      </c>
      <c r="K87" t="s">
        <v>1352</v>
      </c>
      <c r="L87" t="s">
        <v>1342</v>
      </c>
      <c r="M87" s="151" t="s">
        <v>875</v>
      </c>
      <c r="N87" s="2" t="s">
        <v>1326</v>
      </c>
    </row>
    <row r="88" spans="1:14" hidden="1">
      <c r="A88">
        <v>41</v>
      </c>
      <c r="B88" s="47">
        <v>46066</v>
      </c>
      <c r="C88" t="s">
        <v>179</v>
      </c>
      <c r="D88" s="2">
        <v>7</v>
      </c>
      <c r="E88" s="2">
        <v>3</v>
      </c>
      <c r="F88" s="2" t="s">
        <v>881</v>
      </c>
      <c r="G88" s="8" t="s">
        <v>872</v>
      </c>
      <c r="H88" s="5" t="s">
        <v>900</v>
      </c>
      <c r="I88" s="10" t="s">
        <v>1325</v>
      </c>
      <c r="J88" t="s">
        <v>876</v>
      </c>
      <c r="K88" t="s">
        <v>1352</v>
      </c>
      <c r="L88" t="s">
        <v>1342</v>
      </c>
      <c r="M88" s="151" t="s">
        <v>875</v>
      </c>
      <c r="N88" s="2" t="s">
        <v>1326</v>
      </c>
    </row>
    <row r="89" spans="1:14" hidden="1">
      <c r="A89">
        <v>64</v>
      </c>
      <c r="B89" s="47">
        <v>46072</v>
      </c>
      <c r="C89" t="s">
        <v>182</v>
      </c>
      <c r="D89" s="2">
        <v>4</v>
      </c>
      <c r="E89" s="2">
        <v>1</v>
      </c>
      <c r="F89" s="2" t="s">
        <v>881</v>
      </c>
      <c r="G89" s="8" t="s">
        <v>872</v>
      </c>
      <c r="H89" s="5" t="s">
        <v>900</v>
      </c>
      <c r="I89" s="10" t="s">
        <v>1325</v>
      </c>
      <c r="J89" t="s">
        <v>876</v>
      </c>
      <c r="K89" t="s">
        <v>1352</v>
      </c>
      <c r="L89" t="s">
        <v>1342</v>
      </c>
      <c r="M89" s="151" t="s">
        <v>875</v>
      </c>
      <c r="N89" s="2" t="s">
        <v>1326</v>
      </c>
    </row>
    <row r="90" spans="1:14" hidden="1">
      <c r="A90">
        <v>94</v>
      </c>
      <c r="B90" s="47">
        <v>46072</v>
      </c>
      <c r="C90" t="s">
        <v>188</v>
      </c>
      <c r="D90" s="2">
        <v>2</v>
      </c>
      <c r="E90" s="2">
        <v>1</v>
      </c>
      <c r="F90" s="2" t="s">
        <v>916</v>
      </c>
      <c r="G90" s="8" t="s">
        <v>872</v>
      </c>
      <c r="H90" s="5" t="s">
        <v>900</v>
      </c>
      <c r="I90" s="10" t="s">
        <v>1325</v>
      </c>
      <c r="J90" t="s">
        <v>876</v>
      </c>
      <c r="K90" t="s">
        <v>1352</v>
      </c>
      <c r="L90" t="s">
        <v>1342</v>
      </c>
      <c r="M90" s="151" t="s">
        <v>875</v>
      </c>
      <c r="N90" s="2" t="s">
        <v>1326</v>
      </c>
    </row>
    <row r="91" spans="1:14" hidden="1">
      <c r="A91">
        <v>95</v>
      </c>
      <c r="B91" s="47">
        <v>46071</v>
      </c>
      <c r="C91" t="s">
        <v>183</v>
      </c>
      <c r="D91" s="26">
        <v>2</v>
      </c>
      <c r="E91" s="26">
        <v>2</v>
      </c>
      <c r="F91" s="2" t="s">
        <v>881</v>
      </c>
      <c r="G91" s="8" t="s">
        <v>872</v>
      </c>
      <c r="H91" s="5" t="s">
        <v>895</v>
      </c>
      <c r="I91" s="10" t="s">
        <v>926</v>
      </c>
      <c r="J91" t="s">
        <v>915</v>
      </c>
      <c r="K91" t="s">
        <v>1352</v>
      </c>
      <c r="L91" t="s">
        <v>1344</v>
      </c>
      <c r="N91" t="s">
        <v>1312</v>
      </c>
    </row>
    <row r="92" spans="1:14" hidden="1">
      <c r="A92">
        <v>305</v>
      </c>
      <c r="C92" t="s">
        <v>1357</v>
      </c>
      <c r="D92" s="2" t="s">
        <v>1345</v>
      </c>
      <c r="E92" s="2" t="s">
        <v>1346</v>
      </c>
      <c r="F92" s="2" t="s">
        <v>894</v>
      </c>
      <c r="G92" s="8" t="s">
        <v>872</v>
      </c>
      <c r="H92" s="10" t="s">
        <v>895</v>
      </c>
      <c r="I92" s="10" t="s">
        <v>1320</v>
      </c>
      <c r="J92" t="s">
        <v>884</v>
      </c>
      <c r="K92" t="s">
        <v>1352</v>
      </c>
      <c r="L92" t="s">
        <v>1344</v>
      </c>
      <c r="N92" t="s">
        <v>1321</v>
      </c>
    </row>
    <row r="93" spans="1:14">
      <c r="A93">
        <v>52</v>
      </c>
      <c r="B93" s="47">
        <v>46070</v>
      </c>
      <c r="C93" t="s">
        <v>203</v>
      </c>
      <c r="D93" s="2">
        <v>5</v>
      </c>
      <c r="E93" s="2">
        <v>1</v>
      </c>
      <c r="F93" s="2" t="s">
        <v>871</v>
      </c>
      <c r="G93" s="8" t="s">
        <v>872</v>
      </c>
      <c r="H93" s="5" t="s">
        <v>895</v>
      </c>
      <c r="I93" s="10" t="s">
        <v>914</v>
      </c>
      <c r="J93" t="s">
        <v>915</v>
      </c>
      <c r="K93" t="s">
        <v>1358</v>
      </c>
      <c r="L93" t="s">
        <v>1344</v>
      </c>
      <c r="N93" t="s">
        <v>1307</v>
      </c>
    </row>
    <row r="94" spans="1:14">
      <c r="A94">
        <v>86</v>
      </c>
      <c r="B94" s="47">
        <v>46034</v>
      </c>
      <c r="C94" t="s">
        <v>8</v>
      </c>
      <c r="D94" s="2">
        <v>3</v>
      </c>
      <c r="E94" s="2">
        <v>1</v>
      </c>
      <c r="F94" s="2" t="s">
        <v>871</v>
      </c>
      <c r="G94" s="8" t="s">
        <v>872</v>
      </c>
      <c r="H94" s="5" t="s">
        <v>923</v>
      </c>
      <c r="I94" s="10" t="s">
        <v>924</v>
      </c>
      <c r="J94" t="s">
        <v>884</v>
      </c>
      <c r="K94" t="s">
        <v>1358</v>
      </c>
      <c r="L94" t="s">
        <v>1344</v>
      </c>
      <c r="N94" t="s">
        <v>1311</v>
      </c>
    </row>
    <row r="95" spans="1:14">
      <c r="A95">
        <v>131</v>
      </c>
      <c r="B95" s="47">
        <v>46071</v>
      </c>
      <c r="C95" t="s">
        <v>162</v>
      </c>
      <c r="D95" s="2">
        <v>1</v>
      </c>
      <c r="E95" s="2">
        <v>1</v>
      </c>
      <c r="F95" s="2" t="s">
        <v>871</v>
      </c>
      <c r="G95" s="8" t="s">
        <v>872</v>
      </c>
      <c r="H95" s="5" t="s">
        <v>923</v>
      </c>
      <c r="I95" s="10" t="s">
        <v>924</v>
      </c>
      <c r="J95" t="s">
        <v>884</v>
      </c>
      <c r="K95" t="s">
        <v>1358</v>
      </c>
      <c r="L95" t="s">
        <v>1344</v>
      </c>
      <c r="N95" t="s">
        <v>1311</v>
      </c>
    </row>
    <row r="96" spans="1:14">
      <c r="A96">
        <v>228</v>
      </c>
      <c r="C96" t="s">
        <v>1141</v>
      </c>
      <c r="D96" s="2" t="s">
        <v>1345</v>
      </c>
      <c r="E96" s="2" t="s">
        <v>1346</v>
      </c>
      <c r="F96" s="2" t="s">
        <v>1135</v>
      </c>
      <c r="G96" s="8" t="s">
        <v>872</v>
      </c>
      <c r="H96" s="10" t="s">
        <v>895</v>
      </c>
      <c r="I96" s="10" t="s">
        <v>1142</v>
      </c>
      <c r="J96" t="s">
        <v>876</v>
      </c>
      <c r="K96" t="s">
        <v>1358</v>
      </c>
      <c r="L96" t="s">
        <v>1344</v>
      </c>
      <c r="N96" t="s">
        <v>1311</v>
      </c>
    </row>
    <row r="97" spans="1:14">
      <c r="A97">
        <v>229</v>
      </c>
      <c r="C97" t="s">
        <v>1144</v>
      </c>
      <c r="D97" s="2" t="s">
        <v>1345</v>
      </c>
      <c r="E97" s="2" t="s">
        <v>1346</v>
      </c>
      <c r="F97" s="2" t="s">
        <v>1135</v>
      </c>
      <c r="G97" s="8" t="s">
        <v>872</v>
      </c>
      <c r="H97" s="10" t="s">
        <v>895</v>
      </c>
      <c r="I97" s="10" t="s">
        <v>1142</v>
      </c>
      <c r="J97" t="s">
        <v>876</v>
      </c>
      <c r="K97" t="s">
        <v>1358</v>
      </c>
      <c r="L97" t="s">
        <v>1344</v>
      </c>
      <c r="N97" t="s">
        <v>1311</v>
      </c>
    </row>
    <row r="98" spans="1:14" hidden="1">
      <c r="A98" s="24">
        <v>16</v>
      </c>
      <c r="B98" s="46">
        <v>46072</v>
      </c>
      <c r="C98" s="23" t="s">
        <v>53</v>
      </c>
      <c r="D98" s="2">
        <v>27</v>
      </c>
      <c r="E98" s="2">
        <v>4</v>
      </c>
      <c r="F98" s="2" t="s">
        <v>894</v>
      </c>
      <c r="G98" s="8" t="s">
        <v>872</v>
      </c>
      <c r="H98" s="5" t="s">
        <v>898</v>
      </c>
      <c r="I98" s="10" t="s">
        <v>899</v>
      </c>
      <c r="J98" t="s">
        <v>876</v>
      </c>
      <c r="K98" t="s">
        <v>1353</v>
      </c>
      <c r="L98" t="s">
        <v>1344</v>
      </c>
      <c r="M98" s="151" t="s">
        <v>875</v>
      </c>
      <c r="N98" s="2" t="s">
        <v>1303</v>
      </c>
    </row>
    <row r="99" spans="1:14" hidden="1">
      <c r="A99">
        <v>53</v>
      </c>
      <c r="B99" s="47">
        <v>46064</v>
      </c>
      <c r="C99" s="23" t="s">
        <v>195</v>
      </c>
      <c r="D99" s="2">
        <v>5</v>
      </c>
      <c r="E99" s="2">
        <v>2</v>
      </c>
      <c r="F99" s="2" t="s">
        <v>894</v>
      </c>
      <c r="G99" s="8" t="s">
        <v>872</v>
      </c>
      <c r="H99" s="5" t="s">
        <v>898</v>
      </c>
      <c r="I99" s="10" t="s">
        <v>899</v>
      </c>
      <c r="J99" t="s">
        <v>876</v>
      </c>
      <c r="K99" s="17" t="s">
        <v>1353</v>
      </c>
      <c r="L99" t="s">
        <v>1344</v>
      </c>
      <c r="M99" s="151" t="s">
        <v>875</v>
      </c>
      <c r="N99" s="2" t="s">
        <v>1303</v>
      </c>
    </row>
    <row r="100" spans="1:14" hidden="1">
      <c r="A100">
        <v>62</v>
      </c>
      <c r="B100" s="47">
        <v>45951</v>
      </c>
      <c r="C100" s="23" t="s">
        <v>221</v>
      </c>
      <c r="D100" s="2">
        <v>4</v>
      </c>
      <c r="E100" s="2">
        <v>2</v>
      </c>
      <c r="F100" s="2" t="s">
        <v>871</v>
      </c>
      <c r="G100" s="8" t="s">
        <v>872</v>
      </c>
      <c r="H100" s="5" t="s">
        <v>898</v>
      </c>
      <c r="I100" s="10" t="s">
        <v>899</v>
      </c>
      <c r="J100" t="s">
        <v>876</v>
      </c>
      <c r="K100" s="17" t="s">
        <v>1353</v>
      </c>
      <c r="L100" t="s">
        <v>1344</v>
      </c>
      <c r="M100" s="151" t="s">
        <v>875</v>
      </c>
      <c r="N100" s="2" t="s">
        <v>1303</v>
      </c>
    </row>
    <row r="101" spans="1:14" hidden="1">
      <c r="A101">
        <v>65</v>
      </c>
      <c r="B101" s="48">
        <v>46253</v>
      </c>
      <c r="C101" s="23" t="s">
        <v>172</v>
      </c>
      <c r="D101" s="2">
        <v>4</v>
      </c>
      <c r="E101" s="2">
        <v>1</v>
      </c>
      <c r="F101" s="2" t="s">
        <v>894</v>
      </c>
      <c r="G101" s="8" t="s">
        <v>872</v>
      </c>
      <c r="H101" s="5" t="s">
        <v>898</v>
      </c>
      <c r="I101" s="10" t="s">
        <v>899</v>
      </c>
      <c r="J101" t="s">
        <v>876</v>
      </c>
      <c r="K101" s="17" t="s">
        <v>1353</v>
      </c>
      <c r="L101" t="s">
        <v>1344</v>
      </c>
      <c r="M101" s="151" t="s">
        <v>875</v>
      </c>
      <c r="N101" s="2" t="s">
        <v>1303</v>
      </c>
    </row>
    <row r="102" spans="1:14" hidden="1">
      <c r="A102">
        <v>76</v>
      </c>
      <c r="B102" s="47">
        <v>46062</v>
      </c>
      <c r="C102" s="23" t="s">
        <v>215</v>
      </c>
      <c r="D102" s="2">
        <v>3</v>
      </c>
      <c r="E102" s="2">
        <v>1</v>
      </c>
      <c r="F102" s="2" t="s">
        <v>894</v>
      </c>
      <c r="G102" s="8" t="s">
        <v>872</v>
      </c>
      <c r="H102" s="5" t="s">
        <v>898</v>
      </c>
      <c r="I102" s="10" t="s">
        <v>899</v>
      </c>
      <c r="J102" t="s">
        <v>876</v>
      </c>
      <c r="K102" s="17" t="s">
        <v>1353</v>
      </c>
      <c r="L102" t="s">
        <v>1344</v>
      </c>
      <c r="M102" s="151" t="s">
        <v>875</v>
      </c>
      <c r="N102" s="2" t="s">
        <v>1303</v>
      </c>
    </row>
    <row r="103" spans="1:14" hidden="1">
      <c r="A103">
        <v>87</v>
      </c>
      <c r="B103" s="47">
        <v>46052</v>
      </c>
      <c r="C103" s="23" t="s">
        <v>224</v>
      </c>
      <c r="D103" s="2">
        <v>2</v>
      </c>
      <c r="E103" s="2">
        <v>1</v>
      </c>
      <c r="F103" s="2" t="s">
        <v>894</v>
      </c>
      <c r="G103" s="8" t="s">
        <v>872</v>
      </c>
      <c r="H103" s="5" t="s">
        <v>898</v>
      </c>
      <c r="I103" s="10" t="s">
        <v>899</v>
      </c>
      <c r="J103" t="s">
        <v>876</v>
      </c>
      <c r="K103" s="17" t="s">
        <v>1353</v>
      </c>
      <c r="L103" t="s">
        <v>1344</v>
      </c>
      <c r="M103" s="151" t="s">
        <v>875</v>
      </c>
      <c r="N103" s="2" t="s">
        <v>1303</v>
      </c>
    </row>
    <row r="104" spans="1:14" hidden="1">
      <c r="A104">
        <v>88</v>
      </c>
      <c r="B104" s="47">
        <v>46056</v>
      </c>
      <c r="C104" s="23" t="s">
        <v>222</v>
      </c>
      <c r="D104" s="2">
        <v>2</v>
      </c>
      <c r="E104" s="2">
        <v>1</v>
      </c>
      <c r="F104" s="2" t="s">
        <v>894</v>
      </c>
      <c r="G104" s="8" t="s">
        <v>872</v>
      </c>
      <c r="H104" s="5" t="s">
        <v>898</v>
      </c>
      <c r="I104" s="10" t="s">
        <v>899</v>
      </c>
      <c r="J104" t="s">
        <v>876</v>
      </c>
      <c r="K104" s="17" t="s">
        <v>1353</v>
      </c>
      <c r="L104" t="s">
        <v>1344</v>
      </c>
      <c r="M104" s="151" t="s">
        <v>875</v>
      </c>
      <c r="N104" s="2" t="s">
        <v>1303</v>
      </c>
    </row>
    <row r="105" spans="1:14" hidden="1">
      <c r="A105">
        <v>89</v>
      </c>
      <c r="B105" s="47">
        <v>46071</v>
      </c>
      <c r="C105" s="23" t="s">
        <v>214</v>
      </c>
      <c r="D105" s="2">
        <v>2</v>
      </c>
      <c r="E105" s="2">
        <v>1</v>
      </c>
      <c r="F105" s="2" t="s">
        <v>894</v>
      </c>
      <c r="G105" s="8" t="s">
        <v>872</v>
      </c>
      <c r="H105" s="5" t="s">
        <v>898</v>
      </c>
      <c r="I105" s="10" t="s">
        <v>899</v>
      </c>
      <c r="J105" t="s">
        <v>876</v>
      </c>
      <c r="K105" s="17" t="s">
        <v>1353</v>
      </c>
      <c r="L105" t="s">
        <v>1344</v>
      </c>
      <c r="M105" s="151" t="s">
        <v>875</v>
      </c>
      <c r="N105" s="2" t="s">
        <v>1303</v>
      </c>
    </row>
    <row r="106" spans="1:14" hidden="1">
      <c r="A106">
        <v>115</v>
      </c>
      <c r="B106" s="47">
        <v>46056</v>
      </c>
      <c r="C106" s="23" t="s">
        <v>223</v>
      </c>
      <c r="D106" s="2">
        <v>1</v>
      </c>
      <c r="E106" s="2">
        <v>1</v>
      </c>
      <c r="F106" s="2" t="s">
        <v>894</v>
      </c>
      <c r="G106" s="8" t="s">
        <v>872</v>
      </c>
      <c r="H106" s="5" t="s">
        <v>898</v>
      </c>
      <c r="I106" s="10" t="s">
        <v>899</v>
      </c>
      <c r="J106" t="s">
        <v>876</v>
      </c>
      <c r="K106" s="17" t="s">
        <v>1353</v>
      </c>
      <c r="L106" t="s">
        <v>1344</v>
      </c>
      <c r="M106" s="151" t="s">
        <v>875</v>
      </c>
      <c r="N106" s="2" t="s">
        <v>1303</v>
      </c>
    </row>
    <row r="107" spans="1:14" hidden="1">
      <c r="A107">
        <v>116</v>
      </c>
      <c r="B107" s="47">
        <v>46056</v>
      </c>
      <c r="C107" s="23" t="s">
        <v>217</v>
      </c>
      <c r="D107" s="2">
        <v>1</v>
      </c>
      <c r="E107" s="2">
        <v>1</v>
      </c>
      <c r="F107" s="2" t="s">
        <v>894</v>
      </c>
      <c r="G107" s="7" t="s">
        <v>880</v>
      </c>
      <c r="H107" s="5" t="s">
        <v>898</v>
      </c>
      <c r="I107" s="10" t="s">
        <v>899</v>
      </c>
      <c r="J107" t="s">
        <v>876</v>
      </c>
      <c r="K107" s="17" t="s">
        <v>1353</v>
      </c>
      <c r="L107" t="s">
        <v>1344</v>
      </c>
      <c r="M107" s="151" t="s">
        <v>875</v>
      </c>
      <c r="N107" s="2" t="s">
        <v>1303</v>
      </c>
    </row>
    <row r="108" spans="1:14" hidden="1">
      <c r="A108">
        <v>117</v>
      </c>
      <c r="B108" s="47">
        <v>46058</v>
      </c>
      <c r="C108" s="23" t="s">
        <v>216</v>
      </c>
      <c r="D108" s="2">
        <v>1</v>
      </c>
      <c r="E108" s="2">
        <v>1</v>
      </c>
      <c r="F108" s="2" t="s">
        <v>894</v>
      </c>
      <c r="G108" s="8" t="s">
        <v>872</v>
      </c>
      <c r="H108" s="5" t="s">
        <v>898</v>
      </c>
      <c r="I108" s="10" t="s">
        <v>899</v>
      </c>
      <c r="J108" t="s">
        <v>876</v>
      </c>
      <c r="K108" s="17" t="s">
        <v>1353</v>
      </c>
      <c r="L108" t="s">
        <v>1344</v>
      </c>
      <c r="M108" s="151" t="s">
        <v>875</v>
      </c>
      <c r="N108" s="2" t="s">
        <v>1303</v>
      </c>
    </row>
    <row r="109" spans="1:14" hidden="1">
      <c r="A109">
        <v>119</v>
      </c>
      <c r="B109" s="47">
        <v>46072</v>
      </c>
      <c r="C109" s="23" t="s">
        <v>212</v>
      </c>
      <c r="D109" s="2">
        <v>1</v>
      </c>
      <c r="E109" s="2">
        <v>1</v>
      </c>
      <c r="F109" s="2" t="s">
        <v>894</v>
      </c>
      <c r="G109" s="8" t="s">
        <v>872</v>
      </c>
      <c r="H109" s="5" t="s">
        <v>898</v>
      </c>
      <c r="I109" s="10" t="s">
        <v>899</v>
      </c>
      <c r="J109" t="s">
        <v>876</v>
      </c>
      <c r="K109" s="17" t="s">
        <v>1353</v>
      </c>
      <c r="L109" t="s">
        <v>1344</v>
      </c>
      <c r="M109" s="151" t="s">
        <v>875</v>
      </c>
      <c r="N109" s="2" t="s">
        <v>1303</v>
      </c>
    </row>
    <row r="110" spans="1:14" hidden="1">
      <c r="A110">
        <v>140</v>
      </c>
      <c r="B110" s="47">
        <v>46056</v>
      </c>
      <c r="C110" s="23" t="s">
        <v>81</v>
      </c>
      <c r="D110" s="2">
        <v>1</v>
      </c>
      <c r="E110" s="2">
        <v>1</v>
      </c>
      <c r="F110" s="2" t="s">
        <v>871</v>
      </c>
      <c r="G110" s="8" t="s">
        <v>872</v>
      </c>
      <c r="H110" s="5" t="s">
        <v>898</v>
      </c>
      <c r="I110" s="10" t="s">
        <v>899</v>
      </c>
      <c r="J110" t="s">
        <v>876</v>
      </c>
      <c r="K110" s="17" t="s">
        <v>1353</v>
      </c>
      <c r="L110" t="s">
        <v>1344</v>
      </c>
      <c r="M110" s="151" t="s">
        <v>875</v>
      </c>
      <c r="N110" s="2" t="s">
        <v>1303</v>
      </c>
    </row>
    <row r="111" spans="1:14" hidden="1">
      <c r="A111">
        <v>144</v>
      </c>
      <c r="B111" s="47">
        <v>46073</v>
      </c>
      <c r="C111" s="23" t="s">
        <v>61</v>
      </c>
      <c r="D111" s="2">
        <v>1</v>
      </c>
      <c r="E111" s="2">
        <v>1</v>
      </c>
      <c r="F111" s="2" t="s">
        <v>894</v>
      </c>
      <c r="G111" s="8" t="s">
        <v>872</v>
      </c>
      <c r="H111" s="5" t="s">
        <v>898</v>
      </c>
      <c r="I111" s="10" t="s">
        <v>899</v>
      </c>
      <c r="J111" t="s">
        <v>876</v>
      </c>
      <c r="K111" t="s">
        <v>1353</v>
      </c>
      <c r="L111" t="s">
        <v>1344</v>
      </c>
      <c r="M111" s="151" t="s">
        <v>875</v>
      </c>
      <c r="N111" s="2" t="s">
        <v>1303</v>
      </c>
    </row>
    <row r="112" spans="1:14" hidden="1">
      <c r="A112">
        <v>161</v>
      </c>
      <c r="C112" s="23" t="s">
        <v>1032</v>
      </c>
      <c r="D112" s="2" t="s">
        <v>1345</v>
      </c>
      <c r="E112" s="2" t="s">
        <v>1346</v>
      </c>
      <c r="F112" s="2" t="s">
        <v>1025</v>
      </c>
      <c r="G112" s="8" t="s">
        <v>872</v>
      </c>
      <c r="H112" s="10" t="s">
        <v>898</v>
      </c>
      <c r="I112" s="10" t="s">
        <v>899</v>
      </c>
      <c r="J112" t="s">
        <v>876</v>
      </c>
      <c r="K112" s="17" t="s">
        <v>1353</v>
      </c>
      <c r="L112" t="s">
        <v>1344</v>
      </c>
      <c r="M112" s="151" t="s">
        <v>875</v>
      </c>
      <c r="N112" s="2" t="s">
        <v>1303</v>
      </c>
    </row>
    <row r="113" spans="1:14" hidden="1">
      <c r="A113">
        <v>162</v>
      </c>
      <c r="C113" s="23" t="s">
        <v>1033</v>
      </c>
      <c r="D113" s="2" t="s">
        <v>1345</v>
      </c>
      <c r="E113" s="2" t="s">
        <v>1346</v>
      </c>
      <c r="F113" s="2" t="s">
        <v>1025</v>
      </c>
      <c r="G113" s="8" t="s">
        <v>872</v>
      </c>
      <c r="H113" s="10" t="s">
        <v>898</v>
      </c>
      <c r="I113" s="10" t="s">
        <v>899</v>
      </c>
      <c r="J113" t="s">
        <v>876</v>
      </c>
      <c r="K113" s="17" t="s">
        <v>1353</v>
      </c>
      <c r="L113" t="s">
        <v>1344</v>
      </c>
      <c r="M113" s="151" t="s">
        <v>875</v>
      </c>
      <c r="N113" s="2" t="s">
        <v>1303</v>
      </c>
    </row>
    <row r="114" spans="1:14" hidden="1">
      <c r="A114">
        <v>163</v>
      </c>
      <c r="C114" s="23" t="s">
        <v>1035</v>
      </c>
      <c r="D114" s="2" t="s">
        <v>1345</v>
      </c>
      <c r="E114" s="2" t="s">
        <v>1346</v>
      </c>
      <c r="F114" s="2" t="s">
        <v>1025</v>
      </c>
      <c r="G114" s="8" t="s">
        <v>872</v>
      </c>
      <c r="H114" s="10" t="s">
        <v>898</v>
      </c>
      <c r="I114" s="10" t="s">
        <v>899</v>
      </c>
      <c r="J114" t="s">
        <v>876</v>
      </c>
      <c r="K114" s="17" t="s">
        <v>1353</v>
      </c>
      <c r="L114" t="s">
        <v>1344</v>
      </c>
      <c r="M114" s="151" t="s">
        <v>875</v>
      </c>
      <c r="N114" s="2" t="s">
        <v>1303</v>
      </c>
    </row>
    <row r="115" spans="1:14" hidden="1">
      <c r="A115">
        <v>164</v>
      </c>
      <c r="C115" s="23" t="s">
        <v>1035</v>
      </c>
      <c r="D115" s="2" t="s">
        <v>1345</v>
      </c>
      <c r="E115" s="2" t="s">
        <v>1346</v>
      </c>
      <c r="F115" s="2" t="s">
        <v>1025</v>
      </c>
      <c r="G115" s="8" t="s">
        <v>872</v>
      </c>
      <c r="H115" s="10" t="s">
        <v>898</v>
      </c>
      <c r="I115" s="10" t="s">
        <v>899</v>
      </c>
      <c r="J115" t="s">
        <v>876</v>
      </c>
      <c r="K115" s="17" t="s">
        <v>1353</v>
      </c>
      <c r="L115" t="s">
        <v>1344</v>
      </c>
      <c r="M115" s="151" t="s">
        <v>875</v>
      </c>
      <c r="N115" s="2" t="s">
        <v>1303</v>
      </c>
    </row>
    <row r="116" spans="1:14" hidden="1">
      <c r="A116">
        <v>165</v>
      </c>
      <c r="C116" s="23" t="s">
        <v>1037</v>
      </c>
      <c r="D116" s="2" t="s">
        <v>1345</v>
      </c>
      <c r="E116" s="2" t="s">
        <v>1346</v>
      </c>
      <c r="F116" s="2" t="s">
        <v>1025</v>
      </c>
      <c r="G116" s="8" t="s">
        <v>872</v>
      </c>
      <c r="H116" s="10" t="s">
        <v>898</v>
      </c>
      <c r="I116" s="10" t="s">
        <v>899</v>
      </c>
      <c r="J116" t="s">
        <v>876</v>
      </c>
      <c r="K116" s="17" t="s">
        <v>1353</v>
      </c>
      <c r="L116" t="s">
        <v>1344</v>
      </c>
      <c r="M116" s="151" t="s">
        <v>875</v>
      </c>
      <c r="N116" s="2" t="s">
        <v>1303</v>
      </c>
    </row>
    <row r="117" spans="1:14" hidden="1">
      <c r="A117">
        <v>166</v>
      </c>
      <c r="C117" s="23" t="s">
        <v>1039</v>
      </c>
      <c r="D117" s="2" t="s">
        <v>1345</v>
      </c>
      <c r="E117" s="2" t="s">
        <v>1350</v>
      </c>
      <c r="F117" s="2" t="s">
        <v>1025</v>
      </c>
      <c r="G117" s="8" t="s">
        <v>872</v>
      </c>
      <c r="H117" s="10" t="s">
        <v>898</v>
      </c>
      <c r="I117" s="10" t="s">
        <v>899</v>
      </c>
      <c r="J117" t="s">
        <v>876</v>
      </c>
      <c r="K117" s="17" t="s">
        <v>1353</v>
      </c>
      <c r="L117" t="s">
        <v>1344</v>
      </c>
      <c r="M117" s="151" t="s">
        <v>875</v>
      </c>
      <c r="N117" s="2" t="s">
        <v>1303</v>
      </c>
    </row>
    <row r="118" spans="1:14" hidden="1">
      <c r="A118">
        <v>168</v>
      </c>
      <c r="C118" s="23" t="s">
        <v>1041</v>
      </c>
      <c r="D118" s="2" t="s">
        <v>1345</v>
      </c>
      <c r="E118" s="2" t="s">
        <v>1350</v>
      </c>
      <c r="F118" s="2" t="s">
        <v>1025</v>
      </c>
      <c r="G118" s="8" t="s">
        <v>872</v>
      </c>
      <c r="H118" s="10" t="s">
        <v>898</v>
      </c>
      <c r="I118" s="10" t="s">
        <v>899</v>
      </c>
      <c r="J118" t="s">
        <v>876</v>
      </c>
      <c r="K118" s="17" t="s">
        <v>1353</v>
      </c>
      <c r="L118" t="s">
        <v>1344</v>
      </c>
      <c r="M118" s="151" t="s">
        <v>875</v>
      </c>
      <c r="N118" s="2" t="s">
        <v>1303</v>
      </c>
    </row>
    <row r="119" spans="1:14" hidden="1">
      <c r="A119">
        <v>169</v>
      </c>
      <c r="C119" s="23" t="s">
        <v>1043</v>
      </c>
      <c r="D119" s="2" t="s">
        <v>1345</v>
      </c>
      <c r="E119" s="2" t="s">
        <v>1350</v>
      </c>
      <c r="F119" s="2" t="s">
        <v>1025</v>
      </c>
      <c r="G119" s="8" t="s">
        <v>872</v>
      </c>
      <c r="H119" s="10" t="s">
        <v>898</v>
      </c>
      <c r="I119" s="10" t="s">
        <v>899</v>
      </c>
      <c r="J119" t="s">
        <v>876</v>
      </c>
      <c r="K119" s="17" t="s">
        <v>1353</v>
      </c>
      <c r="L119" t="s">
        <v>1344</v>
      </c>
      <c r="M119" s="151" t="s">
        <v>875</v>
      </c>
      <c r="N119" s="2" t="s">
        <v>1303</v>
      </c>
    </row>
    <row r="120" spans="1:14" hidden="1">
      <c r="A120">
        <v>170</v>
      </c>
      <c r="C120" s="23" t="s">
        <v>1043</v>
      </c>
      <c r="D120" s="2" t="s">
        <v>1345</v>
      </c>
      <c r="E120" s="2" t="s">
        <v>1350</v>
      </c>
      <c r="F120" s="2" t="s">
        <v>1025</v>
      </c>
      <c r="G120" s="8" t="s">
        <v>872</v>
      </c>
      <c r="H120" s="10" t="s">
        <v>898</v>
      </c>
      <c r="I120" s="10" t="s">
        <v>899</v>
      </c>
      <c r="J120" t="s">
        <v>876</v>
      </c>
      <c r="K120" s="17" t="s">
        <v>1353</v>
      </c>
      <c r="L120" t="s">
        <v>1344</v>
      </c>
      <c r="M120" s="151" t="s">
        <v>875</v>
      </c>
      <c r="N120" s="2" t="s">
        <v>1303</v>
      </c>
    </row>
    <row r="121" spans="1:14" hidden="1">
      <c r="A121">
        <v>171</v>
      </c>
      <c r="C121" s="23" t="s">
        <v>1046</v>
      </c>
      <c r="D121" s="2" t="s">
        <v>1345</v>
      </c>
      <c r="E121" s="2" t="s">
        <v>1346</v>
      </c>
      <c r="F121" s="2" t="s">
        <v>1025</v>
      </c>
      <c r="G121" s="8" t="s">
        <v>872</v>
      </c>
      <c r="H121" s="10" t="s">
        <v>898</v>
      </c>
      <c r="I121" s="10" t="s">
        <v>899</v>
      </c>
      <c r="J121" t="s">
        <v>876</v>
      </c>
      <c r="K121" s="17" t="s">
        <v>1353</v>
      </c>
      <c r="L121" t="s">
        <v>1344</v>
      </c>
      <c r="M121" s="151" t="s">
        <v>875</v>
      </c>
      <c r="N121" s="2" t="s">
        <v>1303</v>
      </c>
    </row>
    <row r="122" spans="1:14" hidden="1">
      <c r="A122">
        <v>172</v>
      </c>
      <c r="C122" s="23" t="s">
        <v>1048</v>
      </c>
      <c r="D122" s="2" t="s">
        <v>1345</v>
      </c>
      <c r="E122" s="2" t="s">
        <v>1346</v>
      </c>
      <c r="F122" s="2" t="s">
        <v>1025</v>
      </c>
      <c r="G122" s="8" t="s">
        <v>872</v>
      </c>
      <c r="H122" s="10" t="s">
        <v>898</v>
      </c>
      <c r="I122" s="10" t="s">
        <v>899</v>
      </c>
      <c r="J122" t="s">
        <v>876</v>
      </c>
      <c r="K122" s="17" t="s">
        <v>1353</v>
      </c>
      <c r="L122" t="s">
        <v>1344</v>
      </c>
      <c r="M122" s="151" t="s">
        <v>875</v>
      </c>
      <c r="N122" s="2" t="s">
        <v>1303</v>
      </c>
    </row>
    <row r="123" spans="1:14" hidden="1">
      <c r="A123">
        <v>174</v>
      </c>
      <c r="C123" s="23" t="s">
        <v>1051</v>
      </c>
      <c r="D123" s="2" t="s">
        <v>1345</v>
      </c>
      <c r="E123" s="2" t="s">
        <v>1346</v>
      </c>
      <c r="F123" s="2" t="s">
        <v>1025</v>
      </c>
      <c r="G123" s="8" t="s">
        <v>872</v>
      </c>
      <c r="H123" s="10" t="s">
        <v>898</v>
      </c>
      <c r="I123" s="10" t="s">
        <v>899</v>
      </c>
      <c r="J123" t="s">
        <v>876</v>
      </c>
      <c r="K123" s="17" t="s">
        <v>1353</v>
      </c>
      <c r="L123" t="s">
        <v>1344</v>
      </c>
      <c r="M123" s="151" t="s">
        <v>875</v>
      </c>
      <c r="N123" s="2" t="s">
        <v>1303</v>
      </c>
    </row>
    <row r="124" spans="1:14" hidden="1">
      <c r="A124">
        <v>175</v>
      </c>
      <c r="C124" s="23" t="s">
        <v>1051</v>
      </c>
      <c r="D124" s="2" t="s">
        <v>1345</v>
      </c>
      <c r="E124" s="2" t="s">
        <v>1346</v>
      </c>
      <c r="F124" s="2" t="s">
        <v>1025</v>
      </c>
      <c r="G124" s="8" t="s">
        <v>872</v>
      </c>
      <c r="H124" s="10" t="s">
        <v>898</v>
      </c>
      <c r="I124" s="10" t="s">
        <v>899</v>
      </c>
      <c r="J124" t="s">
        <v>876</v>
      </c>
      <c r="K124" s="17" t="s">
        <v>1353</v>
      </c>
      <c r="L124" t="s">
        <v>1344</v>
      </c>
      <c r="M124" s="151" t="s">
        <v>875</v>
      </c>
      <c r="N124" s="2" t="s">
        <v>1303</v>
      </c>
    </row>
    <row r="125" spans="1:14" hidden="1">
      <c r="A125">
        <v>176</v>
      </c>
      <c r="C125" s="23" t="s">
        <v>1051</v>
      </c>
      <c r="D125" s="2" t="s">
        <v>1345</v>
      </c>
      <c r="E125" s="2" t="s">
        <v>1346</v>
      </c>
      <c r="F125" s="2" t="s">
        <v>1025</v>
      </c>
      <c r="G125" s="8" t="s">
        <v>872</v>
      </c>
      <c r="H125" s="10" t="s">
        <v>898</v>
      </c>
      <c r="I125" s="10" t="s">
        <v>899</v>
      </c>
      <c r="J125" t="s">
        <v>876</v>
      </c>
      <c r="K125" s="17" t="s">
        <v>1353</v>
      </c>
      <c r="L125" t="s">
        <v>1344</v>
      </c>
      <c r="M125" s="151" t="s">
        <v>875</v>
      </c>
      <c r="N125" s="2" t="s">
        <v>1303</v>
      </c>
    </row>
    <row r="126" spans="1:14" hidden="1">
      <c r="A126">
        <v>177</v>
      </c>
      <c r="C126" s="23" t="s">
        <v>1055</v>
      </c>
      <c r="D126" s="2" t="s">
        <v>1345</v>
      </c>
      <c r="E126" s="2" t="s">
        <v>1346</v>
      </c>
      <c r="F126" s="2" t="s">
        <v>1025</v>
      </c>
      <c r="G126" s="8" t="s">
        <v>872</v>
      </c>
      <c r="H126" s="10" t="s">
        <v>898</v>
      </c>
      <c r="I126" s="10" t="s">
        <v>899</v>
      </c>
      <c r="J126" t="s">
        <v>876</v>
      </c>
      <c r="K126" s="17" t="s">
        <v>1353</v>
      </c>
      <c r="L126" t="s">
        <v>1344</v>
      </c>
      <c r="M126" s="151" t="s">
        <v>875</v>
      </c>
      <c r="N126" s="2" t="s">
        <v>1303</v>
      </c>
    </row>
    <row r="127" spans="1:14" hidden="1">
      <c r="A127">
        <v>178</v>
      </c>
      <c r="C127" s="23" t="s">
        <v>1055</v>
      </c>
      <c r="D127" s="2" t="s">
        <v>1345</v>
      </c>
      <c r="E127" s="2" t="s">
        <v>1346</v>
      </c>
      <c r="F127" s="2" t="s">
        <v>1025</v>
      </c>
      <c r="G127" s="8" t="s">
        <v>872</v>
      </c>
      <c r="H127" s="10" t="s">
        <v>898</v>
      </c>
      <c r="I127" s="10" t="s">
        <v>899</v>
      </c>
      <c r="J127" t="s">
        <v>876</v>
      </c>
      <c r="K127" s="17" t="s">
        <v>1353</v>
      </c>
      <c r="L127" t="s">
        <v>1344</v>
      </c>
      <c r="M127" s="151" t="s">
        <v>875</v>
      </c>
      <c r="N127" s="2" t="s">
        <v>1303</v>
      </c>
    </row>
    <row r="128" spans="1:14" hidden="1">
      <c r="A128">
        <v>179</v>
      </c>
      <c r="C128" s="23" t="s">
        <v>1058</v>
      </c>
      <c r="D128" s="2" t="s">
        <v>1345</v>
      </c>
      <c r="E128" s="2" t="s">
        <v>1346</v>
      </c>
      <c r="F128" s="2" t="s">
        <v>1025</v>
      </c>
      <c r="G128" s="8" t="s">
        <v>872</v>
      </c>
      <c r="H128" s="10" t="s">
        <v>898</v>
      </c>
      <c r="I128" s="10" t="s">
        <v>899</v>
      </c>
      <c r="J128" t="s">
        <v>876</v>
      </c>
      <c r="K128" s="17" t="s">
        <v>1353</v>
      </c>
      <c r="L128" t="s">
        <v>1344</v>
      </c>
      <c r="M128" s="151" t="s">
        <v>875</v>
      </c>
      <c r="N128" s="2" t="s">
        <v>1303</v>
      </c>
    </row>
    <row r="129" spans="1:14" hidden="1">
      <c r="A129">
        <v>180</v>
      </c>
      <c r="C129" s="23" t="s">
        <v>1058</v>
      </c>
      <c r="D129" s="2" t="s">
        <v>1345</v>
      </c>
      <c r="E129" s="2" t="s">
        <v>1346</v>
      </c>
      <c r="F129" s="2" t="s">
        <v>1025</v>
      </c>
      <c r="G129" s="8" t="s">
        <v>872</v>
      </c>
      <c r="H129" s="10" t="s">
        <v>898</v>
      </c>
      <c r="I129" s="10" t="s">
        <v>899</v>
      </c>
      <c r="J129" t="s">
        <v>876</v>
      </c>
      <c r="K129" s="17" t="s">
        <v>1353</v>
      </c>
      <c r="L129" t="s">
        <v>1344</v>
      </c>
      <c r="M129" s="151" t="s">
        <v>875</v>
      </c>
      <c r="N129" s="2" t="s">
        <v>1303</v>
      </c>
    </row>
    <row r="130" spans="1:14" hidden="1">
      <c r="A130">
        <v>181</v>
      </c>
      <c r="C130" s="23" t="s">
        <v>1061</v>
      </c>
      <c r="D130" s="2" t="s">
        <v>1345</v>
      </c>
      <c r="E130" s="2" t="s">
        <v>1346</v>
      </c>
      <c r="F130" s="2" t="s">
        <v>1025</v>
      </c>
      <c r="G130" s="8" t="s">
        <v>872</v>
      </c>
      <c r="H130" s="10" t="s">
        <v>898</v>
      </c>
      <c r="I130" s="10" t="s">
        <v>899</v>
      </c>
      <c r="J130" t="s">
        <v>876</v>
      </c>
      <c r="K130" s="17" t="s">
        <v>1353</v>
      </c>
      <c r="L130" t="s">
        <v>1344</v>
      </c>
      <c r="M130" s="151" t="s">
        <v>875</v>
      </c>
      <c r="N130" s="2" t="s">
        <v>1303</v>
      </c>
    </row>
    <row r="131" spans="1:14" hidden="1">
      <c r="A131">
        <v>182</v>
      </c>
      <c r="C131" s="23" t="s">
        <v>1061</v>
      </c>
      <c r="D131" s="2" t="s">
        <v>1345</v>
      </c>
      <c r="E131" s="2" t="s">
        <v>1346</v>
      </c>
      <c r="F131" s="2" t="s">
        <v>1025</v>
      </c>
      <c r="G131" s="8" t="s">
        <v>872</v>
      </c>
      <c r="H131" s="10" t="s">
        <v>898</v>
      </c>
      <c r="I131" s="10" t="s">
        <v>899</v>
      </c>
      <c r="J131" t="s">
        <v>876</v>
      </c>
      <c r="K131" s="17" t="s">
        <v>1353</v>
      </c>
      <c r="L131" t="s">
        <v>1344</v>
      </c>
      <c r="M131" s="151" t="s">
        <v>875</v>
      </c>
      <c r="N131" s="2" t="s">
        <v>1303</v>
      </c>
    </row>
    <row r="132" spans="1:14" hidden="1">
      <c r="A132">
        <v>183</v>
      </c>
      <c r="C132" s="23" t="s">
        <v>1064</v>
      </c>
      <c r="D132" s="2" t="s">
        <v>1345</v>
      </c>
      <c r="E132" s="2" t="s">
        <v>1346</v>
      </c>
      <c r="F132" s="2" t="s">
        <v>1025</v>
      </c>
      <c r="G132" s="8" t="s">
        <v>872</v>
      </c>
      <c r="H132" s="10" t="s">
        <v>898</v>
      </c>
      <c r="I132" s="10" t="s">
        <v>899</v>
      </c>
      <c r="J132" t="s">
        <v>876</v>
      </c>
      <c r="K132" s="17" t="s">
        <v>1353</v>
      </c>
      <c r="L132" t="s">
        <v>1344</v>
      </c>
      <c r="M132" s="151" t="s">
        <v>875</v>
      </c>
      <c r="N132" s="2" t="s">
        <v>1303</v>
      </c>
    </row>
    <row r="133" spans="1:14" hidden="1">
      <c r="A133">
        <v>184</v>
      </c>
      <c r="C133" s="23" t="s">
        <v>1064</v>
      </c>
      <c r="D133" s="2" t="s">
        <v>1345</v>
      </c>
      <c r="E133" s="2" t="s">
        <v>1346</v>
      </c>
      <c r="F133" s="2" t="s">
        <v>1025</v>
      </c>
      <c r="G133" s="8" t="s">
        <v>872</v>
      </c>
      <c r="H133" s="10" t="s">
        <v>898</v>
      </c>
      <c r="I133" s="10" t="s">
        <v>899</v>
      </c>
      <c r="J133" t="s">
        <v>876</v>
      </c>
      <c r="K133" s="17" t="s">
        <v>1353</v>
      </c>
      <c r="L133" t="s">
        <v>1344</v>
      </c>
      <c r="M133" s="151" t="s">
        <v>875</v>
      </c>
      <c r="N133" s="2" t="s">
        <v>1303</v>
      </c>
    </row>
    <row r="134" spans="1:14" hidden="1">
      <c r="A134">
        <v>185</v>
      </c>
      <c r="C134" s="23" t="s">
        <v>1067</v>
      </c>
      <c r="D134" s="2" t="s">
        <v>1345</v>
      </c>
      <c r="E134" s="2" t="s">
        <v>1346</v>
      </c>
      <c r="F134" s="2" t="s">
        <v>1025</v>
      </c>
      <c r="G134" s="8" t="s">
        <v>872</v>
      </c>
      <c r="H134" s="10" t="s">
        <v>898</v>
      </c>
      <c r="I134" s="10" t="s">
        <v>899</v>
      </c>
      <c r="J134" t="s">
        <v>876</v>
      </c>
      <c r="K134" s="17" t="s">
        <v>1353</v>
      </c>
      <c r="L134" t="s">
        <v>1344</v>
      </c>
      <c r="M134" s="151" t="s">
        <v>875</v>
      </c>
      <c r="N134" s="2" t="s">
        <v>1303</v>
      </c>
    </row>
    <row r="135" spans="1:14" hidden="1">
      <c r="A135">
        <v>186</v>
      </c>
      <c r="C135" s="23" t="s">
        <v>1069</v>
      </c>
      <c r="D135" s="2" t="s">
        <v>1345</v>
      </c>
      <c r="E135" s="2" t="s">
        <v>1350</v>
      </c>
      <c r="F135" s="2" t="s">
        <v>1025</v>
      </c>
      <c r="G135" s="8" t="s">
        <v>872</v>
      </c>
      <c r="H135" s="10" t="s">
        <v>898</v>
      </c>
      <c r="I135" s="10" t="s">
        <v>899</v>
      </c>
      <c r="J135" t="s">
        <v>876</v>
      </c>
      <c r="K135" s="17" t="s">
        <v>1353</v>
      </c>
      <c r="L135" t="s">
        <v>1344</v>
      </c>
      <c r="M135" s="151" t="s">
        <v>875</v>
      </c>
      <c r="N135" s="2" t="s">
        <v>1303</v>
      </c>
    </row>
    <row r="136" spans="1:14" hidden="1">
      <c r="A136">
        <v>187</v>
      </c>
      <c r="C136" s="23" t="s">
        <v>1071</v>
      </c>
      <c r="D136" s="2" t="s">
        <v>1345</v>
      </c>
      <c r="E136" s="2" t="s">
        <v>1346</v>
      </c>
      <c r="F136" s="2" t="s">
        <v>1025</v>
      </c>
      <c r="G136" s="8" t="s">
        <v>872</v>
      </c>
      <c r="H136" s="10" t="s">
        <v>898</v>
      </c>
      <c r="I136" s="10" t="s">
        <v>899</v>
      </c>
      <c r="J136" t="s">
        <v>876</v>
      </c>
      <c r="K136" s="17" t="s">
        <v>1353</v>
      </c>
      <c r="L136" t="s">
        <v>1344</v>
      </c>
      <c r="M136" s="151" t="s">
        <v>875</v>
      </c>
      <c r="N136" s="2" t="s">
        <v>1303</v>
      </c>
    </row>
    <row r="137" spans="1:14" hidden="1">
      <c r="A137">
        <v>188</v>
      </c>
      <c r="C137" s="23" t="s">
        <v>1074</v>
      </c>
      <c r="D137" s="2" t="s">
        <v>1345</v>
      </c>
      <c r="E137" s="2" t="s">
        <v>1346</v>
      </c>
      <c r="F137" s="2" t="s">
        <v>1025</v>
      </c>
      <c r="G137" s="8" t="s">
        <v>872</v>
      </c>
      <c r="H137" s="10" t="s">
        <v>898</v>
      </c>
      <c r="I137" s="10" t="s">
        <v>899</v>
      </c>
      <c r="J137" t="s">
        <v>876</v>
      </c>
      <c r="K137" s="17" t="s">
        <v>1353</v>
      </c>
      <c r="L137" t="s">
        <v>1344</v>
      </c>
      <c r="M137" s="151" t="s">
        <v>875</v>
      </c>
      <c r="N137" s="2" t="s">
        <v>1303</v>
      </c>
    </row>
    <row r="138" spans="1:14" hidden="1">
      <c r="A138">
        <v>189</v>
      </c>
      <c r="C138" s="23" t="s">
        <v>1074</v>
      </c>
      <c r="D138" s="2" t="s">
        <v>1345</v>
      </c>
      <c r="E138" s="2" t="s">
        <v>1346</v>
      </c>
      <c r="F138" s="2" t="s">
        <v>1025</v>
      </c>
      <c r="G138" s="8" t="s">
        <v>872</v>
      </c>
      <c r="H138" s="10" t="s">
        <v>898</v>
      </c>
      <c r="I138" s="10" t="s">
        <v>899</v>
      </c>
      <c r="J138" t="s">
        <v>876</v>
      </c>
      <c r="K138" s="17" t="s">
        <v>1353</v>
      </c>
      <c r="L138" t="s">
        <v>1344</v>
      </c>
      <c r="M138" s="151" t="s">
        <v>875</v>
      </c>
      <c r="N138" s="2" t="s">
        <v>1303</v>
      </c>
    </row>
    <row r="139" spans="1:14" hidden="1">
      <c r="A139">
        <v>190</v>
      </c>
      <c r="C139" s="23" t="s">
        <v>1077</v>
      </c>
      <c r="D139" s="2" t="s">
        <v>1345</v>
      </c>
      <c r="E139" s="2" t="s">
        <v>1346</v>
      </c>
      <c r="F139" s="2" t="s">
        <v>1025</v>
      </c>
      <c r="G139" s="8" t="s">
        <v>872</v>
      </c>
      <c r="H139" s="10" t="s">
        <v>898</v>
      </c>
      <c r="I139" s="10" t="s">
        <v>899</v>
      </c>
      <c r="J139" t="s">
        <v>876</v>
      </c>
      <c r="K139" s="17" t="s">
        <v>1353</v>
      </c>
      <c r="L139" t="s">
        <v>1344</v>
      </c>
      <c r="M139" s="151" t="s">
        <v>875</v>
      </c>
      <c r="N139" s="2" t="s">
        <v>1303</v>
      </c>
    </row>
    <row r="140" spans="1:14" hidden="1">
      <c r="A140">
        <v>191</v>
      </c>
      <c r="C140" s="23" t="s">
        <v>1079</v>
      </c>
      <c r="D140" s="2" t="s">
        <v>1345</v>
      </c>
      <c r="E140" s="2" t="s">
        <v>1346</v>
      </c>
      <c r="F140" s="2" t="s">
        <v>1025</v>
      </c>
      <c r="G140" s="8" t="s">
        <v>872</v>
      </c>
      <c r="H140" s="10" t="s">
        <v>898</v>
      </c>
      <c r="I140" s="10" t="s">
        <v>899</v>
      </c>
      <c r="J140" t="s">
        <v>876</v>
      </c>
      <c r="K140" s="17" t="s">
        <v>1353</v>
      </c>
      <c r="L140" t="s">
        <v>1344</v>
      </c>
      <c r="M140" s="151" t="s">
        <v>875</v>
      </c>
      <c r="N140" s="2" t="s">
        <v>1303</v>
      </c>
    </row>
    <row r="141" spans="1:14" hidden="1">
      <c r="A141">
        <v>192</v>
      </c>
      <c r="C141" s="23" t="s">
        <v>1079</v>
      </c>
      <c r="D141" s="2" t="s">
        <v>1345</v>
      </c>
      <c r="E141" s="2" t="s">
        <v>1346</v>
      </c>
      <c r="F141" s="2" t="s">
        <v>1025</v>
      </c>
      <c r="G141" s="8" t="s">
        <v>872</v>
      </c>
      <c r="H141" s="10" t="s">
        <v>898</v>
      </c>
      <c r="I141" s="10" t="s">
        <v>899</v>
      </c>
      <c r="J141" t="s">
        <v>876</v>
      </c>
      <c r="K141" s="17" t="s">
        <v>1353</v>
      </c>
      <c r="L141" t="s">
        <v>1344</v>
      </c>
      <c r="M141" s="151" t="s">
        <v>875</v>
      </c>
      <c r="N141" s="2" t="s">
        <v>1303</v>
      </c>
    </row>
    <row r="142" spans="1:14" hidden="1">
      <c r="A142">
        <v>193</v>
      </c>
      <c r="C142" s="23" t="s">
        <v>1082</v>
      </c>
      <c r="D142" s="2" t="s">
        <v>1345</v>
      </c>
      <c r="E142" s="2" t="s">
        <v>1346</v>
      </c>
      <c r="F142" s="2" t="s">
        <v>1025</v>
      </c>
      <c r="G142" s="8" t="s">
        <v>872</v>
      </c>
      <c r="H142" s="10" t="s">
        <v>898</v>
      </c>
      <c r="I142" s="10" t="s">
        <v>899</v>
      </c>
      <c r="J142" t="s">
        <v>876</v>
      </c>
      <c r="K142" s="17" t="s">
        <v>1353</v>
      </c>
      <c r="L142" t="s">
        <v>1344</v>
      </c>
      <c r="M142" s="151" t="s">
        <v>875</v>
      </c>
      <c r="N142" s="2" t="s">
        <v>1303</v>
      </c>
    </row>
    <row r="143" spans="1:14" hidden="1">
      <c r="A143">
        <v>195</v>
      </c>
      <c r="C143" s="23" t="s">
        <v>1085</v>
      </c>
      <c r="D143" s="2" t="s">
        <v>1345</v>
      </c>
      <c r="E143" s="2" t="s">
        <v>1346</v>
      </c>
      <c r="F143" s="2" t="s">
        <v>1025</v>
      </c>
      <c r="G143" s="8" t="s">
        <v>872</v>
      </c>
      <c r="H143" s="10" t="s">
        <v>898</v>
      </c>
      <c r="I143" s="10" t="s">
        <v>899</v>
      </c>
      <c r="J143" t="s">
        <v>876</v>
      </c>
      <c r="K143" s="17" t="s">
        <v>1353</v>
      </c>
      <c r="L143" t="s">
        <v>1344</v>
      </c>
      <c r="M143" s="151" t="s">
        <v>875</v>
      </c>
      <c r="N143" s="2" t="s">
        <v>1303</v>
      </c>
    </row>
    <row r="144" spans="1:14" hidden="1">
      <c r="A144">
        <v>196</v>
      </c>
      <c r="C144" s="23" t="s">
        <v>1085</v>
      </c>
      <c r="D144" s="2" t="s">
        <v>1345</v>
      </c>
      <c r="E144" s="2" t="s">
        <v>1346</v>
      </c>
      <c r="F144" s="2" t="s">
        <v>1025</v>
      </c>
      <c r="G144" s="8" t="s">
        <v>872</v>
      </c>
      <c r="H144" s="10" t="s">
        <v>898</v>
      </c>
      <c r="I144" s="10" t="s">
        <v>899</v>
      </c>
      <c r="J144" t="s">
        <v>876</v>
      </c>
      <c r="K144" s="17" t="s">
        <v>1353</v>
      </c>
      <c r="L144" t="s">
        <v>1344</v>
      </c>
      <c r="M144" s="151" t="s">
        <v>875</v>
      </c>
      <c r="N144" s="2" t="s">
        <v>1303</v>
      </c>
    </row>
    <row r="145" spans="1:14" hidden="1">
      <c r="A145">
        <v>197</v>
      </c>
      <c r="C145" s="23" t="s">
        <v>1088</v>
      </c>
      <c r="D145" s="2" t="s">
        <v>1345</v>
      </c>
      <c r="E145" s="2" t="s">
        <v>1346</v>
      </c>
      <c r="F145" s="2" t="s">
        <v>1025</v>
      </c>
      <c r="G145" s="8" t="s">
        <v>872</v>
      </c>
      <c r="H145" s="10" t="s">
        <v>898</v>
      </c>
      <c r="I145" s="10" t="s">
        <v>899</v>
      </c>
      <c r="J145" t="s">
        <v>876</v>
      </c>
      <c r="K145" s="17" t="s">
        <v>1353</v>
      </c>
      <c r="L145" t="s">
        <v>1344</v>
      </c>
      <c r="M145" s="151" t="s">
        <v>875</v>
      </c>
      <c r="N145" s="2" t="s">
        <v>1303</v>
      </c>
    </row>
    <row r="146" spans="1:14" hidden="1">
      <c r="A146">
        <v>198</v>
      </c>
      <c r="C146" s="23" t="s">
        <v>1090</v>
      </c>
      <c r="D146" s="2" t="s">
        <v>1345</v>
      </c>
      <c r="E146" s="2" t="s">
        <v>1346</v>
      </c>
      <c r="F146" s="2" t="s">
        <v>1025</v>
      </c>
      <c r="G146" s="8" t="s">
        <v>872</v>
      </c>
      <c r="H146" s="10" t="s">
        <v>898</v>
      </c>
      <c r="I146" s="10" t="s">
        <v>899</v>
      </c>
      <c r="J146" t="s">
        <v>876</v>
      </c>
      <c r="K146" s="17" t="s">
        <v>1353</v>
      </c>
      <c r="L146" t="s">
        <v>1344</v>
      </c>
      <c r="M146" s="151" t="s">
        <v>875</v>
      </c>
      <c r="N146" s="2" t="s">
        <v>1303</v>
      </c>
    </row>
    <row r="147" spans="1:14" hidden="1">
      <c r="A147">
        <v>199</v>
      </c>
      <c r="C147" s="23" t="s">
        <v>1091</v>
      </c>
      <c r="D147" s="2" t="s">
        <v>1345</v>
      </c>
      <c r="E147" s="2" t="s">
        <v>1350</v>
      </c>
      <c r="F147" s="2" t="s">
        <v>1025</v>
      </c>
      <c r="G147" s="8" t="s">
        <v>872</v>
      </c>
      <c r="H147" s="10" t="s">
        <v>898</v>
      </c>
      <c r="I147" s="10" t="s">
        <v>899</v>
      </c>
      <c r="J147" t="s">
        <v>876</v>
      </c>
      <c r="K147" s="17" t="s">
        <v>1353</v>
      </c>
      <c r="L147" t="s">
        <v>1344</v>
      </c>
      <c r="M147" s="151" t="s">
        <v>875</v>
      </c>
      <c r="N147" s="2" t="s">
        <v>1303</v>
      </c>
    </row>
    <row r="148" spans="1:14" hidden="1">
      <c r="A148">
        <v>200</v>
      </c>
      <c r="C148" s="23" t="s">
        <v>1093</v>
      </c>
      <c r="D148" s="2" t="s">
        <v>1345</v>
      </c>
      <c r="E148" s="2" t="s">
        <v>1350</v>
      </c>
      <c r="F148" s="2" t="s">
        <v>1025</v>
      </c>
      <c r="G148" s="8" t="s">
        <v>872</v>
      </c>
      <c r="H148" s="10" t="s">
        <v>898</v>
      </c>
      <c r="I148" s="10" t="s">
        <v>899</v>
      </c>
      <c r="J148" t="s">
        <v>876</v>
      </c>
      <c r="K148" s="17" t="s">
        <v>1353</v>
      </c>
      <c r="L148" t="s">
        <v>1344</v>
      </c>
      <c r="M148" s="151" t="s">
        <v>875</v>
      </c>
      <c r="N148" s="2" t="s">
        <v>1303</v>
      </c>
    </row>
    <row r="149" spans="1:14" hidden="1">
      <c r="A149">
        <v>201</v>
      </c>
      <c r="C149" s="23" t="s">
        <v>1095</v>
      </c>
      <c r="D149" s="2" t="s">
        <v>1345</v>
      </c>
      <c r="E149" s="2" t="s">
        <v>1346</v>
      </c>
      <c r="F149" s="2" t="s">
        <v>1025</v>
      </c>
      <c r="G149" s="8" t="s">
        <v>872</v>
      </c>
      <c r="H149" s="10" t="s">
        <v>898</v>
      </c>
      <c r="I149" s="10" t="s">
        <v>899</v>
      </c>
      <c r="J149" t="s">
        <v>876</v>
      </c>
      <c r="K149" s="17" t="s">
        <v>1353</v>
      </c>
      <c r="L149" t="s">
        <v>1344</v>
      </c>
      <c r="M149" s="151" t="s">
        <v>875</v>
      </c>
      <c r="N149" s="2" t="s">
        <v>1303</v>
      </c>
    </row>
    <row r="150" spans="1:14" hidden="1">
      <c r="A150">
        <v>202</v>
      </c>
      <c r="C150" s="23" t="s">
        <v>1095</v>
      </c>
      <c r="D150" s="2" t="s">
        <v>1345</v>
      </c>
      <c r="E150" s="2" t="s">
        <v>1346</v>
      </c>
      <c r="F150" s="2" t="s">
        <v>1025</v>
      </c>
      <c r="G150" s="8" t="s">
        <v>872</v>
      </c>
      <c r="H150" s="10" t="s">
        <v>898</v>
      </c>
      <c r="I150" s="10" t="s">
        <v>899</v>
      </c>
      <c r="J150" t="s">
        <v>876</v>
      </c>
      <c r="K150" s="17" t="s">
        <v>1353</v>
      </c>
      <c r="L150" t="s">
        <v>1344</v>
      </c>
      <c r="M150" s="151" t="s">
        <v>875</v>
      </c>
      <c r="N150" s="2" t="s">
        <v>1303</v>
      </c>
    </row>
    <row r="151" spans="1:14" hidden="1">
      <c r="A151">
        <v>203</v>
      </c>
      <c r="C151" s="23" t="s">
        <v>1098</v>
      </c>
      <c r="D151" s="2" t="s">
        <v>1345</v>
      </c>
      <c r="E151" s="2" t="s">
        <v>1346</v>
      </c>
      <c r="F151" s="2" t="s">
        <v>1025</v>
      </c>
      <c r="G151" s="8" t="s">
        <v>872</v>
      </c>
      <c r="H151" s="10" t="s">
        <v>898</v>
      </c>
      <c r="I151" s="10" t="s">
        <v>899</v>
      </c>
      <c r="J151" t="s">
        <v>876</v>
      </c>
      <c r="K151" s="17" t="s">
        <v>1353</v>
      </c>
      <c r="L151" t="s">
        <v>1344</v>
      </c>
      <c r="M151" s="151" t="s">
        <v>875</v>
      </c>
      <c r="N151" s="2" t="s">
        <v>1303</v>
      </c>
    </row>
    <row r="152" spans="1:14" hidden="1">
      <c r="A152">
        <v>204</v>
      </c>
      <c r="C152" s="23" t="s">
        <v>1098</v>
      </c>
      <c r="D152" s="2" t="s">
        <v>1345</v>
      </c>
      <c r="E152" s="2" t="s">
        <v>1346</v>
      </c>
      <c r="F152" s="2" t="s">
        <v>1025</v>
      </c>
      <c r="G152" s="8" t="s">
        <v>872</v>
      </c>
      <c r="H152" s="10" t="s">
        <v>898</v>
      </c>
      <c r="I152" s="10" t="s">
        <v>899</v>
      </c>
      <c r="J152" t="s">
        <v>876</v>
      </c>
      <c r="K152" s="17" t="s">
        <v>1353</v>
      </c>
      <c r="L152" t="s">
        <v>1344</v>
      </c>
      <c r="M152" s="151" t="s">
        <v>875</v>
      </c>
      <c r="N152" s="2" t="s">
        <v>1303</v>
      </c>
    </row>
    <row r="153" spans="1:14" hidden="1">
      <c r="A153">
        <v>205</v>
      </c>
      <c r="C153" s="23" t="s">
        <v>1101</v>
      </c>
      <c r="D153" s="2" t="s">
        <v>1345</v>
      </c>
      <c r="E153" s="2" t="s">
        <v>1346</v>
      </c>
      <c r="F153" s="2" t="s">
        <v>1025</v>
      </c>
      <c r="G153" s="8" t="s">
        <v>872</v>
      </c>
      <c r="H153" s="10" t="s">
        <v>898</v>
      </c>
      <c r="I153" s="10" t="s">
        <v>899</v>
      </c>
      <c r="J153" t="s">
        <v>876</v>
      </c>
      <c r="K153" s="17" t="s">
        <v>1353</v>
      </c>
      <c r="L153" t="s">
        <v>1344</v>
      </c>
      <c r="M153" s="151" t="s">
        <v>875</v>
      </c>
      <c r="N153" s="2" t="s">
        <v>1303</v>
      </c>
    </row>
    <row r="154" spans="1:14" hidden="1">
      <c r="A154">
        <v>206</v>
      </c>
      <c r="C154" s="23" t="s">
        <v>1101</v>
      </c>
      <c r="D154" s="2" t="s">
        <v>1345</v>
      </c>
      <c r="E154" s="2" t="s">
        <v>1346</v>
      </c>
      <c r="F154" s="2" t="s">
        <v>1025</v>
      </c>
      <c r="G154" s="8" t="s">
        <v>872</v>
      </c>
      <c r="H154" s="10" t="s">
        <v>898</v>
      </c>
      <c r="I154" s="10" t="s">
        <v>899</v>
      </c>
      <c r="J154" t="s">
        <v>876</v>
      </c>
      <c r="K154" s="17" t="s">
        <v>1353</v>
      </c>
      <c r="L154" t="s">
        <v>1344</v>
      </c>
      <c r="M154" s="151" t="s">
        <v>875</v>
      </c>
      <c r="N154" s="2" t="s">
        <v>1303</v>
      </c>
    </row>
    <row r="155" spans="1:14" hidden="1">
      <c r="A155">
        <v>209</v>
      </c>
      <c r="C155" s="23" t="s">
        <v>1107</v>
      </c>
      <c r="D155" s="2" t="s">
        <v>1345</v>
      </c>
      <c r="E155" s="2" t="s">
        <v>1350</v>
      </c>
      <c r="F155" s="2" t="s">
        <v>1025</v>
      </c>
      <c r="G155" s="8" t="s">
        <v>872</v>
      </c>
      <c r="H155" s="10" t="s">
        <v>898</v>
      </c>
      <c r="I155" s="10" t="s">
        <v>899</v>
      </c>
      <c r="J155" t="s">
        <v>876</v>
      </c>
      <c r="K155" s="17" t="s">
        <v>1353</v>
      </c>
      <c r="L155" t="s">
        <v>1344</v>
      </c>
      <c r="M155" s="151" t="s">
        <v>875</v>
      </c>
      <c r="N155" s="2" t="s">
        <v>1303</v>
      </c>
    </row>
    <row r="156" spans="1:14" hidden="1">
      <c r="A156">
        <v>210</v>
      </c>
      <c r="C156" s="23" t="s">
        <v>1109</v>
      </c>
      <c r="D156" s="2" t="s">
        <v>1345</v>
      </c>
      <c r="E156" s="2" t="s">
        <v>1346</v>
      </c>
      <c r="F156" s="2" t="s">
        <v>1025</v>
      </c>
      <c r="G156" s="8" t="s">
        <v>872</v>
      </c>
      <c r="H156" s="10" t="s">
        <v>898</v>
      </c>
      <c r="I156" s="10" t="s">
        <v>899</v>
      </c>
      <c r="J156" t="s">
        <v>876</v>
      </c>
      <c r="K156" s="17" t="s">
        <v>1353</v>
      </c>
      <c r="L156" t="s">
        <v>1344</v>
      </c>
      <c r="M156" s="151" t="s">
        <v>875</v>
      </c>
      <c r="N156" s="2" t="s">
        <v>1303</v>
      </c>
    </row>
    <row r="157" spans="1:14" hidden="1">
      <c r="A157">
        <v>211</v>
      </c>
      <c r="C157" s="23" t="s">
        <v>1110</v>
      </c>
      <c r="D157" s="2" t="s">
        <v>1345</v>
      </c>
      <c r="E157" s="2" t="s">
        <v>1346</v>
      </c>
      <c r="F157" s="2" t="s">
        <v>1025</v>
      </c>
      <c r="G157" s="8" t="s">
        <v>872</v>
      </c>
      <c r="H157" s="10" t="s">
        <v>898</v>
      </c>
      <c r="I157" s="10" t="s">
        <v>899</v>
      </c>
      <c r="J157" t="s">
        <v>876</v>
      </c>
      <c r="K157" s="17" t="s">
        <v>1353</v>
      </c>
      <c r="L157" t="s">
        <v>1344</v>
      </c>
      <c r="M157" s="151" t="s">
        <v>875</v>
      </c>
      <c r="N157" s="2" t="s">
        <v>1303</v>
      </c>
    </row>
    <row r="158" spans="1:14" hidden="1">
      <c r="A158">
        <v>212</v>
      </c>
      <c r="C158" s="23" t="s">
        <v>1112</v>
      </c>
      <c r="D158" s="2" t="s">
        <v>1345</v>
      </c>
      <c r="E158" s="2" t="s">
        <v>1346</v>
      </c>
      <c r="F158" s="2" t="s">
        <v>1025</v>
      </c>
      <c r="G158" s="8" t="s">
        <v>872</v>
      </c>
      <c r="H158" s="10" t="s">
        <v>898</v>
      </c>
      <c r="I158" s="10" t="s">
        <v>899</v>
      </c>
      <c r="J158" t="s">
        <v>876</v>
      </c>
      <c r="K158" s="17" t="s">
        <v>1353</v>
      </c>
      <c r="L158" t="s">
        <v>1344</v>
      </c>
      <c r="M158" s="151" t="s">
        <v>875</v>
      </c>
      <c r="N158" s="2" t="s">
        <v>1303</v>
      </c>
    </row>
    <row r="159" spans="1:14" hidden="1">
      <c r="A159">
        <v>213</v>
      </c>
      <c r="C159" s="23" t="s">
        <v>1113</v>
      </c>
      <c r="D159" s="2" t="s">
        <v>1345</v>
      </c>
      <c r="E159" s="2" t="s">
        <v>1350</v>
      </c>
      <c r="F159" s="2" t="s">
        <v>1025</v>
      </c>
      <c r="G159" s="8" t="s">
        <v>872</v>
      </c>
      <c r="H159" s="10" t="s">
        <v>898</v>
      </c>
      <c r="I159" s="10" t="s">
        <v>899</v>
      </c>
      <c r="J159" t="s">
        <v>876</v>
      </c>
      <c r="K159" s="17" t="s">
        <v>1353</v>
      </c>
      <c r="L159" t="s">
        <v>1344</v>
      </c>
      <c r="M159" s="151" t="s">
        <v>875</v>
      </c>
      <c r="N159" s="2" t="s">
        <v>1303</v>
      </c>
    </row>
    <row r="160" spans="1:14" hidden="1">
      <c r="A160">
        <v>214</v>
      </c>
      <c r="C160" s="23" t="s">
        <v>1115</v>
      </c>
      <c r="D160" s="2" t="s">
        <v>1345</v>
      </c>
      <c r="E160" s="2" t="s">
        <v>1346</v>
      </c>
      <c r="F160" s="2" t="s">
        <v>1025</v>
      </c>
      <c r="G160" s="8" t="s">
        <v>872</v>
      </c>
      <c r="H160" s="10" t="s">
        <v>898</v>
      </c>
      <c r="I160" s="10" t="s">
        <v>899</v>
      </c>
      <c r="J160" t="s">
        <v>876</v>
      </c>
      <c r="K160" s="17" t="s">
        <v>1353</v>
      </c>
      <c r="L160" t="s">
        <v>1344</v>
      </c>
      <c r="M160" s="151" t="s">
        <v>875</v>
      </c>
      <c r="N160" s="2" t="s">
        <v>1303</v>
      </c>
    </row>
    <row r="161" spans="1:14" hidden="1">
      <c r="A161">
        <v>215</v>
      </c>
      <c r="C161" s="23" t="s">
        <v>1115</v>
      </c>
      <c r="D161" s="2" t="s">
        <v>1345</v>
      </c>
      <c r="E161" s="2" t="s">
        <v>1346</v>
      </c>
      <c r="F161" s="2" t="s">
        <v>1025</v>
      </c>
      <c r="G161" s="8" t="s">
        <v>872</v>
      </c>
      <c r="H161" s="10" t="s">
        <v>898</v>
      </c>
      <c r="I161" s="10" t="s">
        <v>899</v>
      </c>
      <c r="J161" t="s">
        <v>876</v>
      </c>
      <c r="K161" s="17" t="s">
        <v>1353</v>
      </c>
      <c r="L161" t="s">
        <v>1344</v>
      </c>
      <c r="M161" s="151" t="s">
        <v>875</v>
      </c>
      <c r="N161" s="2" t="s">
        <v>1303</v>
      </c>
    </row>
    <row r="162" spans="1:14" hidden="1">
      <c r="A162">
        <v>216</v>
      </c>
      <c r="C162" s="23" t="s">
        <v>1115</v>
      </c>
      <c r="D162" s="2" t="s">
        <v>1345</v>
      </c>
      <c r="E162" s="2" t="s">
        <v>1346</v>
      </c>
      <c r="F162" s="2" t="s">
        <v>1025</v>
      </c>
      <c r="G162" s="8" t="s">
        <v>872</v>
      </c>
      <c r="H162" s="10" t="s">
        <v>898</v>
      </c>
      <c r="I162" s="10" t="s">
        <v>899</v>
      </c>
      <c r="J162" t="s">
        <v>876</v>
      </c>
      <c r="K162" s="17" t="s">
        <v>1353</v>
      </c>
      <c r="L162" t="s">
        <v>1344</v>
      </c>
      <c r="M162" s="151" t="s">
        <v>875</v>
      </c>
      <c r="N162" s="2" t="s">
        <v>1303</v>
      </c>
    </row>
    <row r="163" spans="1:14" hidden="1">
      <c r="A163">
        <v>217</v>
      </c>
      <c r="C163" s="23" t="s">
        <v>1119</v>
      </c>
      <c r="D163" s="2" t="s">
        <v>1345</v>
      </c>
      <c r="E163" s="2" t="s">
        <v>1346</v>
      </c>
      <c r="F163" s="2" t="s">
        <v>1025</v>
      </c>
      <c r="G163" s="8" t="s">
        <v>872</v>
      </c>
      <c r="H163" s="10" t="s">
        <v>898</v>
      </c>
      <c r="I163" s="10" t="s">
        <v>899</v>
      </c>
      <c r="J163" t="s">
        <v>876</v>
      </c>
      <c r="K163" s="17" t="s">
        <v>1353</v>
      </c>
      <c r="L163" t="s">
        <v>1344</v>
      </c>
      <c r="M163" s="151" t="s">
        <v>875</v>
      </c>
      <c r="N163" s="2" t="s">
        <v>1303</v>
      </c>
    </row>
    <row r="164" spans="1:14" hidden="1">
      <c r="A164">
        <v>218</v>
      </c>
      <c r="C164" s="23" t="s">
        <v>1119</v>
      </c>
      <c r="D164" s="2" t="s">
        <v>1345</v>
      </c>
      <c r="E164" s="2" t="s">
        <v>1346</v>
      </c>
      <c r="F164" s="2" t="s">
        <v>1025</v>
      </c>
      <c r="G164" s="8" t="s">
        <v>872</v>
      </c>
      <c r="H164" s="10" t="s">
        <v>898</v>
      </c>
      <c r="I164" s="10" t="s">
        <v>899</v>
      </c>
      <c r="J164" t="s">
        <v>876</v>
      </c>
      <c r="K164" s="17" t="s">
        <v>1353</v>
      </c>
      <c r="L164" t="s">
        <v>1344</v>
      </c>
      <c r="M164" s="151" t="s">
        <v>875</v>
      </c>
      <c r="N164" s="2" t="s">
        <v>1303</v>
      </c>
    </row>
    <row r="165" spans="1:14" hidden="1">
      <c r="A165">
        <v>219</v>
      </c>
      <c r="C165" s="23" t="s">
        <v>1122</v>
      </c>
      <c r="D165" s="2" t="s">
        <v>1345</v>
      </c>
      <c r="E165" s="2" t="s">
        <v>1346</v>
      </c>
      <c r="F165" s="2" t="s">
        <v>1025</v>
      </c>
      <c r="G165" s="8" t="s">
        <v>872</v>
      </c>
      <c r="H165" s="10" t="s">
        <v>898</v>
      </c>
      <c r="I165" s="10" t="s">
        <v>899</v>
      </c>
      <c r="J165" t="s">
        <v>876</v>
      </c>
      <c r="K165" s="17" t="s">
        <v>1353</v>
      </c>
      <c r="L165" t="s">
        <v>1344</v>
      </c>
      <c r="M165" s="151" t="s">
        <v>875</v>
      </c>
      <c r="N165" s="2" t="s">
        <v>1303</v>
      </c>
    </row>
    <row r="166" spans="1:14" hidden="1">
      <c r="A166">
        <v>220</v>
      </c>
      <c r="C166" s="23" t="s">
        <v>1124</v>
      </c>
      <c r="D166" s="2" t="s">
        <v>1345</v>
      </c>
      <c r="E166" s="2" t="s">
        <v>1346</v>
      </c>
      <c r="F166" s="2" t="s">
        <v>1025</v>
      </c>
      <c r="G166" s="8" t="s">
        <v>872</v>
      </c>
      <c r="H166" s="10" t="s">
        <v>898</v>
      </c>
      <c r="I166" s="10" t="s">
        <v>899</v>
      </c>
      <c r="J166" t="s">
        <v>876</v>
      </c>
      <c r="K166" s="17" t="s">
        <v>1353</v>
      </c>
      <c r="L166" t="s">
        <v>1344</v>
      </c>
      <c r="M166" s="151" t="s">
        <v>875</v>
      </c>
      <c r="N166" s="2" t="s">
        <v>1303</v>
      </c>
    </row>
    <row r="167" spans="1:14" hidden="1">
      <c r="A167">
        <v>221</v>
      </c>
      <c r="C167" s="23" t="s">
        <v>1124</v>
      </c>
      <c r="D167" s="2" t="s">
        <v>1345</v>
      </c>
      <c r="E167" s="2" t="s">
        <v>1346</v>
      </c>
      <c r="F167" s="2" t="s">
        <v>1025</v>
      </c>
      <c r="G167" s="8" t="s">
        <v>872</v>
      </c>
      <c r="H167" s="10" t="s">
        <v>898</v>
      </c>
      <c r="I167" s="10" t="s">
        <v>899</v>
      </c>
      <c r="J167" t="s">
        <v>876</v>
      </c>
      <c r="K167" s="17" t="s">
        <v>1353</v>
      </c>
      <c r="L167" t="s">
        <v>1344</v>
      </c>
      <c r="M167" s="151" t="s">
        <v>875</v>
      </c>
      <c r="N167" s="2" t="s">
        <v>1303</v>
      </c>
    </row>
    <row r="168" spans="1:14" hidden="1">
      <c r="A168">
        <v>222</v>
      </c>
      <c r="C168" s="23" t="s">
        <v>1127</v>
      </c>
      <c r="D168" s="2" t="s">
        <v>1345</v>
      </c>
      <c r="E168" s="2" t="s">
        <v>1346</v>
      </c>
      <c r="F168" s="2" t="s">
        <v>1025</v>
      </c>
      <c r="G168" s="8" t="s">
        <v>872</v>
      </c>
      <c r="H168" s="10" t="s">
        <v>898</v>
      </c>
      <c r="I168" s="10" t="s">
        <v>899</v>
      </c>
      <c r="J168" t="s">
        <v>876</v>
      </c>
      <c r="K168" s="17" t="s">
        <v>1353</v>
      </c>
      <c r="L168" t="s">
        <v>1344</v>
      </c>
      <c r="M168" s="151" t="s">
        <v>875</v>
      </c>
      <c r="N168" s="2" t="s">
        <v>1303</v>
      </c>
    </row>
    <row r="169" spans="1:14" hidden="1">
      <c r="A169">
        <v>223</v>
      </c>
      <c r="C169" s="23" t="s">
        <v>1128</v>
      </c>
      <c r="D169" s="2" t="s">
        <v>1345</v>
      </c>
      <c r="E169" s="2" t="s">
        <v>1350</v>
      </c>
      <c r="F169" s="2" t="s">
        <v>1025</v>
      </c>
      <c r="G169" s="8" t="s">
        <v>872</v>
      </c>
      <c r="H169" s="10" t="s">
        <v>898</v>
      </c>
      <c r="I169" s="10" t="s">
        <v>899</v>
      </c>
      <c r="J169" t="s">
        <v>876</v>
      </c>
      <c r="K169" s="17" t="s">
        <v>1353</v>
      </c>
      <c r="L169" t="s">
        <v>1344</v>
      </c>
      <c r="M169" s="151" t="s">
        <v>875</v>
      </c>
      <c r="N169" s="2" t="s">
        <v>1303</v>
      </c>
    </row>
    <row r="170" spans="1:14" hidden="1">
      <c r="A170">
        <v>224</v>
      </c>
      <c r="C170" s="23" t="s">
        <v>1129</v>
      </c>
      <c r="D170" s="2" t="s">
        <v>1345</v>
      </c>
      <c r="E170" s="2" t="s">
        <v>1350</v>
      </c>
      <c r="F170" s="2" t="s">
        <v>1025</v>
      </c>
      <c r="G170" s="8" t="s">
        <v>872</v>
      </c>
      <c r="H170" s="10" t="s">
        <v>898</v>
      </c>
      <c r="I170" s="10" t="s">
        <v>899</v>
      </c>
      <c r="J170" t="s">
        <v>876</v>
      </c>
      <c r="K170" s="17" t="s">
        <v>1353</v>
      </c>
      <c r="L170" t="s">
        <v>1344</v>
      </c>
      <c r="M170" s="151" t="s">
        <v>875</v>
      </c>
      <c r="N170" s="2" t="s">
        <v>1303</v>
      </c>
    </row>
    <row r="171" spans="1:14" hidden="1">
      <c r="A171">
        <v>225</v>
      </c>
      <c r="C171" s="23" t="s">
        <v>1131</v>
      </c>
      <c r="D171" s="2" t="s">
        <v>1345</v>
      </c>
      <c r="E171" s="2" t="s">
        <v>1346</v>
      </c>
      <c r="F171" s="2" t="s">
        <v>1025</v>
      </c>
      <c r="G171" s="8" t="s">
        <v>872</v>
      </c>
      <c r="H171" s="10" t="s">
        <v>898</v>
      </c>
      <c r="I171" s="10" t="s">
        <v>899</v>
      </c>
      <c r="J171" t="s">
        <v>876</v>
      </c>
      <c r="K171" s="17" t="s">
        <v>1353</v>
      </c>
      <c r="L171" t="s">
        <v>1344</v>
      </c>
      <c r="M171" s="151" t="s">
        <v>875</v>
      </c>
      <c r="N171" s="2" t="s">
        <v>1303</v>
      </c>
    </row>
    <row r="172" spans="1:14" hidden="1">
      <c r="A172">
        <v>231</v>
      </c>
      <c r="C172" t="s">
        <v>1149</v>
      </c>
      <c r="D172" s="26" t="s">
        <v>1345</v>
      </c>
      <c r="E172" s="26" t="s">
        <v>1346</v>
      </c>
      <c r="F172" s="2" t="s">
        <v>1135</v>
      </c>
      <c r="G172" s="8" t="s">
        <v>872</v>
      </c>
      <c r="H172" s="10" t="s">
        <v>895</v>
      </c>
      <c r="I172" s="10" t="s">
        <v>1150</v>
      </c>
      <c r="J172" t="s">
        <v>876</v>
      </c>
      <c r="K172" t="s">
        <v>1353</v>
      </c>
      <c r="L172" t="s">
        <v>1344</v>
      </c>
      <c r="M172" s="151" t="s">
        <v>875</v>
      </c>
      <c r="N172" s="2" t="s">
        <v>1303</v>
      </c>
    </row>
    <row r="173" spans="1:14" hidden="1">
      <c r="A173">
        <v>232</v>
      </c>
      <c r="C173" t="s">
        <v>1152</v>
      </c>
      <c r="D173" s="26" t="s">
        <v>1345</v>
      </c>
      <c r="E173" s="26" t="s">
        <v>1346</v>
      </c>
      <c r="F173" s="2" t="s">
        <v>1135</v>
      </c>
      <c r="G173" s="8" t="s">
        <v>872</v>
      </c>
      <c r="H173" s="10" t="s">
        <v>895</v>
      </c>
      <c r="I173" s="10" t="s">
        <v>1150</v>
      </c>
      <c r="J173" t="s">
        <v>876</v>
      </c>
      <c r="K173" t="s">
        <v>1353</v>
      </c>
      <c r="L173" t="s">
        <v>1344</v>
      </c>
      <c r="M173" s="151" t="s">
        <v>875</v>
      </c>
      <c r="N173" s="2" t="s">
        <v>1303</v>
      </c>
    </row>
    <row r="174" spans="1:14" hidden="1">
      <c r="A174">
        <v>234</v>
      </c>
      <c r="C174" t="s">
        <v>1157</v>
      </c>
      <c r="D174" s="2" t="s">
        <v>1345</v>
      </c>
      <c r="E174" s="2" t="s">
        <v>1346</v>
      </c>
      <c r="F174" s="2" t="s">
        <v>1135</v>
      </c>
      <c r="G174" s="8" t="s">
        <v>872</v>
      </c>
      <c r="H174" s="10" t="s">
        <v>895</v>
      </c>
      <c r="I174" s="10" t="s">
        <v>1158</v>
      </c>
      <c r="J174" t="s">
        <v>876</v>
      </c>
      <c r="K174" t="s">
        <v>1353</v>
      </c>
      <c r="L174" t="s">
        <v>1344</v>
      </c>
      <c r="M174" s="151" t="s">
        <v>875</v>
      </c>
      <c r="N174" s="2" t="s">
        <v>1303</v>
      </c>
    </row>
    <row r="175" spans="1:14" hidden="1">
      <c r="A175">
        <v>235</v>
      </c>
      <c r="C175" t="s">
        <v>1159</v>
      </c>
      <c r="D175" s="2" t="s">
        <v>1345</v>
      </c>
      <c r="E175" s="2" t="s">
        <v>1346</v>
      </c>
      <c r="F175" s="2" t="s">
        <v>1135</v>
      </c>
      <c r="G175" s="8" t="s">
        <v>872</v>
      </c>
      <c r="H175" s="10" t="s">
        <v>895</v>
      </c>
      <c r="I175" s="10" t="s">
        <v>1161</v>
      </c>
      <c r="J175" t="s">
        <v>876</v>
      </c>
      <c r="K175" t="s">
        <v>1353</v>
      </c>
      <c r="L175" t="s">
        <v>1344</v>
      </c>
      <c r="M175" s="151" t="s">
        <v>875</v>
      </c>
      <c r="N175" s="2" t="s">
        <v>1303</v>
      </c>
    </row>
    <row r="176" spans="1:14" hidden="1">
      <c r="A176">
        <v>236</v>
      </c>
      <c r="C176" t="s">
        <v>1163</v>
      </c>
      <c r="D176" s="2" t="s">
        <v>1345</v>
      </c>
      <c r="E176" s="2" t="s">
        <v>1346</v>
      </c>
      <c r="F176" s="2" t="s">
        <v>1135</v>
      </c>
      <c r="G176" s="8" t="s">
        <v>872</v>
      </c>
      <c r="H176" s="10" t="s">
        <v>895</v>
      </c>
      <c r="I176" s="10" t="s">
        <v>485</v>
      </c>
      <c r="J176" t="s">
        <v>876</v>
      </c>
      <c r="K176" t="s">
        <v>1353</v>
      </c>
      <c r="L176" t="s">
        <v>1344</v>
      </c>
      <c r="M176" s="151" t="s">
        <v>875</v>
      </c>
      <c r="N176" s="2" t="s">
        <v>1303</v>
      </c>
    </row>
    <row r="177" spans="1:14" hidden="1">
      <c r="A177">
        <v>237</v>
      </c>
      <c r="C177" t="s">
        <v>1165</v>
      </c>
      <c r="D177" s="2" t="s">
        <v>1345</v>
      </c>
      <c r="E177" s="2" t="s">
        <v>1346</v>
      </c>
      <c r="F177" s="2" t="s">
        <v>1135</v>
      </c>
      <c r="G177" s="8" t="s">
        <v>872</v>
      </c>
      <c r="H177" s="10" t="s">
        <v>895</v>
      </c>
      <c r="I177" s="10" t="s">
        <v>485</v>
      </c>
      <c r="J177" t="s">
        <v>876</v>
      </c>
      <c r="K177" t="s">
        <v>1353</v>
      </c>
      <c r="L177" t="s">
        <v>1344</v>
      </c>
      <c r="M177" s="151" t="s">
        <v>875</v>
      </c>
      <c r="N177" s="2" t="s">
        <v>1303</v>
      </c>
    </row>
    <row r="178" spans="1:14" hidden="1">
      <c r="A178">
        <v>238</v>
      </c>
      <c r="C178" t="s">
        <v>1167</v>
      </c>
      <c r="D178" s="2" t="s">
        <v>1345</v>
      </c>
      <c r="E178" s="2" t="s">
        <v>1346</v>
      </c>
      <c r="F178" s="2" t="s">
        <v>1135</v>
      </c>
      <c r="G178" s="8" t="s">
        <v>872</v>
      </c>
      <c r="H178" s="10" t="s">
        <v>895</v>
      </c>
      <c r="I178" s="10" t="s">
        <v>1168</v>
      </c>
      <c r="J178" t="s">
        <v>876</v>
      </c>
      <c r="K178" t="s">
        <v>1353</v>
      </c>
      <c r="L178" t="s">
        <v>1344</v>
      </c>
      <c r="M178" s="151" t="s">
        <v>875</v>
      </c>
      <c r="N178" s="2" t="s">
        <v>1303</v>
      </c>
    </row>
    <row r="179" spans="1:14" hidden="1">
      <c r="A179">
        <v>255</v>
      </c>
      <c r="C179" s="23" t="s">
        <v>1209</v>
      </c>
      <c r="D179" s="2" t="s">
        <v>1345</v>
      </c>
      <c r="E179" s="2" t="s">
        <v>1350</v>
      </c>
      <c r="F179" s="2" t="s">
        <v>1015</v>
      </c>
      <c r="G179" s="8" t="s">
        <v>872</v>
      </c>
      <c r="H179" s="10" t="s">
        <v>898</v>
      </c>
      <c r="I179" s="10" t="s">
        <v>899</v>
      </c>
      <c r="J179" t="s">
        <v>876</v>
      </c>
      <c r="K179" s="17" t="s">
        <v>1353</v>
      </c>
      <c r="L179" t="s">
        <v>1344</v>
      </c>
      <c r="M179" s="151" t="s">
        <v>875</v>
      </c>
      <c r="N179" s="2" t="s">
        <v>1303</v>
      </c>
    </row>
    <row r="180" spans="1:14" hidden="1">
      <c r="A180">
        <v>266</v>
      </c>
      <c r="C180" t="s">
        <v>1232</v>
      </c>
      <c r="D180" s="2" t="s">
        <v>1345</v>
      </c>
      <c r="E180" s="2" t="s">
        <v>1346</v>
      </c>
      <c r="F180" s="2" t="s">
        <v>894</v>
      </c>
      <c r="G180" s="8" t="s">
        <v>872</v>
      </c>
      <c r="H180" s="10" t="s">
        <v>895</v>
      </c>
      <c r="I180" s="10" t="s">
        <v>1234</v>
      </c>
      <c r="J180" t="s">
        <v>876</v>
      </c>
      <c r="K180" t="s">
        <v>1353</v>
      </c>
      <c r="L180" t="s">
        <v>1344</v>
      </c>
      <c r="M180" s="151" t="s">
        <v>875</v>
      </c>
      <c r="N180" s="2" t="s">
        <v>1303</v>
      </c>
    </row>
    <row r="181" spans="1:14" hidden="1">
      <c r="A181">
        <v>267</v>
      </c>
      <c r="C181" t="s">
        <v>1235</v>
      </c>
      <c r="D181" s="2" t="s">
        <v>1345</v>
      </c>
      <c r="E181" s="2" t="s">
        <v>1346</v>
      </c>
      <c r="F181" s="2" t="s">
        <v>894</v>
      </c>
      <c r="G181" s="8" t="s">
        <v>872</v>
      </c>
      <c r="H181" s="10" t="s">
        <v>895</v>
      </c>
      <c r="I181" s="10" t="s">
        <v>1234</v>
      </c>
      <c r="J181" t="s">
        <v>876</v>
      </c>
      <c r="K181" t="s">
        <v>1353</v>
      </c>
      <c r="L181" t="s">
        <v>1344</v>
      </c>
      <c r="M181" s="151" t="s">
        <v>875</v>
      </c>
      <c r="N181" s="2" t="s">
        <v>1303</v>
      </c>
    </row>
    <row r="182" spans="1:14" hidden="1">
      <c r="A182">
        <v>268</v>
      </c>
      <c r="C182" t="s">
        <v>1237</v>
      </c>
      <c r="D182" s="2" t="s">
        <v>1345</v>
      </c>
      <c r="E182" s="2" t="s">
        <v>1346</v>
      </c>
      <c r="F182" s="2" t="s">
        <v>894</v>
      </c>
      <c r="G182" s="8" t="s">
        <v>872</v>
      </c>
      <c r="H182" s="10" t="s">
        <v>895</v>
      </c>
      <c r="I182" s="10" t="s">
        <v>1238</v>
      </c>
      <c r="J182" t="s">
        <v>876</v>
      </c>
      <c r="K182" t="s">
        <v>1353</v>
      </c>
      <c r="L182" t="s">
        <v>1344</v>
      </c>
      <c r="M182" s="151" t="s">
        <v>875</v>
      </c>
      <c r="N182" s="2" t="s">
        <v>1303</v>
      </c>
    </row>
    <row r="183" spans="1:14" hidden="1">
      <c r="A183">
        <v>271</v>
      </c>
      <c r="C183" s="23" t="s">
        <v>1245</v>
      </c>
      <c r="D183" s="2" t="s">
        <v>1345</v>
      </c>
      <c r="E183" s="2" t="s">
        <v>1346</v>
      </c>
      <c r="F183" s="2" t="s">
        <v>894</v>
      </c>
      <c r="G183" s="8" t="s">
        <v>872</v>
      </c>
      <c r="H183" s="10" t="s">
        <v>898</v>
      </c>
      <c r="I183" s="10" t="s">
        <v>899</v>
      </c>
      <c r="J183" t="s">
        <v>876</v>
      </c>
      <c r="K183" s="17" t="s">
        <v>1353</v>
      </c>
      <c r="L183" t="s">
        <v>1344</v>
      </c>
      <c r="M183" s="151" t="s">
        <v>875</v>
      </c>
      <c r="N183" s="2" t="s">
        <v>1303</v>
      </c>
    </row>
    <row r="184" spans="1:14" hidden="1">
      <c r="A184">
        <v>272</v>
      </c>
      <c r="C184" s="23" t="s">
        <v>1245</v>
      </c>
      <c r="D184" s="2" t="s">
        <v>1345</v>
      </c>
      <c r="E184" s="2" t="s">
        <v>1346</v>
      </c>
      <c r="F184" s="2" t="s">
        <v>894</v>
      </c>
      <c r="G184" s="8" t="s">
        <v>872</v>
      </c>
      <c r="H184" s="10" t="s">
        <v>898</v>
      </c>
      <c r="I184" s="10" t="s">
        <v>899</v>
      </c>
      <c r="J184" t="s">
        <v>876</v>
      </c>
      <c r="K184" s="17" t="s">
        <v>1353</v>
      </c>
      <c r="L184" t="s">
        <v>1344</v>
      </c>
      <c r="M184" s="151" t="s">
        <v>875</v>
      </c>
      <c r="N184" s="2" t="s">
        <v>1303</v>
      </c>
    </row>
    <row r="185" spans="1:14" hidden="1">
      <c r="A185">
        <v>273</v>
      </c>
      <c r="C185" s="23" t="s">
        <v>1245</v>
      </c>
      <c r="D185" s="2" t="s">
        <v>1345</v>
      </c>
      <c r="E185" s="2" t="s">
        <v>1346</v>
      </c>
      <c r="F185" s="2" t="s">
        <v>894</v>
      </c>
      <c r="G185" s="8" t="s">
        <v>872</v>
      </c>
      <c r="H185" s="10" t="s">
        <v>898</v>
      </c>
      <c r="I185" s="10" t="s">
        <v>899</v>
      </c>
      <c r="J185" t="s">
        <v>876</v>
      </c>
      <c r="K185" s="17" t="s">
        <v>1353</v>
      </c>
      <c r="L185" t="s">
        <v>1344</v>
      </c>
      <c r="M185" s="151" t="s">
        <v>875</v>
      </c>
      <c r="N185" s="2" t="s">
        <v>1303</v>
      </c>
    </row>
    <row r="186" spans="1:14" hidden="1">
      <c r="A186">
        <v>274</v>
      </c>
      <c r="C186" t="s">
        <v>1248</v>
      </c>
      <c r="D186" s="26" t="s">
        <v>1345</v>
      </c>
      <c r="E186" s="26" t="s">
        <v>1346</v>
      </c>
      <c r="F186" s="2" t="s">
        <v>894</v>
      </c>
      <c r="G186" s="8" t="s">
        <v>872</v>
      </c>
      <c r="H186" s="10" t="s">
        <v>895</v>
      </c>
      <c r="I186" s="10" t="s">
        <v>1249</v>
      </c>
      <c r="J186" t="s">
        <v>876</v>
      </c>
      <c r="K186" t="s">
        <v>1353</v>
      </c>
      <c r="L186" t="s">
        <v>1344</v>
      </c>
      <c r="M186" s="151" t="s">
        <v>875</v>
      </c>
      <c r="N186" s="2" t="s">
        <v>1303</v>
      </c>
    </row>
    <row r="187" spans="1:14" hidden="1">
      <c r="A187">
        <v>275</v>
      </c>
      <c r="C187" s="23" t="s">
        <v>1250</v>
      </c>
      <c r="D187" s="2" t="s">
        <v>1345</v>
      </c>
      <c r="E187" s="2" t="s">
        <v>1350</v>
      </c>
      <c r="F187" s="2" t="s">
        <v>894</v>
      </c>
      <c r="G187" s="8" t="s">
        <v>872</v>
      </c>
      <c r="H187" s="10" t="s">
        <v>898</v>
      </c>
      <c r="I187" s="10" t="s">
        <v>899</v>
      </c>
      <c r="J187" t="s">
        <v>876</v>
      </c>
      <c r="K187" s="17" t="s">
        <v>1353</v>
      </c>
      <c r="L187" t="s">
        <v>1344</v>
      </c>
      <c r="M187" s="151" t="s">
        <v>875</v>
      </c>
      <c r="N187" s="2" t="s">
        <v>1303</v>
      </c>
    </row>
    <row r="188" spans="1:14" hidden="1">
      <c r="A188">
        <v>276</v>
      </c>
      <c r="C188" s="23" t="s">
        <v>1251</v>
      </c>
      <c r="D188" s="2" t="s">
        <v>1345</v>
      </c>
      <c r="E188" s="2" t="s">
        <v>1350</v>
      </c>
      <c r="F188" s="2" t="s">
        <v>894</v>
      </c>
      <c r="G188" s="8" t="s">
        <v>872</v>
      </c>
      <c r="H188" s="10" t="s">
        <v>898</v>
      </c>
      <c r="I188" s="10" t="s">
        <v>899</v>
      </c>
      <c r="J188" t="s">
        <v>876</v>
      </c>
      <c r="K188" s="17" t="s">
        <v>1353</v>
      </c>
      <c r="L188" t="s">
        <v>1344</v>
      </c>
      <c r="M188" s="151" t="s">
        <v>875</v>
      </c>
      <c r="N188" s="2" t="s">
        <v>1303</v>
      </c>
    </row>
    <row r="189" spans="1:14" hidden="1">
      <c r="A189">
        <v>277</v>
      </c>
      <c r="C189" s="23" t="s">
        <v>1252</v>
      </c>
      <c r="D189" s="2" t="s">
        <v>1345</v>
      </c>
      <c r="E189" s="2" t="s">
        <v>1350</v>
      </c>
      <c r="F189" s="2" t="s">
        <v>894</v>
      </c>
      <c r="G189" s="8" t="s">
        <v>872</v>
      </c>
      <c r="H189" s="10" t="s">
        <v>898</v>
      </c>
      <c r="I189" s="10" t="s">
        <v>899</v>
      </c>
      <c r="J189" t="s">
        <v>876</v>
      </c>
      <c r="K189" s="17" t="s">
        <v>1353</v>
      </c>
      <c r="L189" t="s">
        <v>1344</v>
      </c>
      <c r="M189" s="151" t="s">
        <v>875</v>
      </c>
      <c r="N189" s="2" t="s">
        <v>1303</v>
      </c>
    </row>
    <row r="190" spans="1:14" hidden="1">
      <c r="A190">
        <v>278</v>
      </c>
      <c r="C190" s="23" t="s">
        <v>1254</v>
      </c>
      <c r="D190" s="2" t="s">
        <v>1345</v>
      </c>
      <c r="E190" s="2" t="s">
        <v>1346</v>
      </c>
      <c r="F190" s="2" t="s">
        <v>894</v>
      </c>
      <c r="G190" s="8" t="s">
        <v>872</v>
      </c>
      <c r="H190" s="10" t="s">
        <v>898</v>
      </c>
      <c r="I190" s="10" t="s">
        <v>899</v>
      </c>
      <c r="J190" t="s">
        <v>876</v>
      </c>
      <c r="K190" s="17" t="s">
        <v>1353</v>
      </c>
      <c r="L190" t="s">
        <v>1344</v>
      </c>
      <c r="M190" s="151" t="s">
        <v>875</v>
      </c>
      <c r="N190" s="2" t="s">
        <v>1303</v>
      </c>
    </row>
    <row r="191" spans="1:14" hidden="1">
      <c r="A191">
        <v>283</v>
      </c>
      <c r="C191" t="s">
        <v>1260</v>
      </c>
      <c r="D191" s="26" t="s">
        <v>1345</v>
      </c>
      <c r="E191" s="26" t="s">
        <v>1346</v>
      </c>
      <c r="F191" s="2" t="s">
        <v>871</v>
      </c>
      <c r="G191" s="8" t="s">
        <v>872</v>
      </c>
      <c r="H191" s="10" t="s">
        <v>895</v>
      </c>
      <c r="I191" s="10" t="s">
        <v>1262</v>
      </c>
      <c r="J191" t="s">
        <v>876</v>
      </c>
      <c r="K191" t="s">
        <v>1353</v>
      </c>
      <c r="L191" t="s">
        <v>1344</v>
      </c>
      <c r="M191" s="151" t="s">
        <v>875</v>
      </c>
      <c r="N191" s="2" t="s">
        <v>1303</v>
      </c>
    </row>
    <row r="192" spans="1:14" hidden="1">
      <c r="A192">
        <v>299</v>
      </c>
      <c r="C192" s="23" t="s">
        <v>1291</v>
      </c>
      <c r="D192" s="2" t="s">
        <v>1345</v>
      </c>
      <c r="E192" s="2" t="s">
        <v>1346</v>
      </c>
      <c r="F192" s="2" t="s">
        <v>1017</v>
      </c>
      <c r="G192" s="8" t="s">
        <v>872</v>
      </c>
      <c r="H192" s="10" t="s">
        <v>898</v>
      </c>
      <c r="I192" s="10" t="s">
        <v>899</v>
      </c>
      <c r="J192" t="s">
        <v>876</v>
      </c>
      <c r="K192" s="17" t="s">
        <v>1353</v>
      </c>
      <c r="L192" t="s">
        <v>1344</v>
      </c>
      <c r="M192" s="151" t="s">
        <v>875</v>
      </c>
      <c r="N192" s="2" t="s">
        <v>1303</v>
      </c>
    </row>
    <row r="193" spans="1:14" hidden="1">
      <c r="A193">
        <v>302</v>
      </c>
      <c r="C193" s="23" t="s">
        <v>1296</v>
      </c>
      <c r="D193" s="2" t="s">
        <v>1345</v>
      </c>
      <c r="E193" s="2" t="s">
        <v>1346</v>
      </c>
      <c r="F193" s="2" t="s">
        <v>1017</v>
      </c>
      <c r="G193" s="8" t="s">
        <v>872</v>
      </c>
      <c r="H193" s="10" t="s">
        <v>898</v>
      </c>
      <c r="I193" s="10" t="s">
        <v>899</v>
      </c>
      <c r="J193" t="s">
        <v>876</v>
      </c>
      <c r="K193" s="17" t="s">
        <v>1353</v>
      </c>
      <c r="L193" t="s">
        <v>1344</v>
      </c>
      <c r="M193" s="151" t="s">
        <v>875</v>
      </c>
      <c r="N193" s="2" t="s">
        <v>1303</v>
      </c>
    </row>
    <row r="194" spans="1:14" hidden="1">
      <c r="A194">
        <v>308</v>
      </c>
      <c r="C194" t="s">
        <v>1359</v>
      </c>
      <c r="D194" s="2" t="s">
        <v>1345</v>
      </c>
      <c r="E194" s="2" t="s">
        <v>1350</v>
      </c>
      <c r="F194" s="2" t="s">
        <v>1025</v>
      </c>
      <c r="G194" s="8" t="s">
        <v>872</v>
      </c>
      <c r="H194" s="10" t="s">
        <v>898</v>
      </c>
      <c r="I194" s="10" t="s">
        <v>899</v>
      </c>
      <c r="J194" t="s">
        <v>876</v>
      </c>
      <c r="K194" s="17" t="s">
        <v>1353</v>
      </c>
      <c r="L194" t="s">
        <v>1344</v>
      </c>
      <c r="M194" s="151" t="s">
        <v>875</v>
      </c>
      <c r="N194" s="2" t="s">
        <v>1303</v>
      </c>
    </row>
    <row r="195" spans="1:14" hidden="1">
      <c r="A195">
        <v>309</v>
      </c>
      <c r="C195" t="s">
        <v>1360</v>
      </c>
      <c r="D195" s="2" t="s">
        <v>1345</v>
      </c>
      <c r="E195" s="2" t="s">
        <v>1350</v>
      </c>
      <c r="F195" s="2" t="s">
        <v>1025</v>
      </c>
      <c r="G195" s="8" t="s">
        <v>872</v>
      </c>
      <c r="H195" s="10" t="s">
        <v>898</v>
      </c>
      <c r="I195" s="10" t="s">
        <v>899</v>
      </c>
      <c r="J195" t="s">
        <v>876</v>
      </c>
      <c r="K195" s="17" t="s">
        <v>1353</v>
      </c>
      <c r="L195" t="s">
        <v>1344</v>
      </c>
      <c r="M195" s="151" t="s">
        <v>875</v>
      </c>
      <c r="N195" s="2" t="s">
        <v>1303</v>
      </c>
    </row>
    <row r="196" spans="1:14" hidden="1">
      <c r="A196">
        <v>310</v>
      </c>
      <c r="C196" t="s">
        <v>1361</v>
      </c>
      <c r="D196" s="2" t="s">
        <v>1345</v>
      </c>
      <c r="E196" s="2" t="s">
        <v>1350</v>
      </c>
      <c r="F196" s="2" t="s">
        <v>1025</v>
      </c>
      <c r="G196" s="8" t="s">
        <v>872</v>
      </c>
      <c r="H196" s="10" t="s">
        <v>898</v>
      </c>
      <c r="I196" s="10" t="s">
        <v>899</v>
      </c>
      <c r="J196" t="s">
        <v>876</v>
      </c>
      <c r="K196" s="17" t="s">
        <v>1353</v>
      </c>
      <c r="L196" t="s">
        <v>1344</v>
      </c>
      <c r="M196" s="151" t="s">
        <v>875</v>
      </c>
      <c r="N196" s="2" t="s">
        <v>1303</v>
      </c>
    </row>
    <row r="197" spans="1:14" hidden="1">
      <c r="A197">
        <v>311</v>
      </c>
      <c r="C197" t="s">
        <v>1362</v>
      </c>
      <c r="D197" s="2" t="s">
        <v>1345</v>
      </c>
      <c r="E197" s="2" t="s">
        <v>1350</v>
      </c>
      <c r="F197" s="2" t="s">
        <v>1025</v>
      </c>
      <c r="G197" s="8" t="s">
        <v>872</v>
      </c>
      <c r="H197" s="10" t="s">
        <v>898</v>
      </c>
      <c r="I197" s="10" t="s">
        <v>899</v>
      </c>
      <c r="J197" t="s">
        <v>876</v>
      </c>
      <c r="K197" s="17" t="s">
        <v>1353</v>
      </c>
      <c r="L197" t="s">
        <v>1344</v>
      </c>
      <c r="M197" s="151" t="s">
        <v>875</v>
      </c>
      <c r="N197" s="2" t="s">
        <v>1303</v>
      </c>
    </row>
    <row r="198" spans="1:14" hidden="1">
      <c r="A198">
        <v>312</v>
      </c>
      <c r="C198" t="s">
        <v>1363</v>
      </c>
      <c r="D198" s="2" t="s">
        <v>1345</v>
      </c>
      <c r="E198" s="2" t="s">
        <v>1350</v>
      </c>
      <c r="F198" s="2" t="s">
        <v>1025</v>
      </c>
      <c r="G198" s="8" t="s">
        <v>872</v>
      </c>
      <c r="H198" s="10" t="s">
        <v>898</v>
      </c>
      <c r="I198" s="10" t="s">
        <v>899</v>
      </c>
      <c r="J198" t="s">
        <v>876</v>
      </c>
      <c r="K198" s="17" t="s">
        <v>1353</v>
      </c>
      <c r="L198" t="s">
        <v>1344</v>
      </c>
      <c r="M198" s="151" t="s">
        <v>875</v>
      </c>
      <c r="N198" s="2" t="s">
        <v>1303</v>
      </c>
    </row>
    <row r="199" spans="1:14" hidden="1">
      <c r="A199">
        <v>313</v>
      </c>
      <c r="C199" t="s">
        <v>1364</v>
      </c>
      <c r="D199" s="2" t="s">
        <v>1345</v>
      </c>
      <c r="E199" s="2" t="s">
        <v>1350</v>
      </c>
      <c r="F199" s="2" t="s">
        <v>1025</v>
      </c>
      <c r="G199" s="8" t="s">
        <v>872</v>
      </c>
      <c r="H199" s="10" t="s">
        <v>898</v>
      </c>
      <c r="I199" s="10" t="s">
        <v>899</v>
      </c>
      <c r="J199" t="s">
        <v>876</v>
      </c>
      <c r="K199" s="17" t="s">
        <v>1353</v>
      </c>
      <c r="L199" t="s">
        <v>1344</v>
      </c>
      <c r="M199" s="151" t="s">
        <v>875</v>
      </c>
      <c r="N199" s="2" t="s">
        <v>1303</v>
      </c>
    </row>
    <row r="200" spans="1:14" hidden="1">
      <c r="A200">
        <v>314</v>
      </c>
      <c r="C200" t="s">
        <v>1365</v>
      </c>
      <c r="D200" s="2" t="s">
        <v>1345</v>
      </c>
      <c r="E200" s="2" t="s">
        <v>1350</v>
      </c>
      <c r="F200" s="2" t="s">
        <v>1025</v>
      </c>
      <c r="G200" s="8" t="s">
        <v>872</v>
      </c>
      <c r="H200" s="10" t="s">
        <v>898</v>
      </c>
      <c r="I200" s="10" t="s">
        <v>899</v>
      </c>
      <c r="J200" t="s">
        <v>876</v>
      </c>
      <c r="K200" s="17" t="s">
        <v>1353</v>
      </c>
      <c r="L200" t="s">
        <v>1344</v>
      </c>
      <c r="M200" s="151" t="s">
        <v>875</v>
      </c>
      <c r="N200" s="2" t="s">
        <v>1303</v>
      </c>
    </row>
    <row r="201" spans="1:14" hidden="1">
      <c r="A201">
        <v>315</v>
      </c>
      <c r="C201" t="s">
        <v>1366</v>
      </c>
      <c r="D201" s="2" t="s">
        <v>1345</v>
      </c>
      <c r="E201" s="2" t="s">
        <v>1350</v>
      </c>
      <c r="F201" s="2" t="s">
        <v>1025</v>
      </c>
      <c r="G201" s="8" t="s">
        <v>872</v>
      </c>
      <c r="H201" s="10" t="s">
        <v>898</v>
      </c>
      <c r="I201" s="10" t="s">
        <v>899</v>
      </c>
      <c r="J201" t="s">
        <v>876</v>
      </c>
      <c r="K201" s="17" t="s">
        <v>1353</v>
      </c>
      <c r="L201" t="s">
        <v>1344</v>
      </c>
      <c r="M201" s="151" t="s">
        <v>875</v>
      </c>
      <c r="N201" s="2" t="s">
        <v>1303</v>
      </c>
    </row>
    <row r="202" spans="1:14" hidden="1">
      <c r="A202">
        <v>316</v>
      </c>
      <c r="C202" t="s">
        <v>1367</v>
      </c>
      <c r="D202" s="2" t="s">
        <v>1345</v>
      </c>
      <c r="E202" s="2" t="s">
        <v>1350</v>
      </c>
      <c r="F202" s="2" t="s">
        <v>1025</v>
      </c>
      <c r="G202" s="8" t="s">
        <v>872</v>
      </c>
      <c r="H202" s="10" t="s">
        <v>898</v>
      </c>
      <c r="I202" s="10" t="s">
        <v>899</v>
      </c>
      <c r="J202" t="s">
        <v>876</v>
      </c>
      <c r="K202" s="17" t="s">
        <v>1353</v>
      </c>
      <c r="L202" t="s">
        <v>1344</v>
      </c>
      <c r="M202" s="151" t="s">
        <v>875</v>
      </c>
      <c r="N202" s="2" t="s">
        <v>1303</v>
      </c>
    </row>
    <row r="203" spans="1:14" hidden="1">
      <c r="A203">
        <v>317</v>
      </c>
      <c r="C203" t="s">
        <v>1368</v>
      </c>
      <c r="D203" s="2" t="s">
        <v>1345</v>
      </c>
      <c r="E203" s="2" t="s">
        <v>1350</v>
      </c>
      <c r="F203" s="2" t="s">
        <v>1025</v>
      </c>
      <c r="G203" s="8" t="s">
        <v>872</v>
      </c>
      <c r="H203" s="10" t="s">
        <v>898</v>
      </c>
      <c r="I203" s="10" t="s">
        <v>899</v>
      </c>
      <c r="J203" t="s">
        <v>876</v>
      </c>
      <c r="K203" s="17" t="s">
        <v>1353</v>
      </c>
      <c r="L203" t="s">
        <v>1344</v>
      </c>
      <c r="M203" s="151" t="s">
        <v>875</v>
      </c>
      <c r="N203" s="2" t="s">
        <v>1303</v>
      </c>
    </row>
    <row r="204" spans="1:14" hidden="1">
      <c r="A204">
        <v>318</v>
      </c>
      <c r="C204" t="s">
        <v>1369</v>
      </c>
      <c r="D204" s="2" t="s">
        <v>1345</v>
      </c>
      <c r="E204" s="2" t="s">
        <v>1350</v>
      </c>
      <c r="F204" s="2" t="s">
        <v>1025</v>
      </c>
      <c r="G204" s="8" t="s">
        <v>872</v>
      </c>
      <c r="H204" s="10" t="s">
        <v>898</v>
      </c>
      <c r="I204" s="10" t="s">
        <v>899</v>
      </c>
      <c r="J204" t="s">
        <v>876</v>
      </c>
      <c r="K204" s="17" t="s">
        <v>1353</v>
      </c>
      <c r="L204" t="s">
        <v>1344</v>
      </c>
      <c r="M204" s="151" t="s">
        <v>875</v>
      </c>
      <c r="N204" s="2" t="s">
        <v>1303</v>
      </c>
    </row>
    <row r="205" spans="1:14" hidden="1">
      <c r="A205">
        <v>319</v>
      </c>
      <c r="C205" t="s">
        <v>1370</v>
      </c>
      <c r="D205" s="2" t="s">
        <v>1345</v>
      </c>
      <c r="E205" s="2" t="s">
        <v>1350</v>
      </c>
      <c r="F205" s="2" t="s">
        <v>1025</v>
      </c>
      <c r="G205" s="8" t="s">
        <v>872</v>
      </c>
      <c r="H205" s="10" t="s">
        <v>898</v>
      </c>
      <c r="I205" s="10" t="s">
        <v>899</v>
      </c>
      <c r="J205" t="s">
        <v>876</v>
      </c>
      <c r="K205" s="17" t="s">
        <v>1353</v>
      </c>
      <c r="L205" t="s">
        <v>1344</v>
      </c>
      <c r="M205" s="151" t="s">
        <v>875</v>
      </c>
      <c r="N205" s="2" t="s">
        <v>1303</v>
      </c>
    </row>
    <row r="206" spans="1:14" hidden="1">
      <c r="A206">
        <v>320</v>
      </c>
      <c r="C206" t="s">
        <v>1371</v>
      </c>
      <c r="D206" s="2" t="s">
        <v>1345</v>
      </c>
      <c r="E206" s="2" t="s">
        <v>1350</v>
      </c>
      <c r="F206" s="2" t="s">
        <v>1025</v>
      </c>
      <c r="G206" s="8" t="s">
        <v>872</v>
      </c>
      <c r="H206" s="10" t="s">
        <v>898</v>
      </c>
      <c r="I206" s="10" t="s">
        <v>899</v>
      </c>
      <c r="J206" t="s">
        <v>876</v>
      </c>
      <c r="K206" s="17" t="s">
        <v>1353</v>
      </c>
      <c r="L206" t="s">
        <v>1344</v>
      </c>
      <c r="M206" s="151" t="s">
        <v>875</v>
      </c>
      <c r="N206" s="2" t="s">
        <v>1303</v>
      </c>
    </row>
    <row r="207" spans="1:14" hidden="1">
      <c r="A207">
        <v>321</v>
      </c>
      <c r="C207" t="s">
        <v>1372</v>
      </c>
      <c r="D207" s="2" t="s">
        <v>1345</v>
      </c>
      <c r="E207" s="2" t="s">
        <v>1350</v>
      </c>
      <c r="F207" s="2" t="s">
        <v>1025</v>
      </c>
      <c r="G207" s="8" t="s">
        <v>872</v>
      </c>
      <c r="H207" s="10" t="s">
        <v>898</v>
      </c>
      <c r="I207" s="10" t="s">
        <v>899</v>
      </c>
      <c r="J207" t="s">
        <v>876</v>
      </c>
      <c r="K207" s="17" t="s">
        <v>1353</v>
      </c>
      <c r="L207" t="s">
        <v>1344</v>
      </c>
      <c r="M207" s="151" t="s">
        <v>875</v>
      </c>
      <c r="N207" s="2" t="s">
        <v>1303</v>
      </c>
    </row>
    <row r="208" spans="1:14" hidden="1">
      <c r="A208">
        <v>290</v>
      </c>
      <c r="C208" t="s">
        <v>1278</v>
      </c>
      <c r="D208" s="26" t="s">
        <v>1345</v>
      </c>
      <c r="E208" s="26" t="s">
        <v>1346</v>
      </c>
      <c r="F208" s="2" t="s">
        <v>956</v>
      </c>
      <c r="G208" s="8" t="s">
        <v>872</v>
      </c>
      <c r="H208" s="10" t="s">
        <v>895</v>
      </c>
      <c r="I208" s="10" t="s">
        <v>1280</v>
      </c>
      <c r="J208" t="s">
        <v>884</v>
      </c>
      <c r="K208" t="s">
        <v>1353</v>
      </c>
      <c r="L208" t="s">
        <v>1342</v>
      </c>
      <c r="M208" s="151" t="s">
        <v>875</v>
      </c>
      <c r="N208" s="2" t="s">
        <v>1303</v>
      </c>
    </row>
    <row r="209" spans="1:14" hidden="1">
      <c r="A209">
        <v>291</v>
      </c>
      <c r="C209" t="s">
        <v>1282</v>
      </c>
      <c r="D209" s="26" t="s">
        <v>1345</v>
      </c>
      <c r="E209" s="26" t="s">
        <v>1346</v>
      </c>
      <c r="F209" s="2" t="s">
        <v>956</v>
      </c>
      <c r="G209" s="8" t="s">
        <v>872</v>
      </c>
      <c r="H209" s="10" t="s">
        <v>895</v>
      </c>
      <c r="I209" s="10" t="s">
        <v>1280</v>
      </c>
      <c r="J209" t="s">
        <v>884</v>
      </c>
      <c r="K209" t="s">
        <v>1353</v>
      </c>
      <c r="L209" t="s">
        <v>1342</v>
      </c>
      <c r="M209" s="151" t="s">
        <v>875</v>
      </c>
      <c r="N209" s="2" t="s">
        <v>1303</v>
      </c>
    </row>
    <row r="210" spans="1:14" hidden="1">
      <c r="A210">
        <v>27</v>
      </c>
      <c r="B210" s="47">
        <v>46066</v>
      </c>
      <c r="C210" s="23" t="s">
        <v>220</v>
      </c>
      <c r="D210" s="2">
        <v>11</v>
      </c>
      <c r="E210" s="2">
        <v>1</v>
      </c>
      <c r="F210" s="2" t="s">
        <v>871</v>
      </c>
      <c r="G210" s="6" t="s">
        <v>902</v>
      </c>
      <c r="H210" s="5" t="s">
        <v>898</v>
      </c>
      <c r="I210" s="10" t="s">
        <v>899</v>
      </c>
      <c r="J210" t="s">
        <v>876</v>
      </c>
      <c r="K210" s="17" t="s">
        <v>1353</v>
      </c>
      <c r="L210" t="s">
        <v>1347</v>
      </c>
      <c r="M210" s="151" t="s">
        <v>875</v>
      </c>
      <c r="N210" s="2" t="s">
        <v>1303</v>
      </c>
    </row>
    <row r="211" spans="1:14" hidden="1">
      <c r="A211">
        <v>40</v>
      </c>
      <c r="B211" s="47">
        <v>46066</v>
      </c>
      <c r="C211" s="23" t="s">
        <v>218</v>
      </c>
      <c r="D211" s="2">
        <v>7</v>
      </c>
      <c r="E211" s="2">
        <v>1</v>
      </c>
      <c r="F211" s="2" t="s">
        <v>871</v>
      </c>
      <c r="G211" s="6" t="s">
        <v>902</v>
      </c>
      <c r="H211" s="5" t="s">
        <v>898</v>
      </c>
      <c r="I211" s="10" t="s">
        <v>899</v>
      </c>
      <c r="J211" t="s">
        <v>876</v>
      </c>
      <c r="K211" s="17" t="s">
        <v>1353</v>
      </c>
      <c r="L211" t="s">
        <v>1347</v>
      </c>
      <c r="M211" s="151" t="s">
        <v>875</v>
      </c>
      <c r="N211" s="2" t="s">
        <v>1303</v>
      </c>
    </row>
    <row r="212" spans="1:14" hidden="1">
      <c r="A212">
        <v>51</v>
      </c>
      <c r="B212" s="47">
        <v>46055</v>
      </c>
      <c r="C212" s="23" t="s">
        <v>219</v>
      </c>
      <c r="D212" s="2">
        <v>5</v>
      </c>
      <c r="E212" s="2">
        <v>1</v>
      </c>
      <c r="F212" s="2" t="s">
        <v>871</v>
      </c>
      <c r="G212" s="6" t="s">
        <v>902</v>
      </c>
      <c r="H212" s="5" t="s">
        <v>898</v>
      </c>
      <c r="I212" s="10" t="s">
        <v>899</v>
      </c>
      <c r="J212" t="s">
        <v>876</v>
      </c>
      <c r="K212" s="17" t="s">
        <v>1353</v>
      </c>
      <c r="L212" t="s">
        <v>1347</v>
      </c>
      <c r="M212" s="151" t="s">
        <v>875</v>
      </c>
      <c r="N212" s="2" t="s">
        <v>1303</v>
      </c>
    </row>
    <row r="213" spans="1:14" hidden="1">
      <c r="A213">
        <v>146</v>
      </c>
      <c r="B213" s="47">
        <v>46071</v>
      </c>
      <c r="C213" s="23" t="s">
        <v>58</v>
      </c>
      <c r="D213" s="2">
        <v>1</v>
      </c>
      <c r="E213" s="2">
        <v>1</v>
      </c>
      <c r="F213" s="2" t="s">
        <v>894</v>
      </c>
      <c r="G213" s="7" t="s">
        <v>880</v>
      </c>
      <c r="H213" s="5" t="s">
        <v>898</v>
      </c>
      <c r="I213" s="10" t="s">
        <v>932</v>
      </c>
      <c r="J213" t="s">
        <v>922</v>
      </c>
      <c r="K213" t="s">
        <v>1353</v>
      </c>
      <c r="L213" t="s">
        <v>1347</v>
      </c>
      <c r="M213" s="151" t="s">
        <v>875</v>
      </c>
      <c r="N213" s="2" t="s">
        <v>1303</v>
      </c>
    </row>
    <row r="214" spans="1:14" hidden="1">
      <c r="A214">
        <v>147</v>
      </c>
      <c r="B214" s="47">
        <v>46062</v>
      </c>
      <c r="C214" s="23" t="s">
        <v>56</v>
      </c>
      <c r="D214" s="2">
        <v>1</v>
      </c>
      <c r="E214" s="2">
        <v>1</v>
      </c>
      <c r="F214" s="2" t="s">
        <v>894</v>
      </c>
      <c r="G214" s="7" t="s">
        <v>880</v>
      </c>
      <c r="H214" s="5" t="s">
        <v>898</v>
      </c>
      <c r="I214" s="10" t="s">
        <v>899</v>
      </c>
      <c r="J214" t="s">
        <v>876</v>
      </c>
      <c r="K214" t="s">
        <v>1353</v>
      </c>
      <c r="L214" t="s">
        <v>1347</v>
      </c>
      <c r="M214" s="151" t="s">
        <v>875</v>
      </c>
      <c r="N214" s="2" t="s">
        <v>1303</v>
      </c>
    </row>
    <row r="215" spans="1:14" hidden="1">
      <c r="A215">
        <v>167</v>
      </c>
      <c r="C215" s="23" t="s">
        <v>1040</v>
      </c>
      <c r="D215" s="2" t="s">
        <v>1345</v>
      </c>
      <c r="E215" s="2" t="s">
        <v>1346</v>
      </c>
      <c r="F215" s="2" t="s">
        <v>1025</v>
      </c>
      <c r="G215" s="7" t="s">
        <v>880</v>
      </c>
      <c r="H215" s="10" t="s">
        <v>898</v>
      </c>
      <c r="I215" s="10" t="s">
        <v>899</v>
      </c>
      <c r="J215" t="s">
        <v>876</v>
      </c>
      <c r="K215" s="17" t="s">
        <v>1353</v>
      </c>
      <c r="L215" t="s">
        <v>1347</v>
      </c>
      <c r="M215" s="151" t="s">
        <v>875</v>
      </c>
      <c r="N215" s="2" t="s">
        <v>1303</v>
      </c>
    </row>
    <row r="216" spans="1:14" hidden="1">
      <c r="A216">
        <v>322</v>
      </c>
      <c r="C216" t="s">
        <v>1373</v>
      </c>
      <c r="D216" s="26" t="s">
        <v>1345</v>
      </c>
      <c r="E216" s="26" t="s">
        <v>1346</v>
      </c>
      <c r="F216" s="2" t="s">
        <v>1025</v>
      </c>
      <c r="G216" s="8" t="s">
        <v>872</v>
      </c>
      <c r="H216" s="10" t="s">
        <v>898</v>
      </c>
      <c r="I216" s="10" t="s">
        <v>899</v>
      </c>
      <c r="J216" t="s">
        <v>876</v>
      </c>
      <c r="K216" s="17" t="s">
        <v>1353</v>
      </c>
      <c r="L216" t="s">
        <v>1344</v>
      </c>
      <c r="M216" s="151" t="s">
        <v>875</v>
      </c>
      <c r="N216" s="2" t="s">
        <v>1303</v>
      </c>
    </row>
    <row r="217" spans="1:14" hidden="1">
      <c r="A217">
        <v>323</v>
      </c>
      <c r="C217" t="s">
        <v>1374</v>
      </c>
      <c r="D217" s="26" t="s">
        <v>1345</v>
      </c>
      <c r="E217" s="26" t="s">
        <v>1346</v>
      </c>
      <c r="F217" s="2" t="s">
        <v>1025</v>
      </c>
      <c r="G217" s="8" t="s">
        <v>872</v>
      </c>
      <c r="H217" s="10" t="s">
        <v>898</v>
      </c>
      <c r="I217" s="10" t="s">
        <v>899</v>
      </c>
      <c r="J217" t="s">
        <v>876</v>
      </c>
      <c r="K217" s="17" t="s">
        <v>1353</v>
      </c>
      <c r="L217" t="s">
        <v>1344</v>
      </c>
      <c r="M217" s="151" t="s">
        <v>875</v>
      </c>
      <c r="N217" s="2" t="s">
        <v>1303</v>
      </c>
    </row>
    <row r="218" spans="1:14" hidden="1">
      <c r="A218">
        <v>324</v>
      </c>
      <c r="C218" t="s">
        <v>1375</v>
      </c>
      <c r="D218" s="26" t="s">
        <v>1345</v>
      </c>
      <c r="E218" s="26" t="s">
        <v>1346</v>
      </c>
      <c r="F218" s="2" t="s">
        <v>1025</v>
      </c>
      <c r="G218" s="8" t="s">
        <v>872</v>
      </c>
      <c r="H218" s="10" t="s">
        <v>898</v>
      </c>
      <c r="I218" s="10" t="s">
        <v>899</v>
      </c>
      <c r="J218" t="s">
        <v>876</v>
      </c>
      <c r="K218" s="17" t="s">
        <v>1353</v>
      </c>
      <c r="L218" t="s">
        <v>1344</v>
      </c>
      <c r="M218" s="151" t="s">
        <v>875</v>
      </c>
      <c r="N218" s="2" t="s">
        <v>1303</v>
      </c>
    </row>
    <row r="219" spans="1:14" hidden="1">
      <c r="A219">
        <v>173</v>
      </c>
      <c r="C219" t="s">
        <v>1049</v>
      </c>
      <c r="D219" s="2" t="s">
        <v>1345</v>
      </c>
      <c r="E219" s="2" t="s">
        <v>1350</v>
      </c>
      <c r="F219" s="2" t="s">
        <v>1025</v>
      </c>
      <c r="G219" s="7" t="s">
        <v>880</v>
      </c>
      <c r="H219" s="10" t="s">
        <v>895</v>
      </c>
      <c r="I219" s="10" t="s">
        <v>1028</v>
      </c>
      <c r="J219" t="s">
        <v>876</v>
      </c>
      <c r="K219" t="s">
        <v>1353</v>
      </c>
      <c r="L219" t="s">
        <v>1342</v>
      </c>
      <c r="M219" s="151" t="s">
        <v>875</v>
      </c>
      <c r="N219" s="2" t="s">
        <v>1331</v>
      </c>
    </row>
    <row r="220" spans="1:14" hidden="1">
      <c r="A220">
        <v>194</v>
      </c>
      <c r="C220" t="s">
        <v>1083</v>
      </c>
      <c r="D220" s="2" t="s">
        <v>1345</v>
      </c>
      <c r="E220" s="2" t="s">
        <v>1350</v>
      </c>
      <c r="F220" s="2" t="s">
        <v>1025</v>
      </c>
      <c r="G220" s="7" t="s">
        <v>880</v>
      </c>
      <c r="H220" s="10" t="s">
        <v>895</v>
      </c>
      <c r="I220" s="10" t="s">
        <v>1028</v>
      </c>
      <c r="J220" t="s">
        <v>876</v>
      </c>
      <c r="K220" t="s">
        <v>1353</v>
      </c>
      <c r="L220" t="s">
        <v>1342</v>
      </c>
      <c r="M220" s="151" t="s">
        <v>875</v>
      </c>
      <c r="N220" s="2" t="s">
        <v>1331</v>
      </c>
    </row>
    <row r="221" spans="1:14" hidden="1">
      <c r="A221">
        <v>207</v>
      </c>
      <c r="C221" t="s">
        <v>1104</v>
      </c>
      <c r="D221" s="2" t="s">
        <v>1345</v>
      </c>
      <c r="E221" s="2" t="s">
        <v>1350</v>
      </c>
      <c r="F221" s="2" t="s">
        <v>1025</v>
      </c>
      <c r="G221" s="7" t="s">
        <v>880</v>
      </c>
      <c r="H221" s="10" t="s">
        <v>895</v>
      </c>
      <c r="I221" s="10" t="s">
        <v>1028</v>
      </c>
      <c r="J221" t="s">
        <v>876</v>
      </c>
      <c r="K221" t="s">
        <v>1353</v>
      </c>
      <c r="L221" t="s">
        <v>1342</v>
      </c>
      <c r="M221" s="151" t="s">
        <v>875</v>
      </c>
      <c r="N221" s="2" t="s">
        <v>1331</v>
      </c>
    </row>
    <row r="222" spans="1:14" hidden="1">
      <c r="A222">
        <v>208</v>
      </c>
      <c r="C222" t="s">
        <v>1104</v>
      </c>
      <c r="D222" s="2" t="s">
        <v>1345</v>
      </c>
      <c r="E222" s="2" t="s">
        <v>1350</v>
      </c>
      <c r="F222" s="2" t="s">
        <v>1025</v>
      </c>
      <c r="G222" s="7" t="s">
        <v>880</v>
      </c>
      <c r="H222" s="10" t="s">
        <v>895</v>
      </c>
      <c r="I222" s="10" t="s">
        <v>1028</v>
      </c>
      <c r="J222" t="s">
        <v>876</v>
      </c>
      <c r="K222" t="s">
        <v>1353</v>
      </c>
      <c r="L222" t="s">
        <v>1342</v>
      </c>
      <c r="M222" s="151" t="s">
        <v>875</v>
      </c>
      <c r="N222" s="2" t="s">
        <v>1331</v>
      </c>
    </row>
    <row r="223" spans="1:14" hidden="1">
      <c r="A223">
        <v>15</v>
      </c>
      <c r="B223" s="47">
        <v>45706</v>
      </c>
      <c r="C223" t="s">
        <v>225</v>
      </c>
      <c r="D223" s="2">
        <v>28</v>
      </c>
      <c r="E223" s="2">
        <v>1</v>
      </c>
      <c r="F223" s="2" t="s">
        <v>894</v>
      </c>
      <c r="G223" s="8" t="s">
        <v>872</v>
      </c>
      <c r="H223" s="5" t="s">
        <v>895</v>
      </c>
      <c r="I223" s="10" t="s">
        <v>896</v>
      </c>
      <c r="J223" t="s">
        <v>884</v>
      </c>
      <c r="K223" s="17" t="s">
        <v>1353</v>
      </c>
      <c r="L223" t="s">
        <v>1342</v>
      </c>
      <c r="N223" t="s">
        <v>1324</v>
      </c>
    </row>
    <row r="224" spans="1:14" hidden="1">
      <c r="A224">
        <v>50</v>
      </c>
      <c r="B224" s="47">
        <v>46065</v>
      </c>
      <c r="C224" t="s">
        <v>228</v>
      </c>
      <c r="D224" s="2">
        <v>5</v>
      </c>
      <c r="E224" s="2">
        <v>1</v>
      </c>
      <c r="F224" s="2" t="s">
        <v>871</v>
      </c>
      <c r="G224" s="7" t="s">
        <v>880</v>
      </c>
      <c r="H224" s="5" t="s">
        <v>895</v>
      </c>
      <c r="I224" s="10" t="s">
        <v>913</v>
      </c>
      <c r="J224" t="s">
        <v>884</v>
      </c>
      <c r="K224" t="s">
        <v>1341</v>
      </c>
      <c r="L224" t="s">
        <v>1342</v>
      </c>
      <c r="N224" t="s">
        <v>1328</v>
      </c>
    </row>
    <row r="225" spans="1:14" hidden="1">
      <c r="A225">
        <v>63</v>
      </c>
      <c r="B225" s="47">
        <v>46024</v>
      </c>
      <c r="C225" t="s">
        <v>209</v>
      </c>
      <c r="D225" s="2">
        <v>4</v>
      </c>
      <c r="E225" s="2">
        <v>1</v>
      </c>
      <c r="F225" s="2" t="s">
        <v>894</v>
      </c>
      <c r="G225" s="7" t="s">
        <v>880</v>
      </c>
      <c r="H225" s="5" t="s">
        <v>895</v>
      </c>
      <c r="I225" s="10" t="s">
        <v>917</v>
      </c>
      <c r="J225" t="s">
        <v>876</v>
      </c>
      <c r="K225" t="s">
        <v>1353</v>
      </c>
      <c r="L225" t="s">
        <v>1342</v>
      </c>
      <c r="N225" t="s">
        <v>1329</v>
      </c>
    </row>
    <row r="226" spans="1:14" hidden="1">
      <c r="A226">
        <v>90</v>
      </c>
      <c r="B226" s="47">
        <v>46056</v>
      </c>
      <c r="C226" t="s">
        <v>210</v>
      </c>
      <c r="D226" s="2">
        <v>2</v>
      </c>
      <c r="E226" s="2">
        <v>1</v>
      </c>
      <c r="F226" s="2" t="s">
        <v>894</v>
      </c>
      <c r="G226" s="7" t="s">
        <v>880</v>
      </c>
      <c r="H226" s="5" t="s">
        <v>895</v>
      </c>
      <c r="I226" s="10" t="s">
        <v>917</v>
      </c>
      <c r="J226" t="s">
        <v>876</v>
      </c>
      <c r="K226" t="s">
        <v>1353</v>
      </c>
      <c r="L226" t="s">
        <v>1342</v>
      </c>
      <c r="N226" t="s">
        <v>1329</v>
      </c>
    </row>
    <row r="227" spans="1:14" hidden="1">
      <c r="A227">
        <v>91</v>
      </c>
      <c r="B227" s="47">
        <v>46072</v>
      </c>
      <c r="C227" t="s">
        <v>207</v>
      </c>
      <c r="D227" s="2">
        <v>2</v>
      </c>
      <c r="E227" s="2">
        <v>1</v>
      </c>
      <c r="F227" s="2" t="s">
        <v>894</v>
      </c>
      <c r="G227" s="8" t="s">
        <v>872</v>
      </c>
      <c r="H227" s="5" t="s">
        <v>895</v>
      </c>
      <c r="I227" s="10" t="s">
        <v>925</v>
      </c>
      <c r="J227" t="s">
        <v>876</v>
      </c>
      <c r="K227" t="s">
        <v>1353</v>
      </c>
      <c r="L227" t="s">
        <v>1342</v>
      </c>
      <c r="N227" t="s">
        <v>1329</v>
      </c>
    </row>
    <row r="228" spans="1:14" hidden="1">
      <c r="A228">
        <v>120</v>
      </c>
      <c r="B228" s="47">
        <v>46055</v>
      </c>
      <c r="C228" t="s">
        <v>211</v>
      </c>
      <c r="D228" s="2">
        <v>1</v>
      </c>
      <c r="E228" s="2">
        <v>1</v>
      </c>
      <c r="F228" s="2" t="s">
        <v>894</v>
      </c>
      <c r="G228" s="7" t="s">
        <v>880</v>
      </c>
      <c r="H228" s="5" t="s">
        <v>895</v>
      </c>
      <c r="I228" s="10" t="s">
        <v>917</v>
      </c>
      <c r="J228" t="s">
        <v>876</v>
      </c>
      <c r="K228" t="s">
        <v>1353</v>
      </c>
      <c r="L228" t="s">
        <v>1342</v>
      </c>
      <c r="N228" t="s">
        <v>1329</v>
      </c>
    </row>
    <row r="229" spans="1:14" hidden="1">
      <c r="A229">
        <v>226</v>
      </c>
      <c r="C229" t="s">
        <v>1133</v>
      </c>
      <c r="D229" s="2" t="s">
        <v>1345</v>
      </c>
      <c r="E229" s="2" t="s">
        <v>1346</v>
      </c>
      <c r="F229" s="2" t="s">
        <v>1135</v>
      </c>
      <c r="G229" s="8" t="s">
        <v>872</v>
      </c>
      <c r="H229" s="10" t="s">
        <v>895</v>
      </c>
      <c r="I229" s="10" t="s">
        <v>1136</v>
      </c>
      <c r="J229" t="s">
        <v>876</v>
      </c>
      <c r="K229" t="s">
        <v>1353</v>
      </c>
      <c r="L229" t="s">
        <v>1342</v>
      </c>
      <c r="N229" t="s">
        <v>1332</v>
      </c>
    </row>
    <row r="230" spans="1:14" hidden="1">
      <c r="A230">
        <v>233</v>
      </c>
      <c r="C230" t="s">
        <v>1154</v>
      </c>
      <c r="D230" s="2" t="s">
        <v>1345</v>
      </c>
      <c r="E230" s="2" t="s">
        <v>1346</v>
      </c>
      <c r="F230" s="2" t="s">
        <v>1135</v>
      </c>
      <c r="G230" s="8" t="s">
        <v>872</v>
      </c>
      <c r="H230" s="10" t="s">
        <v>895</v>
      </c>
      <c r="I230" s="10" t="s">
        <v>1155</v>
      </c>
      <c r="J230" t="s">
        <v>876</v>
      </c>
      <c r="K230" t="s">
        <v>1353</v>
      </c>
      <c r="L230" t="s">
        <v>1342</v>
      </c>
      <c r="N230" t="s">
        <v>993</v>
      </c>
    </row>
    <row r="231" spans="1:14" hidden="1">
      <c r="A231">
        <v>111</v>
      </c>
      <c r="B231" s="47">
        <v>46073</v>
      </c>
      <c r="C231" t="s">
        <v>62</v>
      </c>
      <c r="D231" s="2">
        <v>2</v>
      </c>
      <c r="E231" s="2">
        <v>2</v>
      </c>
      <c r="F231" s="2" t="s">
        <v>894</v>
      </c>
      <c r="G231" s="7" t="s">
        <v>880</v>
      </c>
      <c r="H231" s="5" t="s">
        <v>895</v>
      </c>
      <c r="I231" s="10" t="s">
        <v>927</v>
      </c>
      <c r="J231" t="s">
        <v>884</v>
      </c>
      <c r="K231" t="s">
        <v>1353</v>
      </c>
      <c r="L231" t="s">
        <v>1342</v>
      </c>
      <c r="M231" s="151" t="s">
        <v>875</v>
      </c>
      <c r="N231" s="2" t="s">
        <v>1330</v>
      </c>
    </row>
    <row r="232" spans="1:14" hidden="1">
      <c r="A232">
        <v>159</v>
      </c>
      <c r="C232" t="s">
        <v>1026</v>
      </c>
      <c r="D232" s="2" t="s">
        <v>1345</v>
      </c>
      <c r="E232" s="2" t="s">
        <v>1350</v>
      </c>
      <c r="F232" s="2" t="s">
        <v>1025</v>
      </c>
      <c r="G232" s="7" t="s">
        <v>880</v>
      </c>
      <c r="H232" s="10" t="s">
        <v>895</v>
      </c>
      <c r="I232" s="10" t="s">
        <v>1028</v>
      </c>
      <c r="J232" t="s">
        <v>876</v>
      </c>
      <c r="K232" t="s">
        <v>1353</v>
      </c>
      <c r="L232" t="s">
        <v>1342</v>
      </c>
      <c r="M232" s="151" t="s">
        <v>875</v>
      </c>
      <c r="N232" s="2" t="s">
        <v>1330</v>
      </c>
    </row>
    <row r="233" spans="1:14" hidden="1">
      <c r="A233">
        <v>230</v>
      </c>
      <c r="C233" t="s">
        <v>1146</v>
      </c>
      <c r="D233" s="2" t="s">
        <v>1345</v>
      </c>
      <c r="E233" s="2" t="s">
        <v>1346</v>
      </c>
      <c r="F233" s="2" t="s">
        <v>1135</v>
      </c>
      <c r="G233" s="8" t="s">
        <v>872</v>
      </c>
      <c r="H233" s="10" t="s">
        <v>895</v>
      </c>
      <c r="I233" s="10" t="s">
        <v>1147</v>
      </c>
      <c r="J233" t="s">
        <v>876</v>
      </c>
      <c r="K233" t="s">
        <v>1353</v>
      </c>
      <c r="L233" t="s">
        <v>1342</v>
      </c>
      <c r="M233" s="151" t="s">
        <v>875</v>
      </c>
      <c r="N233" s="2" t="s">
        <v>1330</v>
      </c>
    </row>
    <row r="234" spans="1:14" hidden="1">
      <c r="A234">
        <v>304</v>
      </c>
      <c r="C234" t="s">
        <v>62</v>
      </c>
      <c r="D234" s="2" t="s">
        <v>1345</v>
      </c>
      <c r="E234" s="2" t="s">
        <v>1346</v>
      </c>
      <c r="F234" s="2" t="s">
        <v>894</v>
      </c>
      <c r="G234" s="7" t="s">
        <v>880</v>
      </c>
      <c r="H234" s="5" t="s">
        <v>895</v>
      </c>
      <c r="I234" s="10" t="s">
        <v>927</v>
      </c>
      <c r="J234" t="s">
        <v>884</v>
      </c>
      <c r="K234" t="s">
        <v>1353</v>
      </c>
      <c r="L234" t="s">
        <v>1342</v>
      </c>
      <c r="M234" s="151" t="s">
        <v>875</v>
      </c>
      <c r="N234" s="2" t="s">
        <v>1330</v>
      </c>
    </row>
    <row r="235" spans="1:14" hidden="1">
      <c r="A235">
        <v>54</v>
      </c>
      <c r="B235" s="48">
        <v>46003</v>
      </c>
      <c r="C235" t="s">
        <v>192</v>
      </c>
      <c r="D235" s="2">
        <v>5</v>
      </c>
      <c r="E235" s="2">
        <v>1</v>
      </c>
      <c r="F235" s="2" t="s">
        <v>916</v>
      </c>
      <c r="G235" s="8" t="s">
        <v>872</v>
      </c>
      <c r="H235" s="5" t="s">
        <v>895</v>
      </c>
      <c r="I235" s="49" t="s">
        <v>1333</v>
      </c>
      <c r="J235" t="s">
        <v>884</v>
      </c>
      <c r="K235" t="s">
        <v>1355</v>
      </c>
      <c r="L235" t="s">
        <v>1344</v>
      </c>
      <c r="M235" s="151" t="s">
        <v>875</v>
      </c>
      <c r="N235" s="2" t="s">
        <v>1308</v>
      </c>
    </row>
    <row r="236" spans="1:14" hidden="1">
      <c r="A236">
        <v>239</v>
      </c>
      <c r="C236" t="s">
        <v>1169</v>
      </c>
      <c r="D236" s="26" t="s">
        <v>1345</v>
      </c>
      <c r="E236" s="26" t="s">
        <v>1346</v>
      </c>
      <c r="F236" s="2" t="s">
        <v>1135</v>
      </c>
      <c r="G236" s="8" t="s">
        <v>872</v>
      </c>
      <c r="H236" s="10" t="s">
        <v>895</v>
      </c>
      <c r="I236" s="49" t="s">
        <v>1333</v>
      </c>
      <c r="J236" t="s">
        <v>876</v>
      </c>
      <c r="K236" t="s">
        <v>1355</v>
      </c>
      <c r="L236" t="s">
        <v>1344</v>
      </c>
      <c r="M236" s="151" t="s">
        <v>875</v>
      </c>
      <c r="N236" s="2" t="s">
        <v>1308</v>
      </c>
    </row>
    <row r="237" spans="1:14" hidden="1">
      <c r="A237">
        <v>292</v>
      </c>
      <c r="C237" t="s">
        <v>1284</v>
      </c>
      <c r="D237" s="26" t="s">
        <v>1345</v>
      </c>
      <c r="E237" s="26" t="s">
        <v>1346</v>
      </c>
      <c r="F237" s="2" t="s">
        <v>1013</v>
      </c>
      <c r="G237" s="8" t="s">
        <v>872</v>
      </c>
      <c r="H237" s="10" t="s">
        <v>895</v>
      </c>
      <c r="I237" s="49" t="s">
        <v>1333</v>
      </c>
      <c r="J237" t="s">
        <v>915</v>
      </c>
      <c r="K237" t="s">
        <v>1355</v>
      </c>
      <c r="L237" t="s">
        <v>1344</v>
      </c>
      <c r="M237" s="151" t="s">
        <v>875</v>
      </c>
      <c r="N237" s="2" t="s">
        <v>1308</v>
      </c>
    </row>
    <row r="238" spans="1:14" hidden="1">
      <c r="A238">
        <v>286</v>
      </c>
      <c r="C238" t="s">
        <v>1268</v>
      </c>
      <c r="D238" s="26" t="s">
        <v>1345</v>
      </c>
      <c r="E238" s="26" t="s">
        <v>1346</v>
      </c>
      <c r="F238" s="2" t="s">
        <v>1011</v>
      </c>
      <c r="G238" s="8" t="s">
        <v>872</v>
      </c>
      <c r="H238" s="10" t="s">
        <v>895</v>
      </c>
      <c r="I238" s="49" t="s">
        <v>1333</v>
      </c>
      <c r="J238" t="s">
        <v>884</v>
      </c>
      <c r="K238" t="s">
        <v>1355</v>
      </c>
      <c r="L238" t="s">
        <v>1342</v>
      </c>
      <c r="M238" s="151" t="s">
        <v>875</v>
      </c>
      <c r="N238" s="2" t="s">
        <v>1308</v>
      </c>
    </row>
    <row r="239" spans="1:14" hidden="1">
      <c r="A239">
        <v>287</v>
      </c>
      <c r="C239" t="s">
        <v>1268</v>
      </c>
      <c r="D239" s="26" t="s">
        <v>1345</v>
      </c>
      <c r="E239" s="26" t="s">
        <v>1346</v>
      </c>
      <c r="F239" s="2" t="s">
        <v>1011</v>
      </c>
      <c r="G239" s="8" t="s">
        <v>872</v>
      </c>
      <c r="H239" s="10" t="s">
        <v>895</v>
      </c>
      <c r="I239" s="49" t="s">
        <v>1333</v>
      </c>
      <c r="J239" t="s">
        <v>884</v>
      </c>
      <c r="K239" t="s">
        <v>1355</v>
      </c>
      <c r="L239" t="s">
        <v>1342</v>
      </c>
      <c r="M239" s="151" t="s">
        <v>875</v>
      </c>
      <c r="N239" s="2" t="s">
        <v>1308</v>
      </c>
    </row>
    <row r="240" spans="1:14" hidden="1">
      <c r="A240">
        <v>288</v>
      </c>
      <c r="C240" t="s">
        <v>1273</v>
      </c>
      <c r="D240" s="26" t="s">
        <v>1345</v>
      </c>
      <c r="E240" s="26" t="s">
        <v>1346</v>
      </c>
      <c r="F240" s="2" t="s">
        <v>1011</v>
      </c>
      <c r="G240" s="8" t="s">
        <v>872</v>
      </c>
      <c r="H240" s="10" t="s">
        <v>895</v>
      </c>
      <c r="I240" s="49" t="s">
        <v>1333</v>
      </c>
      <c r="J240" t="s">
        <v>884</v>
      </c>
      <c r="K240" t="s">
        <v>1355</v>
      </c>
      <c r="L240" t="s">
        <v>1342</v>
      </c>
      <c r="M240" s="151" t="s">
        <v>875</v>
      </c>
      <c r="N240" s="2" t="s">
        <v>1308</v>
      </c>
    </row>
    <row r="241" spans="1:14" hidden="1">
      <c r="A241">
        <v>306</v>
      </c>
      <c r="C241" t="s">
        <v>1376</v>
      </c>
      <c r="D241" s="2" t="s">
        <v>1345</v>
      </c>
      <c r="E241" s="2" t="s">
        <v>1346</v>
      </c>
      <c r="F241" s="2" t="s">
        <v>894</v>
      </c>
      <c r="G241" s="8" t="s">
        <v>872</v>
      </c>
      <c r="H241" s="5" t="s">
        <v>895</v>
      </c>
      <c r="I241" s="49" t="s">
        <v>1333</v>
      </c>
      <c r="J241" t="s">
        <v>884</v>
      </c>
      <c r="K241" t="s">
        <v>1355</v>
      </c>
      <c r="L241" t="s">
        <v>1342</v>
      </c>
      <c r="M241" s="151" t="s">
        <v>875</v>
      </c>
      <c r="N241" s="2" t="s">
        <v>1308</v>
      </c>
    </row>
    <row r="242" spans="1:14" hidden="1">
      <c r="A242" s="6">
        <v>118</v>
      </c>
      <c r="B242" s="50" t="s">
        <v>1351</v>
      </c>
      <c r="C242" s="30" t="s">
        <v>213</v>
      </c>
      <c r="D242" s="6">
        <v>1</v>
      </c>
      <c r="E242" s="6" t="s">
        <v>1351</v>
      </c>
      <c r="F242" s="6" t="s">
        <v>894</v>
      </c>
      <c r="G242" s="18" t="s">
        <v>872</v>
      </c>
      <c r="H242" s="22" t="s">
        <v>898</v>
      </c>
      <c r="I242" s="19" t="s">
        <v>899</v>
      </c>
      <c r="J242" s="6" t="s">
        <v>876</v>
      </c>
      <c r="K242" s="20" t="s">
        <v>1353</v>
      </c>
      <c r="L242" s="6" t="s">
        <v>1351</v>
      </c>
      <c r="M242" s="6" t="s">
        <v>1351</v>
      </c>
      <c r="N242" s="6" t="s">
        <v>1351</v>
      </c>
    </row>
    <row r="243" spans="1:14" hidden="1">
      <c r="A243" s="6">
        <v>121</v>
      </c>
      <c r="B243" s="50" t="s">
        <v>1351</v>
      </c>
      <c r="C243" s="6" t="s">
        <v>206</v>
      </c>
      <c r="D243" s="6">
        <v>1</v>
      </c>
      <c r="E243" s="6" t="s">
        <v>1351</v>
      </c>
      <c r="F243" s="6" t="s">
        <v>894</v>
      </c>
      <c r="G243" s="21" t="s">
        <v>880</v>
      </c>
      <c r="H243" s="22" t="s">
        <v>898</v>
      </c>
      <c r="I243" s="19" t="s">
        <v>899</v>
      </c>
      <c r="J243" s="6" t="s">
        <v>876</v>
      </c>
      <c r="K243" s="20" t="s">
        <v>1353</v>
      </c>
      <c r="L243" s="6" t="s">
        <v>1351</v>
      </c>
      <c r="M243" s="6" t="s">
        <v>1351</v>
      </c>
      <c r="N243" s="6" t="s">
        <v>1351</v>
      </c>
    </row>
    <row r="244" spans="1:14" hidden="1">
      <c r="A244" s="6">
        <v>158</v>
      </c>
      <c r="B244" s="6"/>
      <c r="C244" s="30" t="s">
        <v>1023</v>
      </c>
      <c r="D244" s="6" t="s">
        <v>1345</v>
      </c>
      <c r="E244" s="6" t="s">
        <v>1351</v>
      </c>
      <c r="F244" s="6" t="s">
        <v>1025</v>
      </c>
      <c r="G244" s="21" t="s">
        <v>880</v>
      </c>
      <c r="H244" s="19" t="s">
        <v>898</v>
      </c>
      <c r="I244" s="19" t="s">
        <v>899</v>
      </c>
      <c r="J244" s="6" t="s">
        <v>876</v>
      </c>
      <c r="K244" s="20" t="s">
        <v>1353</v>
      </c>
      <c r="L244" s="6" t="s">
        <v>1351</v>
      </c>
      <c r="M244" s="6" t="s">
        <v>1351</v>
      </c>
      <c r="N244" s="6" t="s">
        <v>1351</v>
      </c>
    </row>
    <row r="245" spans="1:14" hidden="1">
      <c r="A245" s="6">
        <v>259</v>
      </c>
      <c r="B245" s="6"/>
      <c r="C245" s="6" t="s">
        <v>1217</v>
      </c>
      <c r="D245" s="27" t="s">
        <v>1345</v>
      </c>
      <c r="E245" s="27" t="s">
        <v>1351</v>
      </c>
      <c r="F245" s="6" t="s">
        <v>1015</v>
      </c>
      <c r="G245" s="18" t="s">
        <v>872</v>
      </c>
      <c r="H245" s="19" t="s">
        <v>898</v>
      </c>
      <c r="I245" s="19" t="s">
        <v>899</v>
      </c>
      <c r="J245" s="6" t="s">
        <v>876</v>
      </c>
      <c r="K245" s="20" t="s">
        <v>1353</v>
      </c>
      <c r="L245" s="6" t="s">
        <v>1351</v>
      </c>
      <c r="M245" s="6" t="s">
        <v>1351</v>
      </c>
      <c r="N245" s="6" t="s">
        <v>1351</v>
      </c>
    </row>
    <row r="246" spans="1:14" hidden="1">
      <c r="A246" s="6">
        <v>261</v>
      </c>
      <c r="B246" s="6"/>
      <c r="C246" s="6" t="s">
        <v>1222</v>
      </c>
      <c r="D246" s="27" t="s">
        <v>1345</v>
      </c>
      <c r="E246" s="27" t="s">
        <v>1351</v>
      </c>
      <c r="F246" s="6" t="s">
        <v>1015</v>
      </c>
      <c r="G246" s="18" t="s">
        <v>872</v>
      </c>
      <c r="H246" s="19" t="s">
        <v>898</v>
      </c>
      <c r="I246" s="19" t="s">
        <v>899</v>
      </c>
      <c r="J246" s="6" t="s">
        <v>876</v>
      </c>
      <c r="K246" s="20" t="s">
        <v>1353</v>
      </c>
      <c r="L246" s="6" t="s">
        <v>1351</v>
      </c>
      <c r="M246" s="6" t="s">
        <v>1351</v>
      </c>
      <c r="N246" s="6" t="s">
        <v>1351</v>
      </c>
    </row>
    <row r="247" spans="1:14" hidden="1">
      <c r="A247" s="6">
        <v>263</v>
      </c>
      <c r="B247" s="6"/>
      <c r="C247" s="6" t="s">
        <v>212</v>
      </c>
      <c r="D247" s="27" t="s">
        <v>1345</v>
      </c>
      <c r="E247" s="27" t="s">
        <v>1351</v>
      </c>
      <c r="F247" s="6" t="s">
        <v>1015</v>
      </c>
      <c r="G247" s="18" t="s">
        <v>872</v>
      </c>
      <c r="H247" s="19" t="s">
        <v>898</v>
      </c>
      <c r="I247" s="19" t="s">
        <v>899</v>
      </c>
      <c r="J247" s="6" t="s">
        <v>876</v>
      </c>
      <c r="K247" s="20" t="s">
        <v>1353</v>
      </c>
      <c r="L247" s="6" t="s">
        <v>1351</v>
      </c>
      <c r="M247" s="6" t="s">
        <v>1351</v>
      </c>
      <c r="N247" s="6" t="s">
        <v>1351</v>
      </c>
    </row>
    <row r="248" spans="1:14" hidden="1">
      <c r="A248" s="6">
        <v>264</v>
      </c>
      <c r="B248" s="6"/>
      <c r="C248" s="6" t="s">
        <v>1228</v>
      </c>
      <c r="D248" s="27" t="s">
        <v>1345</v>
      </c>
      <c r="E248" s="27" t="s">
        <v>1351</v>
      </c>
      <c r="F248" s="6" t="s">
        <v>1015</v>
      </c>
      <c r="G248" s="18" t="s">
        <v>872</v>
      </c>
      <c r="H248" s="19" t="s">
        <v>898</v>
      </c>
      <c r="I248" s="19" t="s">
        <v>899</v>
      </c>
      <c r="J248" s="6" t="s">
        <v>876</v>
      </c>
      <c r="K248" s="20" t="s">
        <v>1353</v>
      </c>
      <c r="L248" s="6" t="s">
        <v>1351</v>
      </c>
      <c r="M248" s="6" t="s">
        <v>1351</v>
      </c>
      <c r="N248" s="6" t="s">
        <v>1351</v>
      </c>
    </row>
    <row r="249" spans="1:14" hidden="1">
      <c r="A249" s="6">
        <v>269</v>
      </c>
      <c r="B249" s="6"/>
      <c r="C249" s="6" t="s">
        <v>1240</v>
      </c>
      <c r="D249" s="27" t="s">
        <v>1345</v>
      </c>
      <c r="E249" s="27" t="s">
        <v>1351</v>
      </c>
      <c r="F249" s="6" t="s">
        <v>894</v>
      </c>
      <c r="G249" s="18" t="s">
        <v>872</v>
      </c>
      <c r="H249" s="19" t="s">
        <v>898</v>
      </c>
      <c r="I249" s="19" t="s">
        <v>899</v>
      </c>
      <c r="J249" s="6" t="s">
        <v>876</v>
      </c>
      <c r="K249" s="20" t="s">
        <v>1353</v>
      </c>
      <c r="L249" s="6" t="s">
        <v>1351</v>
      </c>
      <c r="M249" s="6" t="s">
        <v>1351</v>
      </c>
      <c r="N249" s="6" t="s">
        <v>1351</v>
      </c>
    </row>
    <row r="250" spans="1:14" hidden="1">
      <c r="A250">
        <v>49</v>
      </c>
      <c r="B250" s="47">
        <v>46072</v>
      </c>
      <c r="C250" t="s">
        <v>32</v>
      </c>
      <c r="D250" s="2">
        <v>6</v>
      </c>
      <c r="E250" s="2">
        <v>2</v>
      </c>
      <c r="F250" s="2" t="s">
        <v>910</v>
      </c>
      <c r="G250" s="8" t="s">
        <v>872</v>
      </c>
      <c r="H250" s="5" t="s">
        <v>911</v>
      </c>
      <c r="I250" s="10" t="s">
        <v>912</v>
      </c>
      <c r="J250" t="s">
        <v>884</v>
      </c>
      <c r="K250" t="s">
        <v>1343</v>
      </c>
      <c r="L250" t="s">
        <v>1344</v>
      </c>
      <c r="M250" s="151" t="s">
        <v>875</v>
      </c>
      <c r="N250" s="2" t="s">
        <v>1306</v>
      </c>
    </row>
    <row r="251" spans="1:14" hidden="1">
      <c r="A251">
        <v>156</v>
      </c>
      <c r="B251" s="48">
        <v>45869</v>
      </c>
      <c r="C251" t="s">
        <v>29</v>
      </c>
      <c r="D251" s="2">
        <v>1</v>
      </c>
      <c r="E251" s="2">
        <v>1</v>
      </c>
      <c r="F251" s="2" t="s">
        <v>910</v>
      </c>
      <c r="G251" s="8" t="s">
        <v>872</v>
      </c>
      <c r="H251" s="5" t="s">
        <v>911</v>
      </c>
      <c r="I251" s="10" t="s">
        <v>912</v>
      </c>
      <c r="J251" t="s">
        <v>884</v>
      </c>
      <c r="K251" t="s">
        <v>1343</v>
      </c>
      <c r="L251" t="s">
        <v>1344</v>
      </c>
      <c r="M251" s="151" t="s">
        <v>875</v>
      </c>
      <c r="N251" s="2" t="s">
        <v>1306</v>
      </c>
    </row>
    <row r="252" spans="1:14" hidden="1">
      <c r="A252">
        <v>157</v>
      </c>
      <c r="B252" s="48">
        <v>45869</v>
      </c>
      <c r="C252" t="s">
        <v>28</v>
      </c>
      <c r="D252" s="2">
        <v>1</v>
      </c>
      <c r="E252" s="2">
        <v>1</v>
      </c>
      <c r="F252" s="2" t="s">
        <v>910</v>
      </c>
      <c r="G252" s="8" t="s">
        <v>872</v>
      </c>
      <c r="H252" s="5" t="s">
        <v>911</v>
      </c>
      <c r="I252" s="10" t="s">
        <v>912</v>
      </c>
      <c r="J252" t="s">
        <v>884</v>
      </c>
      <c r="K252" t="s">
        <v>1343</v>
      </c>
      <c r="L252" t="s">
        <v>1344</v>
      </c>
      <c r="M252" s="151" t="s">
        <v>875</v>
      </c>
      <c r="N252" s="2" t="s">
        <v>1306</v>
      </c>
    </row>
    <row r="253" spans="1:14" hidden="1">
      <c r="A253">
        <v>74</v>
      </c>
      <c r="B253" s="47">
        <v>45674</v>
      </c>
      <c r="C253" t="s">
        <v>41</v>
      </c>
      <c r="D253" s="2">
        <v>4</v>
      </c>
      <c r="E253" s="2">
        <v>1</v>
      </c>
      <c r="F253" s="2" t="s">
        <v>910</v>
      </c>
      <c r="G253" s="8" t="s">
        <v>872</v>
      </c>
      <c r="H253" s="5" t="s">
        <v>918</v>
      </c>
      <c r="I253" s="10" t="s">
        <v>919</v>
      </c>
      <c r="J253" t="s">
        <v>915</v>
      </c>
      <c r="K253" t="s">
        <v>1343</v>
      </c>
      <c r="L253" t="s">
        <v>1344</v>
      </c>
      <c r="N253" t="s">
        <v>1309</v>
      </c>
    </row>
    <row r="254" spans="1:14" hidden="1">
      <c r="A254">
        <v>142</v>
      </c>
      <c r="B254" s="47">
        <v>46072</v>
      </c>
      <c r="C254" t="s">
        <v>74</v>
      </c>
      <c r="D254" s="2">
        <v>1</v>
      </c>
      <c r="E254" s="2">
        <v>1</v>
      </c>
      <c r="F254" s="2" t="s">
        <v>871</v>
      </c>
      <c r="G254" s="8" t="s">
        <v>872</v>
      </c>
      <c r="H254" s="5" t="s">
        <v>918</v>
      </c>
      <c r="I254" s="10" t="s">
        <v>919</v>
      </c>
      <c r="J254" t="s">
        <v>915</v>
      </c>
      <c r="K254" t="s">
        <v>1343</v>
      </c>
      <c r="L254" t="s">
        <v>1344</v>
      </c>
      <c r="N254" t="s">
        <v>1309</v>
      </c>
    </row>
    <row r="255" spans="1:14" hidden="1">
      <c r="A255">
        <v>155</v>
      </c>
      <c r="B255" s="47">
        <v>46071</v>
      </c>
      <c r="C255" t="s">
        <v>30</v>
      </c>
      <c r="D255" s="2">
        <v>1</v>
      </c>
      <c r="E255" s="2">
        <v>1</v>
      </c>
      <c r="F255" s="2" t="s">
        <v>910</v>
      </c>
      <c r="G255" s="8" t="s">
        <v>872</v>
      </c>
      <c r="H255" s="5" t="s">
        <v>918</v>
      </c>
      <c r="I255" s="10" t="s">
        <v>919</v>
      </c>
      <c r="J255" t="s">
        <v>915</v>
      </c>
      <c r="K255" t="s">
        <v>1343</v>
      </c>
      <c r="L255" t="s">
        <v>1344</v>
      </c>
      <c r="N255" t="s">
        <v>1309</v>
      </c>
    </row>
    <row r="256" spans="1:14" hidden="1">
      <c r="A256">
        <v>84</v>
      </c>
      <c r="B256" s="47">
        <v>46048</v>
      </c>
      <c r="C256" t="s">
        <v>72</v>
      </c>
      <c r="D256" s="2">
        <v>3</v>
      </c>
      <c r="E256" s="2">
        <v>1</v>
      </c>
      <c r="F256" s="2" t="s">
        <v>871</v>
      </c>
      <c r="G256" s="8" t="s">
        <v>872</v>
      </c>
      <c r="H256" s="5" t="s">
        <v>920</v>
      </c>
      <c r="I256" s="10" t="s">
        <v>921</v>
      </c>
      <c r="J256" t="s">
        <v>922</v>
      </c>
      <c r="K256" t="s">
        <v>1354</v>
      </c>
      <c r="L256" t="s">
        <v>1344</v>
      </c>
      <c r="N256" t="s">
        <v>1310</v>
      </c>
    </row>
    <row r="257" spans="1:14" hidden="1">
      <c r="A257">
        <v>3</v>
      </c>
      <c r="B257" s="47">
        <v>46072</v>
      </c>
      <c r="C257" s="29" t="s">
        <v>100</v>
      </c>
      <c r="D257" s="2">
        <v>131</v>
      </c>
      <c r="E257" s="2">
        <v>15</v>
      </c>
      <c r="F257" s="2" t="s">
        <v>871</v>
      </c>
      <c r="G257" s="8" t="s">
        <v>872</v>
      </c>
      <c r="H257" s="5" t="s">
        <v>878</v>
      </c>
      <c r="I257" s="10" t="s">
        <v>879</v>
      </c>
      <c r="J257" t="s">
        <v>876</v>
      </c>
      <c r="K257" t="s">
        <v>1341</v>
      </c>
      <c r="L257" t="s">
        <v>1344</v>
      </c>
      <c r="N257" t="s">
        <v>1300</v>
      </c>
    </row>
    <row r="258" spans="1:14" hidden="1">
      <c r="A258">
        <v>6</v>
      </c>
      <c r="B258" s="47">
        <v>46071</v>
      </c>
      <c r="C258" t="s">
        <v>164</v>
      </c>
      <c r="D258" s="2">
        <v>71</v>
      </c>
      <c r="E258" s="2">
        <v>3</v>
      </c>
      <c r="F258" s="2" t="s">
        <v>871</v>
      </c>
      <c r="G258" s="8" t="s">
        <v>872</v>
      </c>
      <c r="H258" s="5" t="s">
        <v>878</v>
      </c>
      <c r="I258" s="10" t="s">
        <v>879</v>
      </c>
      <c r="J258" t="s">
        <v>876</v>
      </c>
      <c r="K258" t="s">
        <v>1341</v>
      </c>
      <c r="L258" t="s">
        <v>1344</v>
      </c>
      <c r="N258" t="s">
        <v>1300</v>
      </c>
    </row>
    <row r="259" spans="1:14" hidden="1">
      <c r="A259">
        <v>7</v>
      </c>
      <c r="B259" s="47">
        <v>46071</v>
      </c>
      <c r="C259" t="s">
        <v>138</v>
      </c>
      <c r="D259" s="2">
        <v>55</v>
      </c>
      <c r="E259" s="2">
        <v>8</v>
      </c>
      <c r="F259" s="2" t="s">
        <v>871</v>
      </c>
      <c r="G259" s="8" t="s">
        <v>872</v>
      </c>
      <c r="H259" s="5" t="s">
        <v>878</v>
      </c>
      <c r="I259" s="10" t="s">
        <v>879</v>
      </c>
      <c r="J259" t="s">
        <v>876</v>
      </c>
      <c r="K259" t="s">
        <v>1341</v>
      </c>
      <c r="L259" t="s">
        <v>1344</v>
      </c>
      <c r="N259" t="s">
        <v>1300</v>
      </c>
    </row>
    <row r="260" spans="1:14" hidden="1">
      <c r="A260">
        <v>9</v>
      </c>
      <c r="B260" s="47">
        <v>46071</v>
      </c>
      <c r="C260" t="s">
        <v>171</v>
      </c>
      <c r="D260" s="2">
        <v>48</v>
      </c>
      <c r="E260" s="2">
        <v>11</v>
      </c>
      <c r="F260" s="2" t="s">
        <v>871</v>
      </c>
      <c r="G260" s="8" t="s">
        <v>872</v>
      </c>
      <c r="H260" s="5" t="s">
        <v>878</v>
      </c>
      <c r="I260" s="10" t="s">
        <v>879</v>
      </c>
      <c r="J260" t="s">
        <v>876</v>
      </c>
      <c r="K260" t="s">
        <v>1341</v>
      </c>
      <c r="L260" t="s">
        <v>1344</v>
      </c>
      <c r="N260" t="s">
        <v>1300</v>
      </c>
    </row>
    <row r="261" spans="1:14" hidden="1">
      <c r="A261">
        <v>13</v>
      </c>
      <c r="B261" s="47">
        <v>46071</v>
      </c>
      <c r="C261" t="s">
        <v>139</v>
      </c>
      <c r="D261" s="2">
        <v>40</v>
      </c>
      <c r="E261" s="2">
        <v>4</v>
      </c>
      <c r="F261" s="2" t="s">
        <v>871</v>
      </c>
      <c r="G261" s="8" t="s">
        <v>872</v>
      </c>
      <c r="H261" s="5" t="s">
        <v>878</v>
      </c>
      <c r="I261" s="10" t="s">
        <v>879</v>
      </c>
      <c r="J261" t="s">
        <v>876</v>
      </c>
      <c r="K261" t="s">
        <v>1341</v>
      </c>
      <c r="L261" t="s">
        <v>1344</v>
      </c>
      <c r="N261" t="s">
        <v>1300</v>
      </c>
    </row>
    <row r="262" spans="1:14" hidden="1">
      <c r="A262">
        <v>19</v>
      </c>
      <c r="B262" s="46">
        <v>46072</v>
      </c>
      <c r="C262" s="29" t="s">
        <v>107</v>
      </c>
      <c r="D262" s="2">
        <v>24</v>
      </c>
      <c r="E262" s="2">
        <v>4</v>
      </c>
      <c r="F262" s="2" t="s">
        <v>871</v>
      </c>
      <c r="G262" s="8" t="s">
        <v>872</v>
      </c>
      <c r="H262" s="5" t="s">
        <v>878</v>
      </c>
      <c r="I262" s="10" t="s">
        <v>879</v>
      </c>
      <c r="J262" t="s">
        <v>876</v>
      </c>
      <c r="K262" t="s">
        <v>1341</v>
      </c>
      <c r="L262" t="s">
        <v>1344</v>
      </c>
      <c r="N262" t="s">
        <v>1300</v>
      </c>
    </row>
    <row r="263" spans="1:14" hidden="1">
      <c r="A263">
        <v>21</v>
      </c>
      <c r="B263" s="47">
        <v>46068</v>
      </c>
      <c r="C263" t="s">
        <v>118</v>
      </c>
      <c r="D263" s="2">
        <v>20</v>
      </c>
      <c r="E263" s="2">
        <v>7</v>
      </c>
      <c r="F263" s="2" t="s">
        <v>871</v>
      </c>
      <c r="G263" s="8" t="s">
        <v>872</v>
      </c>
      <c r="H263" s="5" t="s">
        <v>878</v>
      </c>
      <c r="I263" s="10" t="s">
        <v>879</v>
      </c>
      <c r="J263" t="s">
        <v>876</v>
      </c>
      <c r="K263" t="s">
        <v>1341</v>
      </c>
      <c r="L263" t="s">
        <v>1344</v>
      </c>
      <c r="N263" t="s">
        <v>1300</v>
      </c>
    </row>
    <row r="264" spans="1:14" hidden="1">
      <c r="A264">
        <v>23</v>
      </c>
      <c r="B264" s="47">
        <v>46072</v>
      </c>
      <c r="C264" s="29" t="s">
        <v>93</v>
      </c>
      <c r="D264" s="2">
        <v>14</v>
      </c>
      <c r="E264" s="2">
        <v>6</v>
      </c>
      <c r="F264" s="2" t="s">
        <v>871</v>
      </c>
      <c r="G264" s="8" t="s">
        <v>872</v>
      </c>
      <c r="H264" s="5" t="s">
        <v>878</v>
      </c>
      <c r="I264" s="10" t="s">
        <v>879</v>
      </c>
      <c r="J264" t="s">
        <v>876</v>
      </c>
      <c r="K264" t="s">
        <v>1341</v>
      </c>
      <c r="L264" t="s">
        <v>1344</v>
      </c>
      <c r="N264" t="s">
        <v>1300</v>
      </c>
    </row>
    <row r="265" spans="1:14" hidden="1">
      <c r="A265">
        <v>24</v>
      </c>
      <c r="B265" s="47">
        <v>46069</v>
      </c>
      <c r="C265" s="29" t="s">
        <v>111</v>
      </c>
      <c r="D265" s="2">
        <v>13</v>
      </c>
      <c r="E265" s="2">
        <v>3</v>
      </c>
      <c r="F265" s="2" t="s">
        <v>871</v>
      </c>
      <c r="G265" s="8" t="s">
        <v>872</v>
      </c>
      <c r="H265" s="5" t="s">
        <v>878</v>
      </c>
      <c r="I265" s="10" t="s">
        <v>879</v>
      </c>
      <c r="J265" t="s">
        <v>876</v>
      </c>
      <c r="K265" t="s">
        <v>1341</v>
      </c>
      <c r="L265" t="s">
        <v>1344</v>
      </c>
      <c r="N265" t="s">
        <v>1300</v>
      </c>
    </row>
    <row r="266" spans="1:14" hidden="1">
      <c r="A266">
        <v>25</v>
      </c>
      <c r="B266" s="47">
        <v>46064</v>
      </c>
      <c r="C266" s="29" t="s">
        <v>169</v>
      </c>
      <c r="D266" s="2">
        <v>12</v>
      </c>
      <c r="E266" s="2">
        <v>3</v>
      </c>
      <c r="F266" s="2" t="s">
        <v>871</v>
      </c>
      <c r="G266" s="8" t="s">
        <v>872</v>
      </c>
      <c r="H266" s="5" t="s">
        <v>878</v>
      </c>
      <c r="I266" s="10" t="s">
        <v>879</v>
      </c>
      <c r="J266" t="s">
        <v>876</v>
      </c>
      <c r="K266" t="s">
        <v>1341</v>
      </c>
      <c r="L266" t="s">
        <v>1344</v>
      </c>
      <c r="N266" t="s">
        <v>1300</v>
      </c>
    </row>
    <row r="267" spans="1:14" hidden="1">
      <c r="A267">
        <v>29</v>
      </c>
      <c r="B267" s="47">
        <v>46071</v>
      </c>
      <c r="C267" t="s">
        <v>157</v>
      </c>
      <c r="D267" s="2">
        <v>10</v>
      </c>
      <c r="E267" s="2">
        <v>4</v>
      </c>
      <c r="F267" s="2" t="s">
        <v>871</v>
      </c>
      <c r="G267" s="8" t="s">
        <v>872</v>
      </c>
      <c r="H267" s="5" t="s">
        <v>878</v>
      </c>
      <c r="I267" s="10" t="s">
        <v>879</v>
      </c>
      <c r="J267" t="s">
        <v>876</v>
      </c>
      <c r="K267" t="s">
        <v>1341</v>
      </c>
      <c r="L267" t="s">
        <v>1344</v>
      </c>
      <c r="N267" t="s">
        <v>1300</v>
      </c>
    </row>
    <row r="268" spans="1:14" hidden="1">
      <c r="A268">
        <v>42</v>
      </c>
      <c r="B268" s="47">
        <v>46001</v>
      </c>
      <c r="C268" t="s">
        <v>117</v>
      </c>
      <c r="D268" s="2">
        <v>7</v>
      </c>
      <c r="E268" s="2">
        <v>3</v>
      </c>
      <c r="F268" s="2" t="s">
        <v>871</v>
      </c>
      <c r="G268" s="8" t="s">
        <v>872</v>
      </c>
      <c r="H268" s="5" t="s">
        <v>878</v>
      </c>
      <c r="I268" s="10" t="s">
        <v>879</v>
      </c>
      <c r="J268" t="s">
        <v>876</v>
      </c>
      <c r="K268" t="s">
        <v>1341</v>
      </c>
      <c r="L268" t="s">
        <v>1344</v>
      </c>
      <c r="N268" t="s">
        <v>1300</v>
      </c>
    </row>
    <row r="269" spans="1:14" hidden="1">
      <c r="A269">
        <v>45</v>
      </c>
      <c r="B269" s="47">
        <v>46069</v>
      </c>
      <c r="C269" t="s">
        <v>194</v>
      </c>
      <c r="D269" s="2">
        <v>6</v>
      </c>
      <c r="E269" s="2">
        <v>1</v>
      </c>
      <c r="F269" s="2" t="s">
        <v>871</v>
      </c>
      <c r="G269" s="8" t="s">
        <v>872</v>
      </c>
      <c r="H269" s="5" t="s">
        <v>878</v>
      </c>
      <c r="I269" s="10" t="s">
        <v>879</v>
      </c>
      <c r="J269" t="s">
        <v>876</v>
      </c>
      <c r="K269" t="s">
        <v>1341</v>
      </c>
      <c r="L269" t="s">
        <v>1344</v>
      </c>
      <c r="N269" t="s">
        <v>1300</v>
      </c>
    </row>
    <row r="270" spans="1:14" hidden="1">
      <c r="A270">
        <v>56</v>
      </c>
      <c r="B270" s="47">
        <v>46048</v>
      </c>
      <c r="C270" t="s">
        <v>153</v>
      </c>
      <c r="D270" s="2">
        <v>5</v>
      </c>
      <c r="E270" s="2">
        <v>2</v>
      </c>
      <c r="F270" s="2" t="s">
        <v>871</v>
      </c>
      <c r="G270" s="8" t="s">
        <v>872</v>
      </c>
      <c r="H270" s="5" t="s">
        <v>878</v>
      </c>
      <c r="I270" s="10" t="s">
        <v>879</v>
      </c>
      <c r="J270" t="s">
        <v>876</v>
      </c>
      <c r="K270" t="s">
        <v>1341</v>
      </c>
      <c r="L270" t="s">
        <v>1344</v>
      </c>
      <c r="N270" t="s">
        <v>1300</v>
      </c>
    </row>
    <row r="271" spans="1:14" hidden="1">
      <c r="A271">
        <v>57</v>
      </c>
      <c r="B271" s="47">
        <v>46071</v>
      </c>
      <c r="C271" t="s">
        <v>123</v>
      </c>
      <c r="D271" s="2">
        <v>5</v>
      </c>
      <c r="E271" s="2">
        <v>2</v>
      </c>
      <c r="F271" s="2" t="s">
        <v>871</v>
      </c>
      <c r="G271" s="8" t="s">
        <v>872</v>
      </c>
      <c r="H271" s="5" t="s">
        <v>878</v>
      </c>
      <c r="I271" s="10" t="s">
        <v>879</v>
      </c>
      <c r="J271" t="s">
        <v>876</v>
      </c>
      <c r="K271" t="s">
        <v>1341</v>
      </c>
      <c r="L271" t="s">
        <v>1344</v>
      </c>
      <c r="N271" t="s">
        <v>1300</v>
      </c>
    </row>
    <row r="272" spans="1:14" hidden="1">
      <c r="A272">
        <v>66</v>
      </c>
      <c r="B272" s="47">
        <v>46071</v>
      </c>
      <c r="C272" t="s">
        <v>160</v>
      </c>
      <c r="D272" s="2">
        <v>4</v>
      </c>
      <c r="E272" s="2">
        <v>2</v>
      </c>
      <c r="F272" s="2" t="s">
        <v>871</v>
      </c>
      <c r="G272" s="8" t="s">
        <v>872</v>
      </c>
      <c r="H272" s="5" t="s">
        <v>878</v>
      </c>
      <c r="I272" s="10" t="s">
        <v>879</v>
      </c>
      <c r="J272" t="s">
        <v>876</v>
      </c>
      <c r="K272" t="s">
        <v>1341</v>
      </c>
      <c r="L272" t="s">
        <v>1344</v>
      </c>
      <c r="N272" t="s">
        <v>1300</v>
      </c>
    </row>
    <row r="273" spans="1:14" hidden="1">
      <c r="A273">
        <v>72</v>
      </c>
      <c r="B273" s="48">
        <v>45937</v>
      </c>
      <c r="C273" t="s">
        <v>76</v>
      </c>
      <c r="D273" s="2">
        <v>4</v>
      </c>
      <c r="E273" s="2">
        <v>1</v>
      </c>
      <c r="F273" s="2" t="s">
        <v>871</v>
      </c>
      <c r="G273" s="8" t="s">
        <v>872</v>
      </c>
      <c r="H273" s="5" t="s">
        <v>878</v>
      </c>
      <c r="I273" s="10" t="s">
        <v>879</v>
      </c>
      <c r="J273" t="s">
        <v>876</v>
      </c>
      <c r="K273" t="s">
        <v>1341</v>
      </c>
      <c r="L273" t="s">
        <v>1344</v>
      </c>
      <c r="N273" t="s">
        <v>1300</v>
      </c>
    </row>
    <row r="274" spans="1:14" hidden="1">
      <c r="A274">
        <v>81</v>
      </c>
      <c r="B274" s="47">
        <v>45700</v>
      </c>
      <c r="C274" t="s">
        <v>116</v>
      </c>
      <c r="D274" s="2">
        <v>3</v>
      </c>
      <c r="E274" s="2">
        <v>1</v>
      </c>
      <c r="F274" s="2" t="s">
        <v>871</v>
      </c>
      <c r="G274" s="8" t="s">
        <v>872</v>
      </c>
      <c r="H274" s="5" t="s">
        <v>878</v>
      </c>
      <c r="I274" s="10" t="s">
        <v>879</v>
      </c>
      <c r="J274" t="s">
        <v>876</v>
      </c>
      <c r="K274" t="s">
        <v>1341</v>
      </c>
      <c r="L274" t="s">
        <v>1344</v>
      </c>
      <c r="N274" t="s">
        <v>1300</v>
      </c>
    </row>
    <row r="275" spans="1:14" hidden="1">
      <c r="A275">
        <v>98</v>
      </c>
      <c r="B275" s="47">
        <v>46044</v>
      </c>
      <c r="C275" t="s">
        <v>155</v>
      </c>
      <c r="D275" s="2">
        <v>2</v>
      </c>
      <c r="E275" s="2">
        <v>1</v>
      </c>
      <c r="F275" s="2" t="s">
        <v>871</v>
      </c>
      <c r="G275" s="8" t="s">
        <v>872</v>
      </c>
      <c r="H275" s="5" t="s">
        <v>878</v>
      </c>
      <c r="I275" s="10" t="s">
        <v>879</v>
      </c>
      <c r="J275" t="s">
        <v>876</v>
      </c>
      <c r="K275" t="s">
        <v>1341</v>
      </c>
      <c r="L275" t="s">
        <v>1344</v>
      </c>
      <c r="N275" t="s">
        <v>1300</v>
      </c>
    </row>
    <row r="276" spans="1:14" hidden="1">
      <c r="A276">
        <v>102</v>
      </c>
      <c r="B276" s="47">
        <v>46064</v>
      </c>
      <c r="C276" t="s">
        <v>122</v>
      </c>
      <c r="D276" s="2">
        <v>2</v>
      </c>
      <c r="E276" s="2">
        <v>2</v>
      </c>
      <c r="F276" s="2" t="s">
        <v>871</v>
      </c>
      <c r="G276" s="8" t="s">
        <v>872</v>
      </c>
      <c r="H276" s="5" t="s">
        <v>878</v>
      </c>
      <c r="I276" s="10" t="s">
        <v>879</v>
      </c>
      <c r="J276" t="s">
        <v>876</v>
      </c>
      <c r="K276" t="s">
        <v>1341</v>
      </c>
      <c r="L276" t="s">
        <v>1344</v>
      </c>
      <c r="N276" t="s">
        <v>1300</v>
      </c>
    </row>
    <row r="277" spans="1:14" hidden="1">
      <c r="A277">
        <v>103</v>
      </c>
      <c r="B277" s="47">
        <v>46064</v>
      </c>
      <c r="C277" t="s">
        <v>120</v>
      </c>
      <c r="D277" s="2">
        <v>2</v>
      </c>
      <c r="E277" s="2">
        <v>1</v>
      </c>
      <c r="F277" s="2" t="s">
        <v>871</v>
      </c>
      <c r="G277" s="8" t="s">
        <v>872</v>
      </c>
      <c r="H277" s="5" t="s">
        <v>878</v>
      </c>
      <c r="I277" s="10" t="s">
        <v>879</v>
      </c>
      <c r="J277" t="s">
        <v>876</v>
      </c>
      <c r="K277" t="s">
        <v>1341</v>
      </c>
      <c r="L277" t="s">
        <v>1344</v>
      </c>
      <c r="N277" t="s">
        <v>1300</v>
      </c>
    </row>
    <row r="278" spans="1:14" hidden="1">
      <c r="A278">
        <v>105</v>
      </c>
      <c r="B278" s="47">
        <v>46064</v>
      </c>
      <c r="C278" t="s">
        <v>99</v>
      </c>
      <c r="D278" s="2">
        <v>2</v>
      </c>
      <c r="E278" s="2">
        <v>2</v>
      </c>
      <c r="F278" s="2" t="s">
        <v>871</v>
      </c>
      <c r="G278" s="8" t="s">
        <v>872</v>
      </c>
      <c r="H278" s="5" t="s">
        <v>878</v>
      </c>
      <c r="I278" s="10" t="s">
        <v>879</v>
      </c>
      <c r="J278" t="s">
        <v>876</v>
      </c>
      <c r="K278" t="s">
        <v>1341</v>
      </c>
      <c r="L278" t="s">
        <v>1344</v>
      </c>
      <c r="N278" t="s">
        <v>1300</v>
      </c>
    </row>
    <row r="279" spans="1:14" hidden="1">
      <c r="A279">
        <v>128</v>
      </c>
      <c r="B279" s="48">
        <v>45894</v>
      </c>
      <c r="C279" t="s">
        <v>170</v>
      </c>
      <c r="D279" s="2">
        <v>1</v>
      </c>
      <c r="E279" s="2">
        <v>1</v>
      </c>
      <c r="F279" s="2" t="s">
        <v>871</v>
      </c>
      <c r="G279" s="8" t="s">
        <v>872</v>
      </c>
      <c r="H279" s="5" t="s">
        <v>878</v>
      </c>
      <c r="I279" s="10" t="s">
        <v>879</v>
      </c>
      <c r="J279" t="s">
        <v>876</v>
      </c>
      <c r="K279" t="s">
        <v>1341</v>
      </c>
      <c r="L279" t="s">
        <v>1344</v>
      </c>
      <c r="N279" t="s">
        <v>1300</v>
      </c>
    </row>
    <row r="280" spans="1:14" hidden="1">
      <c r="A280">
        <v>129</v>
      </c>
      <c r="B280" s="47">
        <v>46059</v>
      </c>
      <c r="C280" t="s">
        <v>166</v>
      </c>
      <c r="D280" s="2">
        <v>1</v>
      </c>
      <c r="E280" s="2">
        <v>1</v>
      </c>
      <c r="F280" s="2" t="s">
        <v>871</v>
      </c>
      <c r="G280" s="8" t="s">
        <v>872</v>
      </c>
      <c r="H280" s="5" t="s">
        <v>878</v>
      </c>
      <c r="I280" s="10" t="s">
        <v>879</v>
      </c>
      <c r="J280" t="s">
        <v>876</v>
      </c>
      <c r="K280" t="s">
        <v>1341</v>
      </c>
      <c r="L280" t="s">
        <v>1344</v>
      </c>
      <c r="N280" t="s">
        <v>1300</v>
      </c>
    </row>
    <row r="281" spans="1:14" hidden="1">
      <c r="A281">
        <v>130</v>
      </c>
      <c r="B281" s="47">
        <v>46035</v>
      </c>
      <c r="C281" t="s">
        <v>163</v>
      </c>
      <c r="D281" s="2">
        <v>1</v>
      </c>
      <c r="E281" s="2">
        <v>1</v>
      </c>
      <c r="F281" s="2" t="s">
        <v>871</v>
      </c>
      <c r="G281" s="8" t="s">
        <v>872</v>
      </c>
      <c r="H281" s="5" t="s">
        <v>878</v>
      </c>
      <c r="I281" s="10" t="s">
        <v>879</v>
      </c>
      <c r="J281" t="s">
        <v>876</v>
      </c>
      <c r="K281" t="s">
        <v>1341</v>
      </c>
      <c r="L281" t="s">
        <v>1344</v>
      </c>
      <c r="N281" t="s">
        <v>1300</v>
      </c>
    </row>
    <row r="282" spans="1:14" hidden="1">
      <c r="A282">
        <v>136</v>
      </c>
      <c r="B282" s="47">
        <v>45908</v>
      </c>
      <c r="C282" t="s">
        <v>110</v>
      </c>
      <c r="D282" s="2">
        <v>1</v>
      </c>
      <c r="E282" s="2">
        <v>1</v>
      </c>
      <c r="F282" s="2" t="s">
        <v>871</v>
      </c>
      <c r="G282" s="8" t="s">
        <v>872</v>
      </c>
      <c r="H282" s="5" t="s">
        <v>878</v>
      </c>
      <c r="I282" s="10" t="s">
        <v>879</v>
      </c>
      <c r="J282" t="s">
        <v>876</v>
      </c>
      <c r="K282" t="s">
        <v>1341</v>
      </c>
      <c r="L282" t="s">
        <v>1344</v>
      </c>
      <c r="N282" t="s">
        <v>1300</v>
      </c>
    </row>
    <row r="283" spans="1:14" hidden="1">
      <c r="A283">
        <v>289</v>
      </c>
      <c r="C283" t="s">
        <v>1275</v>
      </c>
      <c r="D283" s="2" t="s">
        <v>1345</v>
      </c>
      <c r="E283" s="2" t="s">
        <v>1346</v>
      </c>
      <c r="F283" s="2" t="s">
        <v>956</v>
      </c>
      <c r="G283" s="8" t="s">
        <v>872</v>
      </c>
      <c r="H283" s="10" t="s">
        <v>878</v>
      </c>
      <c r="I283" s="10" t="s">
        <v>879</v>
      </c>
      <c r="J283" t="s">
        <v>876</v>
      </c>
      <c r="K283" t="s">
        <v>1341</v>
      </c>
      <c r="L283" t="s">
        <v>1344</v>
      </c>
      <c r="N283" t="s">
        <v>1300</v>
      </c>
    </row>
    <row r="284" spans="1:14" hidden="1">
      <c r="A284">
        <v>10</v>
      </c>
      <c r="B284" s="47">
        <v>46072</v>
      </c>
      <c r="C284" s="23" t="s">
        <v>184</v>
      </c>
      <c r="D284" s="2">
        <v>46</v>
      </c>
      <c r="E284" s="2">
        <v>7</v>
      </c>
      <c r="F284" s="2" t="s">
        <v>881</v>
      </c>
      <c r="G284" s="8" t="s">
        <v>872</v>
      </c>
      <c r="H284" s="5" t="s">
        <v>889</v>
      </c>
      <c r="I284" s="10" t="s">
        <v>890</v>
      </c>
      <c r="J284" t="s">
        <v>884</v>
      </c>
      <c r="K284" t="s">
        <v>1352</v>
      </c>
      <c r="L284" t="s">
        <v>1344</v>
      </c>
      <c r="M284" s="151" t="s">
        <v>875</v>
      </c>
      <c r="N284" s="2" t="s">
        <v>1302</v>
      </c>
    </row>
    <row r="285" spans="1:14" hidden="1">
      <c r="A285">
        <v>22</v>
      </c>
      <c r="B285" s="47">
        <v>46072</v>
      </c>
      <c r="C285" s="23" t="s">
        <v>227</v>
      </c>
      <c r="D285" s="2">
        <v>14</v>
      </c>
      <c r="E285" s="2">
        <v>2</v>
      </c>
      <c r="F285" s="2" t="s">
        <v>881</v>
      </c>
      <c r="G285" s="8" t="s">
        <v>872</v>
      </c>
      <c r="H285" s="5" t="s">
        <v>889</v>
      </c>
      <c r="I285" s="10" t="s">
        <v>890</v>
      </c>
      <c r="J285" t="s">
        <v>884</v>
      </c>
      <c r="K285" t="s">
        <v>1352</v>
      </c>
      <c r="L285" t="s">
        <v>1344</v>
      </c>
      <c r="M285" s="151" t="s">
        <v>875</v>
      </c>
      <c r="N285" s="2" t="s">
        <v>1302</v>
      </c>
    </row>
    <row r="286" spans="1:14" hidden="1">
      <c r="A286">
        <v>73</v>
      </c>
      <c r="B286" s="47">
        <v>46072</v>
      </c>
      <c r="C286" s="23" t="s">
        <v>69</v>
      </c>
      <c r="D286" s="2">
        <v>4</v>
      </c>
      <c r="E286" s="2">
        <v>1</v>
      </c>
      <c r="F286" s="2" t="s">
        <v>894</v>
      </c>
      <c r="G286" s="8" t="s">
        <v>872</v>
      </c>
      <c r="H286" s="5" t="s">
        <v>889</v>
      </c>
      <c r="I286" s="10" t="s">
        <v>890</v>
      </c>
      <c r="J286" t="s">
        <v>884</v>
      </c>
      <c r="K286" t="s">
        <v>1352</v>
      </c>
      <c r="L286" t="s">
        <v>1344</v>
      </c>
      <c r="M286" s="151" t="s">
        <v>875</v>
      </c>
      <c r="N286" s="2" t="s">
        <v>1302</v>
      </c>
    </row>
    <row r="287" spans="1:14" hidden="1">
      <c r="A287">
        <v>126</v>
      </c>
      <c r="B287" s="48">
        <v>45932</v>
      </c>
      <c r="C287" s="23" t="s">
        <v>186</v>
      </c>
      <c r="D287" s="2">
        <v>1</v>
      </c>
      <c r="E287" s="2">
        <v>1</v>
      </c>
      <c r="F287" s="2" t="s">
        <v>881</v>
      </c>
      <c r="G287" s="8" t="s">
        <v>872</v>
      </c>
      <c r="H287" s="5" t="s">
        <v>889</v>
      </c>
      <c r="I287" s="10" t="s">
        <v>890</v>
      </c>
      <c r="J287" t="s">
        <v>884</v>
      </c>
      <c r="K287" s="17" t="s">
        <v>1352</v>
      </c>
      <c r="L287" t="s">
        <v>1344</v>
      </c>
      <c r="M287" s="151" t="s">
        <v>875</v>
      </c>
      <c r="N287" s="2" t="s">
        <v>1302</v>
      </c>
    </row>
    <row r="288" spans="1:14" hidden="1">
      <c r="A288">
        <v>160</v>
      </c>
      <c r="C288" s="23" t="s">
        <v>1030</v>
      </c>
      <c r="D288" s="2" t="s">
        <v>1345</v>
      </c>
      <c r="E288" s="2" t="s">
        <v>1346</v>
      </c>
      <c r="F288" s="2" t="s">
        <v>1025</v>
      </c>
      <c r="G288" s="8" t="s">
        <v>872</v>
      </c>
      <c r="H288" s="10" t="s">
        <v>889</v>
      </c>
      <c r="I288" s="10" t="s">
        <v>890</v>
      </c>
      <c r="J288" t="s">
        <v>884</v>
      </c>
      <c r="K288" t="s">
        <v>1352</v>
      </c>
      <c r="L288" t="s">
        <v>1344</v>
      </c>
      <c r="M288" s="151" t="s">
        <v>875</v>
      </c>
      <c r="N288" s="2" t="s">
        <v>1302</v>
      </c>
    </row>
    <row r="289" spans="1:14" hidden="1">
      <c r="A289">
        <v>240</v>
      </c>
      <c r="C289" s="23" t="s">
        <v>1173</v>
      </c>
      <c r="D289" s="2" t="s">
        <v>1345</v>
      </c>
      <c r="E289" s="2" t="s">
        <v>1346</v>
      </c>
      <c r="F289" s="2" t="s">
        <v>885</v>
      </c>
      <c r="G289" s="8" t="s">
        <v>872</v>
      </c>
      <c r="H289" s="10" t="s">
        <v>889</v>
      </c>
      <c r="I289" s="10" t="s">
        <v>890</v>
      </c>
      <c r="J289" t="s">
        <v>884</v>
      </c>
      <c r="K289" t="s">
        <v>1352</v>
      </c>
      <c r="L289" t="s">
        <v>1344</v>
      </c>
      <c r="M289" s="151" t="s">
        <v>875</v>
      </c>
      <c r="N289" s="2" t="s">
        <v>1302</v>
      </c>
    </row>
    <row r="290" spans="1:14" hidden="1">
      <c r="A290">
        <v>241</v>
      </c>
      <c r="C290" s="23" t="s">
        <v>1176</v>
      </c>
      <c r="D290" s="2" t="s">
        <v>1345</v>
      </c>
      <c r="E290" s="2" t="s">
        <v>1346</v>
      </c>
      <c r="F290" s="2" t="s">
        <v>885</v>
      </c>
      <c r="G290" s="8" t="s">
        <v>872</v>
      </c>
      <c r="H290" s="10" t="s">
        <v>889</v>
      </c>
      <c r="I290" s="10" t="s">
        <v>890</v>
      </c>
      <c r="J290" t="s">
        <v>884</v>
      </c>
      <c r="K290" t="s">
        <v>1352</v>
      </c>
      <c r="L290" t="s">
        <v>1344</v>
      </c>
      <c r="M290" s="151" t="s">
        <v>875</v>
      </c>
      <c r="N290" s="2" t="s">
        <v>1302</v>
      </c>
    </row>
    <row r="291" spans="1:14" hidden="1">
      <c r="A291">
        <v>270</v>
      </c>
      <c r="C291" s="23" t="s">
        <v>1242</v>
      </c>
      <c r="D291" s="2" t="s">
        <v>1345</v>
      </c>
      <c r="E291" s="2" t="s">
        <v>1346</v>
      </c>
      <c r="F291" s="2" t="s">
        <v>894</v>
      </c>
      <c r="G291" s="8" t="s">
        <v>872</v>
      </c>
      <c r="H291" s="5" t="s">
        <v>889</v>
      </c>
      <c r="I291" s="10" t="s">
        <v>890</v>
      </c>
      <c r="J291" t="s">
        <v>884</v>
      </c>
      <c r="K291" t="s">
        <v>1352</v>
      </c>
      <c r="L291" t="s">
        <v>1344</v>
      </c>
      <c r="M291" s="151" t="s">
        <v>875</v>
      </c>
      <c r="N291" s="2" t="s">
        <v>1302</v>
      </c>
    </row>
    <row r="292" spans="1:14" hidden="1">
      <c r="A292">
        <v>279</v>
      </c>
      <c r="C292" s="23" t="s">
        <v>1255</v>
      </c>
      <c r="D292" s="2" t="s">
        <v>1345</v>
      </c>
      <c r="E292" s="2" t="s">
        <v>1346</v>
      </c>
      <c r="F292" s="2" t="s">
        <v>894</v>
      </c>
      <c r="G292" s="8" t="s">
        <v>872</v>
      </c>
      <c r="H292" s="10" t="s">
        <v>889</v>
      </c>
      <c r="I292" s="10" t="s">
        <v>890</v>
      </c>
      <c r="J292" t="s">
        <v>884</v>
      </c>
      <c r="K292" t="s">
        <v>1352</v>
      </c>
      <c r="L292" t="s">
        <v>1344</v>
      </c>
      <c r="M292" s="151" t="s">
        <v>875</v>
      </c>
      <c r="N292" s="2" t="s">
        <v>1302</v>
      </c>
    </row>
    <row r="293" spans="1:14" hidden="1">
      <c r="A293">
        <v>284</v>
      </c>
      <c r="C293" s="23" t="s">
        <v>184</v>
      </c>
      <c r="D293" s="2" t="s">
        <v>1345</v>
      </c>
      <c r="E293" s="2" t="s">
        <v>1346</v>
      </c>
      <c r="F293" s="2" t="s">
        <v>871</v>
      </c>
      <c r="G293" s="8" t="s">
        <v>872</v>
      </c>
      <c r="H293" s="10" t="s">
        <v>889</v>
      </c>
      <c r="I293" s="10" t="s">
        <v>890</v>
      </c>
      <c r="J293" t="s">
        <v>876</v>
      </c>
      <c r="K293" t="s">
        <v>1352</v>
      </c>
      <c r="L293" t="s">
        <v>1344</v>
      </c>
      <c r="M293" s="151" t="s">
        <v>875</v>
      </c>
      <c r="N293" s="2" t="s">
        <v>1302</v>
      </c>
    </row>
    <row r="294" spans="1:14" hidden="1">
      <c r="A294">
        <v>303</v>
      </c>
      <c r="C294" s="23" t="s">
        <v>227</v>
      </c>
      <c r="D294" s="2" t="s">
        <v>1345</v>
      </c>
      <c r="E294" s="2" t="s">
        <v>1346</v>
      </c>
      <c r="F294" s="2" t="s">
        <v>1017</v>
      </c>
      <c r="G294" s="8" t="s">
        <v>872</v>
      </c>
      <c r="H294" s="10" t="s">
        <v>889</v>
      </c>
      <c r="I294" s="10" t="s">
        <v>890</v>
      </c>
      <c r="J294" t="s">
        <v>884</v>
      </c>
      <c r="K294" t="s">
        <v>1352</v>
      </c>
      <c r="L294" t="s">
        <v>1344</v>
      </c>
      <c r="M294" s="151" t="s">
        <v>875</v>
      </c>
      <c r="N294" s="2" t="s">
        <v>1302</v>
      </c>
    </row>
    <row r="295" spans="1:14" s="186" customFormat="1" hidden="1">
      <c r="A295" s="186">
        <v>307</v>
      </c>
      <c r="C295" s="186" t="s">
        <v>1377</v>
      </c>
      <c r="D295" s="186" t="s">
        <v>1351</v>
      </c>
      <c r="E295" s="186" t="s">
        <v>1346</v>
      </c>
      <c r="F295" s="186" t="s">
        <v>894</v>
      </c>
      <c r="G295" s="187" t="s">
        <v>872</v>
      </c>
      <c r="H295" s="189" t="s">
        <v>1378</v>
      </c>
      <c r="I295" s="189" t="s">
        <v>499</v>
      </c>
      <c r="J295" s="186" t="s">
        <v>884</v>
      </c>
      <c r="K295" s="186" t="s">
        <v>1358</v>
      </c>
      <c r="L295" s="186" t="s">
        <v>1344</v>
      </c>
      <c r="M295" s="190"/>
      <c r="N295" s="186" t="s">
        <v>1322</v>
      </c>
    </row>
    <row r="296" spans="1:14" hidden="1">
      <c r="A296">
        <v>125</v>
      </c>
      <c r="B296" s="47">
        <v>46065</v>
      </c>
      <c r="C296" t="s">
        <v>193</v>
      </c>
      <c r="D296" s="2">
        <v>1</v>
      </c>
      <c r="E296" s="2">
        <v>1</v>
      </c>
      <c r="F296" s="2" t="s">
        <v>871</v>
      </c>
      <c r="G296" s="8" t="s">
        <v>872</v>
      </c>
      <c r="H296" s="5" t="s">
        <v>931</v>
      </c>
      <c r="I296" s="10" t="s">
        <v>476</v>
      </c>
      <c r="J296" t="s">
        <v>915</v>
      </c>
      <c r="K296" t="s">
        <v>1358</v>
      </c>
      <c r="L296" t="s">
        <v>1344</v>
      </c>
      <c r="N296" t="s">
        <v>1315</v>
      </c>
    </row>
    <row r="297" spans="1:14" hidden="1">
      <c r="A297" s="24">
        <v>8</v>
      </c>
      <c r="B297" s="46">
        <v>46072</v>
      </c>
      <c r="C297" s="23" t="s">
        <v>199</v>
      </c>
      <c r="D297" s="2">
        <v>52</v>
      </c>
      <c r="E297" s="2">
        <v>8</v>
      </c>
      <c r="F297" s="2" t="s">
        <v>885</v>
      </c>
      <c r="G297" s="8" t="s">
        <v>872</v>
      </c>
      <c r="H297" s="5" t="s">
        <v>886</v>
      </c>
      <c r="I297" s="10" t="s">
        <v>887</v>
      </c>
      <c r="J297" t="s">
        <v>876</v>
      </c>
      <c r="K297" t="s">
        <v>1379</v>
      </c>
      <c r="L297" t="s">
        <v>1344</v>
      </c>
      <c r="M297" s="151" t="s">
        <v>875</v>
      </c>
      <c r="N297" s="2" t="s">
        <v>1301</v>
      </c>
    </row>
    <row r="298" spans="1:14" hidden="1">
      <c r="A298">
        <v>43</v>
      </c>
      <c r="B298" s="47">
        <v>46064</v>
      </c>
      <c r="C298" s="23" t="s">
        <v>202</v>
      </c>
      <c r="D298" s="2">
        <v>6</v>
      </c>
      <c r="E298" s="2">
        <v>1</v>
      </c>
      <c r="F298" s="2" t="s">
        <v>885</v>
      </c>
      <c r="G298" s="8" t="s">
        <v>872</v>
      </c>
      <c r="H298" s="5" t="s">
        <v>886</v>
      </c>
      <c r="I298" s="10" t="s">
        <v>887</v>
      </c>
      <c r="J298" t="s">
        <v>876</v>
      </c>
      <c r="K298" s="17" t="s">
        <v>1379</v>
      </c>
      <c r="L298" t="s">
        <v>1344</v>
      </c>
      <c r="M298" s="151" t="s">
        <v>875</v>
      </c>
      <c r="N298" s="2" t="s">
        <v>1301</v>
      </c>
    </row>
    <row r="299" spans="1:14" hidden="1">
      <c r="A299">
        <v>44</v>
      </c>
      <c r="B299" s="47">
        <v>46070</v>
      </c>
      <c r="C299" s="23" t="s">
        <v>200</v>
      </c>
      <c r="D299" s="2">
        <v>6</v>
      </c>
      <c r="E299" s="2">
        <v>2</v>
      </c>
      <c r="F299" s="2" t="s">
        <v>885</v>
      </c>
      <c r="G299" s="8" t="s">
        <v>872</v>
      </c>
      <c r="H299" s="5" t="s">
        <v>886</v>
      </c>
      <c r="I299" s="10" t="s">
        <v>887</v>
      </c>
      <c r="J299" t="s">
        <v>876</v>
      </c>
      <c r="K299" s="17" t="s">
        <v>1379</v>
      </c>
      <c r="L299" s="17" t="s">
        <v>1344</v>
      </c>
      <c r="M299" s="151" t="s">
        <v>875</v>
      </c>
      <c r="N299" s="2" t="s">
        <v>1301</v>
      </c>
    </row>
    <row r="300" spans="1:14" hidden="1">
      <c r="A300">
        <v>60</v>
      </c>
      <c r="B300" s="48">
        <v>45891</v>
      </c>
      <c r="C300" s="23" t="s">
        <v>68</v>
      </c>
      <c r="D300" s="2">
        <v>5</v>
      </c>
      <c r="E300" s="2">
        <v>1</v>
      </c>
      <c r="F300" s="2" t="s">
        <v>871</v>
      </c>
      <c r="G300" s="8" t="s">
        <v>872</v>
      </c>
      <c r="H300" s="5" t="s">
        <v>886</v>
      </c>
      <c r="I300" s="10" t="s">
        <v>887</v>
      </c>
      <c r="J300" t="s">
        <v>876</v>
      </c>
      <c r="K300" s="17" t="s">
        <v>1379</v>
      </c>
      <c r="L300" s="17" t="s">
        <v>1344</v>
      </c>
      <c r="M300" s="151" t="s">
        <v>875</v>
      </c>
      <c r="N300" s="2" t="s">
        <v>1301</v>
      </c>
    </row>
    <row r="301" spans="1:14" hidden="1">
      <c r="A301">
        <v>122</v>
      </c>
      <c r="B301" s="47">
        <v>46069</v>
      </c>
      <c r="C301" s="23" t="s">
        <v>201</v>
      </c>
      <c r="D301" s="2">
        <v>1</v>
      </c>
      <c r="E301" s="2">
        <v>1</v>
      </c>
      <c r="F301" s="2" t="s">
        <v>885</v>
      </c>
      <c r="G301" s="8" t="s">
        <v>872</v>
      </c>
      <c r="H301" s="5" t="s">
        <v>886</v>
      </c>
      <c r="I301" s="10" t="s">
        <v>887</v>
      </c>
      <c r="J301" t="s">
        <v>876</v>
      </c>
      <c r="K301" s="17" t="s">
        <v>1379</v>
      </c>
      <c r="L301" s="17" t="s">
        <v>1344</v>
      </c>
      <c r="M301" s="151" t="s">
        <v>875</v>
      </c>
      <c r="N301" s="2" t="s">
        <v>1301</v>
      </c>
    </row>
    <row r="302" spans="1:14" hidden="1">
      <c r="A302">
        <v>123</v>
      </c>
      <c r="B302" s="47">
        <v>46070</v>
      </c>
      <c r="C302" s="23" t="s">
        <v>198</v>
      </c>
      <c r="D302" s="2">
        <v>1</v>
      </c>
      <c r="E302" s="2">
        <v>1</v>
      </c>
      <c r="F302" s="2" t="s">
        <v>885</v>
      </c>
      <c r="G302" s="8" t="s">
        <v>872</v>
      </c>
      <c r="H302" s="5" t="s">
        <v>886</v>
      </c>
      <c r="I302" s="10" t="s">
        <v>887</v>
      </c>
      <c r="J302" t="s">
        <v>876</v>
      </c>
      <c r="K302" s="17" t="s">
        <v>1379</v>
      </c>
      <c r="L302" s="17" t="s">
        <v>1344</v>
      </c>
      <c r="M302" s="151" t="s">
        <v>875</v>
      </c>
      <c r="N302" s="2" t="s">
        <v>1301</v>
      </c>
    </row>
    <row r="303" spans="1:14" hidden="1">
      <c r="A303">
        <v>242</v>
      </c>
      <c r="C303" s="23" t="s">
        <v>1177</v>
      </c>
      <c r="D303" s="2" t="s">
        <v>1345</v>
      </c>
      <c r="E303" s="2" t="s">
        <v>1346</v>
      </c>
      <c r="F303" s="2" t="s">
        <v>885</v>
      </c>
      <c r="G303" s="8" t="s">
        <v>872</v>
      </c>
      <c r="H303" s="10" t="s">
        <v>886</v>
      </c>
      <c r="I303" s="10" t="s">
        <v>887</v>
      </c>
      <c r="J303" t="s">
        <v>876</v>
      </c>
      <c r="K303" s="17" t="s">
        <v>1379</v>
      </c>
      <c r="L303" s="17" t="s">
        <v>1344</v>
      </c>
      <c r="M303" s="151" t="s">
        <v>875</v>
      </c>
      <c r="N303" s="2" t="s">
        <v>1301</v>
      </c>
    </row>
    <row r="304" spans="1:14" hidden="1">
      <c r="A304">
        <v>243</v>
      </c>
      <c r="C304" s="23" t="s">
        <v>199</v>
      </c>
      <c r="D304" s="2" t="s">
        <v>1345</v>
      </c>
      <c r="E304" s="2" t="s">
        <v>1346</v>
      </c>
      <c r="F304" s="2" t="s">
        <v>885</v>
      </c>
      <c r="G304" s="8" t="s">
        <v>872</v>
      </c>
      <c r="H304" s="10" t="s">
        <v>886</v>
      </c>
      <c r="I304" s="10" t="s">
        <v>887</v>
      </c>
      <c r="J304" t="s">
        <v>876</v>
      </c>
      <c r="K304" s="17" t="s">
        <v>1379</v>
      </c>
      <c r="L304" s="17" t="s">
        <v>1344</v>
      </c>
      <c r="M304" s="151" t="s">
        <v>875</v>
      </c>
      <c r="N304" s="2" t="s">
        <v>1301</v>
      </c>
    </row>
    <row r="305" spans="1:14" hidden="1">
      <c r="A305">
        <v>244</v>
      </c>
      <c r="C305" s="23" t="s">
        <v>1180</v>
      </c>
      <c r="D305" s="2" t="s">
        <v>1345</v>
      </c>
      <c r="E305" s="2" t="s">
        <v>1346</v>
      </c>
      <c r="F305" s="2" t="s">
        <v>885</v>
      </c>
      <c r="G305" s="8" t="s">
        <v>872</v>
      </c>
      <c r="H305" s="10" t="s">
        <v>886</v>
      </c>
      <c r="I305" s="10" t="s">
        <v>887</v>
      </c>
      <c r="J305" t="s">
        <v>876</v>
      </c>
      <c r="K305" s="17" t="s">
        <v>1379</v>
      </c>
      <c r="L305" s="17" t="s">
        <v>1344</v>
      </c>
      <c r="M305" s="151" t="s">
        <v>875</v>
      </c>
      <c r="N305" s="2" t="s">
        <v>1301</v>
      </c>
    </row>
    <row r="306" spans="1:14" hidden="1">
      <c r="A306">
        <v>245</v>
      </c>
      <c r="C306" s="23" t="s">
        <v>1183</v>
      </c>
      <c r="D306" s="2" t="s">
        <v>1345</v>
      </c>
      <c r="E306" s="2" t="s">
        <v>1346</v>
      </c>
      <c r="F306" s="2" t="s">
        <v>885</v>
      </c>
      <c r="G306" s="8" t="s">
        <v>872</v>
      </c>
      <c r="H306" s="10" t="s">
        <v>886</v>
      </c>
      <c r="I306" s="10" t="s">
        <v>887</v>
      </c>
      <c r="J306" t="s">
        <v>876</v>
      </c>
      <c r="K306" s="17" t="s">
        <v>1379</v>
      </c>
      <c r="L306" s="17" t="s">
        <v>1344</v>
      </c>
      <c r="M306" s="151" t="s">
        <v>875</v>
      </c>
      <c r="N306" s="2" t="s">
        <v>1301</v>
      </c>
    </row>
    <row r="307" spans="1:14" hidden="1">
      <c r="A307">
        <v>246</v>
      </c>
      <c r="C307" s="23" t="s">
        <v>1186</v>
      </c>
      <c r="D307" s="2" t="s">
        <v>1345</v>
      </c>
      <c r="E307" s="2" t="s">
        <v>1346</v>
      </c>
      <c r="F307" s="2" t="s">
        <v>885</v>
      </c>
      <c r="G307" s="8" t="s">
        <v>872</v>
      </c>
      <c r="H307" s="10" t="s">
        <v>886</v>
      </c>
      <c r="I307" s="10" t="s">
        <v>887</v>
      </c>
      <c r="J307" t="s">
        <v>876</v>
      </c>
      <c r="K307" s="17" t="s">
        <v>1379</v>
      </c>
      <c r="L307" s="17" t="s">
        <v>1344</v>
      </c>
      <c r="M307" s="151" t="s">
        <v>875</v>
      </c>
      <c r="N307" s="2" t="s">
        <v>1301</v>
      </c>
    </row>
    <row r="308" spans="1:14" hidden="1">
      <c r="A308">
        <v>247</v>
      </c>
      <c r="C308" s="23" t="s">
        <v>1188</v>
      </c>
      <c r="D308" s="2" t="s">
        <v>1345</v>
      </c>
      <c r="E308" s="2" t="s">
        <v>1346</v>
      </c>
      <c r="F308" s="2" t="s">
        <v>885</v>
      </c>
      <c r="G308" s="8" t="s">
        <v>872</v>
      </c>
      <c r="H308" s="10" t="s">
        <v>886</v>
      </c>
      <c r="I308" s="10" t="s">
        <v>887</v>
      </c>
      <c r="J308" t="s">
        <v>876</v>
      </c>
      <c r="K308" s="17" t="s">
        <v>1379</v>
      </c>
      <c r="L308" s="17" t="s">
        <v>1344</v>
      </c>
      <c r="M308" s="151" t="s">
        <v>875</v>
      </c>
      <c r="N308" s="2" t="s">
        <v>1301</v>
      </c>
    </row>
    <row r="309" spans="1:14" hidden="1">
      <c r="A309">
        <v>248</v>
      </c>
      <c r="C309" s="23" t="s">
        <v>1190</v>
      </c>
      <c r="D309" s="2" t="s">
        <v>1345</v>
      </c>
      <c r="E309" s="2" t="s">
        <v>1346</v>
      </c>
      <c r="F309" s="2" t="s">
        <v>885</v>
      </c>
      <c r="G309" s="8" t="s">
        <v>872</v>
      </c>
      <c r="H309" s="10" t="s">
        <v>886</v>
      </c>
      <c r="I309" s="10" t="s">
        <v>887</v>
      </c>
      <c r="J309" t="s">
        <v>876</v>
      </c>
      <c r="K309" s="17" t="s">
        <v>1379</v>
      </c>
      <c r="L309" s="17" t="s">
        <v>1344</v>
      </c>
      <c r="M309" s="151" t="s">
        <v>875</v>
      </c>
      <c r="N309" s="2" t="s">
        <v>1301</v>
      </c>
    </row>
    <row r="310" spans="1:14" hidden="1">
      <c r="A310">
        <v>249</v>
      </c>
      <c r="C310" s="23" t="s">
        <v>1193</v>
      </c>
      <c r="D310" s="2" t="s">
        <v>1345</v>
      </c>
      <c r="E310" s="2" t="s">
        <v>1346</v>
      </c>
      <c r="F310" s="2" t="s">
        <v>885</v>
      </c>
      <c r="G310" s="8" t="s">
        <v>872</v>
      </c>
      <c r="H310" s="10" t="s">
        <v>886</v>
      </c>
      <c r="I310" s="10" t="s">
        <v>887</v>
      </c>
      <c r="J310" t="s">
        <v>876</v>
      </c>
      <c r="K310" s="17" t="s">
        <v>1379</v>
      </c>
      <c r="L310" s="17" t="s">
        <v>1344</v>
      </c>
      <c r="M310" s="151" t="s">
        <v>875</v>
      </c>
      <c r="N310" s="2" t="s">
        <v>1301</v>
      </c>
    </row>
    <row r="311" spans="1:14" hidden="1">
      <c r="A311">
        <v>250</v>
      </c>
      <c r="C311" s="23" t="s">
        <v>1196</v>
      </c>
      <c r="D311" s="2" t="s">
        <v>1345</v>
      </c>
      <c r="E311" s="2" t="s">
        <v>1346</v>
      </c>
      <c r="F311" s="2" t="s">
        <v>885</v>
      </c>
      <c r="G311" s="8" t="s">
        <v>872</v>
      </c>
      <c r="H311" s="10" t="s">
        <v>886</v>
      </c>
      <c r="I311" s="10" t="s">
        <v>887</v>
      </c>
      <c r="J311" t="s">
        <v>876</v>
      </c>
      <c r="K311" s="17" t="s">
        <v>1379</v>
      </c>
      <c r="L311" s="17" t="s">
        <v>1344</v>
      </c>
      <c r="M311" s="151" t="s">
        <v>875</v>
      </c>
      <c r="N311" s="2" t="s">
        <v>1301</v>
      </c>
    </row>
    <row r="312" spans="1:14" hidden="1">
      <c r="A312">
        <v>251</v>
      </c>
      <c r="C312" s="23" t="s">
        <v>1199</v>
      </c>
      <c r="D312" s="2" t="s">
        <v>1345</v>
      </c>
      <c r="E312" s="2" t="s">
        <v>1346</v>
      </c>
      <c r="F312" s="2" t="s">
        <v>885</v>
      </c>
      <c r="G312" s="8" t="s">
        <v>872</v>
      </c>
      <c r="H312" s="10" t="s">
        <v>886</v>
      </c>
      <c r="I312" s="10" t="s">
        <v>887</v>
      </c>
      <c r="J312" t="s">
        <v>876</v>
      </c>
      <c r="K312" s="17" t="s">
        <v>1379</v>
      </c>
      <c r="L312" s="17" t="s">
        <v>1344</v>
      </c>
      <c r="M312" s="151" t="s">
        <v>875</v>
      </c>
      <c r="N312" s="2" t="s">
        <v>1301</v>
      </c>
    </row>
    <row r="313" spans="1:14" hidden="1">
      <c r="A313">
        <v>252</v>
      </c>
      <c r="C313" s="23" t="s">
        <v>1202</v>
      </c>
      <c r="D313" s="2" t="s">
        <v>1345</v>
      </c>
      <c r="E313" s="2" t="s">
        <v>1346</v>
      </c>
      <c r="F313" s="2" t="s">
        <v>885</v>
      </c>
      <c r="G313" s="8" t="s">
        <v>872</v>
      </c>
      <c r="H313" s="10" t="s">
        <v>886</v>
      </c>
      <c r="I313" s="10" t="s">
        <v>887</v>
      </c>
      <c r="J313" t="s">
        <v>876</v>
      </c>
      <c r="K313" s="17" t="s">
        <v>1379</v>
      </c>
      <c r="L313" s="17" t="s">
        <v>1344</v>
      </c>
      <c r="M313" s="151" t="s">
        <v>875</v>
      </c>
      <c r="N313" s="2" t="s">
        <v>1301</v>
      </c>
    </row>
    <row r="314" spans="1:14" hidden="1">
      <c r="A314">
        <v>253</v>
      </c>
      <c r="C314" s="23" t="s">
        <v>1204</v>
      </c>
      <c r="D314" s="2" t="s">
        <v>1345</v>
      </c>
      <c r="E314" s="2" t="s">
        <v>1346</v>
      </c>
      <c r="F314" s="2" t="s">
        <v>885</v>
      </c>
      <c r="G314" s="8" t="s">
        <v>872</v>
      </c>
      <c r="H314" s="10" t="s">
        <v>886</v>
      </c>
      <c r="I314" s="10" t="s">
        <v>887</v>
      </c>
      <c r="J314" t="s">
        <v>876</v>
      </c>
      <c r="K314" s="17" t="s">
        <v>1379</v>
      </c>
      <c r="L314" s="17" t="s">
        <v>1344</v>
      </c>
      <c r="M314" s="151" t="s">
        <v>875</v>
      </c>
      <c r="N314" s="2" t="s">
        <v>1301</v>
      </c>
    </row>
    <row r="315" spans="1:14" hidden="1">
      <c r="A315">
        <v>254</v>
      </c>
      <c r="C315" s="23" t="s">
        <v>1207</v>
      </c>
      <c r="D315" s="2" t="s">
        <v>1345</v>
      </c>
      <c r="E315" s="2" t="s">
        <v>1346</v>
      </c>
      <c r="F315" s="2" t="s">
        <v>885</v>
      </c>
      <c r="G315" s="8" t="s">
        <v>872</v>
      </c>
      <c r="H315" s="10" t="s">
        <v>886</v>
      </c>
      <c r="I315" s="10" t="s">
        <v>887</v>
      </c>
      <c r="J315" t="s">
        <v>876</v>
      </c>
      <c r="K315" s="17" t="s">
        <v>1379</v>
      </c>
      <c r="L315" s="17" t="s">
        <v>1344</v>
      </c>
      <c r="M315" s="151" t="s">
        <v>875</v>
      </c>
      <c r="N315" s="2" t="s">
        <v>1301</v>
      </c>
    </row>
    <row r="316" spans="1:14" hidden="1">
      <c r="A316">
        <v>256</v>
      </c>
      <c r="C316" s="23" t="s">
        <v>1211</v>
      </c>
      <c r="D316" s="2" t="s">
        <v>1345</v>
      </c>
      <c r="E316" s="2" t="s">
        <v>1346</v>
      </c>
      <c r="F316" s="2" t="s">
        <v>1015</v>
      </c>
      <c r="G316" s="8" t="s">
        <v>872</v>
      </c>
      <c r="H316" s="10" t="s">
        <v>886</v>
      </c>
      <c r="I316" s="10" t="s">
        <v>887</v>
      </c>
      <c r="J316" t="s">
        <v>876</v>
      </c>
      <c r="K316" s="17" t="s">
        <v>1379</v>
      </c>
      <c r="L316" s="17" t="s">
        <v>1344</v>
      </c>
      <c r="M316" s="151" t="s">
        <v>875</v>
      </c>
      <c r="N316" s="2" t="s">
        <v>1301</v>
      </c>
    </row>
    <row r="317" spans="1:14" hidden="1">
      <c r="A317">
        <v>257</v>
      </c>
      <c r="C317" s="23" t="s">
        <v>1213</v>
      </c>
      <c r="D317" s="2" t="s">
        <v>1345</v>
      </c>
      <c r="E317" s="2" t="s">
        <v>1346</v>
      </c>
      <c r="F317" s="2" t="s">
        <v>1015</v>
      </c>
      <c r="G317" s="8" t="s">
        <v>872</v>
      </c>
      <c r="H317" s="10" t="s">
        <v>886</v>
      </c>
      <c r="I317" s="10" t="s">
        <v>887</v>
      </c>
      <c r="J317" t="s">
        <v>876</v>
      </c>
      <c r="K317" s="17" t="s">
        <v>1379</v>
      </c>
      <c r="L317" s="17" t="s">
        <v>1344</v>
      </c>
      <c r="M317" s="151" t="s">
        <v>875</v>
      </c>
      <c r="N317" s="2" t="s">
        <v>1301</v>
      </c>
    </row>
    <row r="318" spans="1:14" hidden="1">
      <c r="A318">
        <v>262</v>
      </c>
      <c r="C318" s="23" t="s">
        <v>1224</v>
      </c>
      <c r="D318" s="2" t="s">
        <v>1345</v>
      </c>
      <c r="E318" s="2" t="s">
        <v>1346</v>
      </c>
      <c r="F318" s="2" t="s">
        <v>1015</v>
      </c>
      <c r="G318" s="8" t="s">
        <v>872</v>
      </c>
      <c r="H318" s="10" t="s">
        <v>886</v>
      </c>
      <c r="I318" s="10" t="s">
        <v>887</v>
      </c>
      <c r="J318" t="s">
        <v>876</v>
      </c>
      <c r="K318" s="17" t="s">
        <v>1379</v>
      </c>
      <c r="L318" s="17" t="s">
        <v>1344</v>
      </c>
      <c r="M318" s="151" t="s">
        <v>875</v>
      </c>
      <c r="N318" s="2" t="s">
        <v>1301</v>
      </c>
    </row>
    <row r="319" spans="1:14" hidden="1">
      <c r="A319">
        <v>124</v>
      </c>
      <c r="B319" s="47">
        <v>46055</v>
      </c>
      <c r="C319" t="s">
        <v>197</v>
      </c>
      <c r="D319" s="2">
        <v>1</v>
      </c>
      <c r="E319" s="2">
        <v>1</v>
      </c>
      <c r="F319" s="2" t="s">
        <v>885</v>
      </c>
      <c r="G319" s="8" t="s">
        <v>872</v>
      </c>
      <c r="H319" s="5" t="s">
        <v>929</v>
      </c>
      <c r="I319" s="10" t="s">
        <v>930</v>
      </c>
      <c r="J319" t="s">
        <v>876</v>
      </c>
      <c r="K319" s="17" t="s">
        <v>1379</v>
      </c>
      <c r="L319" s="17" t="s">
        <v>1344</v>
      </c>
      <c r="N319" t="s">
        <v>1314</v>
      </c>
    </row>
    <row r="320" spans="1:14" hidden="1">
      <c r="A320">
        <v>153</v>
      </c>
      <c r="B320" s="47">
        <v>46067</v>
      </c>
      <c r="C320" t="s">
        <v>37</v>
      </c>
      <c r="D320" s="2">
        <v>1</v>
      </c>
      <c r="E320" s="2">
        <v>1</v>
      </c>
      <c r="F320" s="2" t="s">
        <v>871</v>
      </c>
      <c r="G320" s="8" t="s">
        <v>872</v>
      </c>
      <c r="H320" s="5" t="s">
        <v>929</v>
      </c>
      <c r="I320" s="10" t="s">
        <v>930</v>
      </c>
      <c r="J320" t="s">
        <v>876</v>
      </c>
      <c r="K320" s="17" t="s">
        <v>1379</v>
      </c>
      <c r="L320" s="17" t="s">
        <v>1344</v>
      </c>
      <c r="N320" t="s">
        <v>1314</v>
      </c>
    </row>
    <row r="321" spans="1:14" hidden="1">
      <c r="A321">
        <v>154</v>
      </c>
      <c r="B321" s="47">
        <v>46059</v>
      </c>
      <c r="C321" t="s">
        <v>35</v>
      </c>
      <c r="D321" s="2">
        <v>1</v>
      </c>
      <c r="E321" s="2">
        <v>1</v>
      </c>
      <c r="F321" s="2" t="s">
        <v>871</v>
      </c>
      <c r="G321" s="8" t="s">
        <v>872</v>
      </c>
      <c r="H321" s="5" t="s">
        <v>929</v>
      </c>
      <c r="I321" s="10" t="s">
        <v>930</v>
      </c>
      <c r="J321" t="s">
        <v>876</v>
      </c>
      <c r="K321" s="17" t="s">
        <v>1379</v>
      </c>
      <c r="L321" s="17" t="s">
        <v>1344</v>
      </c>
      <c r="N321" t="s">
        <v>1314</v>
      </c>
    </row>
    <row r="322" spans="1:14" hidden="1">
      <c r="A322">
        <v>280</v>
      </c>
      <c r="C322" t="s">
        <v>35</v>
      </c>
      <c r="D322" s="2" t="s">
        <v>1345</v>
      </c>
      <c r="E322" s="2" t="s">
        <v>1346</v>
      </c>
      <c r="F322" s="2" t="s">
        <v>871</v>
      </c>
      <c r="G322" s="8" t="s">
        <v>872</v>
      </c>
      <c r="H322" s="5" t="s">
        <v>929</v>
      </c>
      <c r="I322" s="10" t="s">
        <v>930</v>
      </c>
      <c r="J322" t="s">
        <v>876</v>
      </c>
      <c r="K322" s="17" t="s">
        <v>1379</v>
      </c>
      <c r="L322" s="17" t="s">
        <v>1344</v>
      </c>
      <c r="N322" t="s">
        <v>1314</v>
      </c>
    </row>
    <row r="323" spans="1:14" hidden="1">
      <c r="A323">
        <v>293</v>
      </c>
      <c r="C323" t="s">
        <v>37</v>
      </c>
      <c r="D323" s="2" t="s">
        <v>1345</v>
      </c>
      <c r="E323" s="2" t="s">
        <v>1346</v>
      </c>
      <c r="F323" s="2" t="s">
        <v>1017</v>
      </c>
      <c r="G323" s="8" t="s">
        <v>872</v>
      </c>
      <c r="H323" s="5" t="s">
        <v>929</v>
      </c>
      <c r="I323" s="10" t="s">
        <v>930</v>
      </c>
      <c r="J323" t="s">
        <v>884</v>
      </c>
      <c r="K323" s="17" t="s">
        <v>1379</v>
      </c>
      <c r="L323" s="17" t="s">
        <v>1344</v>
      </c>
      <c r="N323" t="s">
        <v>1314</v>
      </c>
    </row>
    <row r="324" spans="1:14" hidden="1">
      <c r="A324">
        <v>294</v>
      </c>
      <c r="C324" t="s">
        <v>37</v>
      </c>
      <c r="D324" s="2" t="s">
        <v>1345</v>
      </c>
      <c r="E324" s="2" t="s">
        <v>1346</v>
      </c>
      <c r="F324" s="2" t="s">
        <v>1017</v>
      </c>
      <c r="G324" s="8" t="s">
        <v>872</v>
      </c>
      <c r="H324" s="5" t="s">
        <v>929</v>
      </c>
      <c r="I324" s="10" t="s">
        <v>930</v>
      </c>
      <c r="J324" t="s">
        <v>884</v>
      </c>
      <c r="K324" s="17" t="s">
        <v>1379</v>
      </c>
      <c r="L324" s="17" t="s">
        <v>1344</v>
      </c>
      <c r="N324" t="s">
        <v>1314</v>
      </c>
    </row>
    <row r="325" spans="1:14" hidden="1">
      <c r="A325">
        <v>265</v>
      </c>
      <c r="C325" t="s">
        <v>1230</v>
      </c>
      <c r="D325" s="26" t="s">
        <v>1345</v>
      </c>
      <c r="E325" s="26" t="s">
        <v>1346</v>
      </c>
      <c r="F325" s="2" t="s">
        <v>1015</v>
      </c>
      <c r="G325" s="12" t="s">
        <v>1231</v>
      </c>
      <c r="H325" s="13" t="s">
        <v>1231</v>
      </c>
      <c r="I325" s="12" t="s">
        <v>1231</v>
      </c>
      <c r="L325" s="12" t="s">
        <v>1231</v>
      </c>
      <c r="M325" s="12" t="s">
        <v>1231</v>
      </c>
      <c r="N325" s="12" t="s">
        <v>1231</v>
      </c>
    </row>
    <row r="329" spans="1:14">
      <c r="C329" s="29"/>
      <c r="D329" s="26" t="s">
        <v>1380</v>
      </c>
    </row>
    <row r="337" spans="7:7">
      <c r="G337" s="188"/>
    </row>
    <row r="338" spans="7:7">
      <c r="G338" s="188"/>
    </row>
  </sheetData>
  <dataValidations count="1">
    <dataValidation type="list" allowBlank="1" showInputMessage="1" showErrorMessage="1" sqref="L282:L293 L46:L60 L160:L242 L126:L153 L271:L280 L120:L121 L2:L44 L256 L259 L267:L269 L156:L158 L62:L118 L296:L325" xr:uid="{782BE5CB-5321-45EA-AB3A-4B061E266E19}">
      <formula1>"1 - Standard Logic, 2 - Extended Logic, 3 - Advanced Logic, 4 - Custom Logic"</formula1>
    </dataValidation>
  </dataValidations>
  <hyperlinks>
    <hyperlink ref="C213" r:id="rId1" xr:uid="{097ED2C9-FE47-41AA-BECD-A1B02EB99156}"/>
    <hyperlink ref="C98" r:id="rId2" xr:uid="{068BA234-8BC7-4E87-858D-26E43996C008}"/>
    <hyperlink ref="C210" r:id="rId3" xr:uid="{7AA5DB0D-C4B5-431E-AFF8-05F2F8D8F30E}"/>
    <hyperlink ref="C211" r:id="rId4" xr:uid="{B74C1848-D740-42F0-A31A-3B62CE58BE96}"/>
    <hyperlink ref="C212" r:id="rId5" xr:uid="{DA724ED4-3673-4BF7-9497-029E2262E0A4}"/>
    <hyperlink ref="C99" r:id="rId6" xr:uid="{B7117269-9C1A-4731-8B76-76ED1E0C1BC7}"/>
    <hyperlink ref="C100" r:id="rId7" xr:uid="{07765273-221B-4355-96BC-204096140234}"/>
    <hyperlink ref="C101" r:id="rId8" xr:uid="{48B4C3DB-5EED-447A-A665-2DE30AD36EB4}"/>
    <hyperlink ref="C102" r:id="rId9" xr:uid="{BC335316-654B-4593-969F-E7388B1F9D98}"/>
    <hyperlink ref="C103" r:id="rId10" xr:uid="{FD584D67-2CC0-45B3-A933-39E97DBC5F6E}"/>
    <hyperlink ref="C104" r:id="rId11" xr:uid="{D804BBDC-D9A6-4F21-96B3-DDA0D45C131A}"/>
    <hyperlink ref="C105" r:id="rId12" xr:uid="{3EA4BF4A-A157-4EF9-A39D-F9CC7D6D7B96}"/>
    <hyperlink ref="C106" r:id="rId13" xr:uid="{460D182B-A16B-4D1D-9631-F11450B1F267}"/>
    <hyperlink ref="C107" r:id="rId14" xr:uid="{3393A8C2-90F3-45D8-BB3C-71F203CBC8DA}"/>
    <hyperlink ref="C108" r:id="rId15" xr:uid="{14200CDA-EBBC-47F0-BB7D-F6EB8377F6F6}"/>
    <hyperlink ref="C242" r:id="rId16" xr:uid="{7EB8DECC-986E-40E6-80D2-200888366354}"/>
    <hyperlink ref="C109" r:id="rId17" xr:uid="{F47ECF1B-9402-4003-BA04-FC0D1305FCDC}"/>
    <hyperlink ref="C110" r:id="rId18" xr:uid="{8B440DD9-66E8-4AD5-9C23-AC6D29928D53}"/>
    <hyperlink ref="C111" r:id="rId19" xr:uid="{BC19CDE6-A6FB-471F-8BC9-90528A30B5EA}"/>
    <hyperlink ref="C214" r:id="rId20" xr:uid="{C32BEDE3-06F6-405C-97F3-6B21E08BF117}"/>
    <hyperlink ref="C244" r:id="rId21" xr:uid="{05EDDA96-C814-4D28-A5E5-2529B3CCF18B}"/>
    <hyperlink ref="C193" r:id="rId22" xr:uid="{354C15D7-174E-4B5D-B97A-0941B45853FF}"/>
    <hyperlink ref="C192" r:id="rId23" xr:uid="{E7851260-49F2-4119-9B79-C83E255FE94A}"/>
    <hyperlink ref="C190" r:id="rId24" xr:uid="{0C28368E-6271-48F2-BAF1-E037B2598E9C}"/>
    <hyperlink ref="C189" r:id="rId25" xr:uid="{8DEDB727-9DC1-4F41-8552-F39C876E310F}"/>
    <hyperlink ref="C188" r:id="rId26" xr:uid="{004152E3-E06F-46FD-96AD-BE6798FAEE9D}"/>
    <hyperlink ref="C187" r:id="rId27" xr:uid="{BCBB1710-EB12-4144-AFB0-99E07EE95414}"/>
    <hyperlink ref="C185" r:id="rId28" xr:uid="{EBCA1A28-0E68-402E-A437-ED977C3DE00D}"/>
    <hyperlink ref="C184" r:id="rId29" xr:uid="{E823A6D1-AEE2-4D62-869A-E36BF8B02EEB}"/>
    <hyperlink ref="C183" r:id="rId30" xr:uid="{CA06E046-F7CC-4A8D-BC21-ED848ED6E882}"/>
    <hyperlink ref="C249" r:id="rId31" xr:uid="{BE64C73B-DDD4-4856-BF8C-5D1722D02BA9}"/>
    <hyperlink ref="C179" r:id="rId32" xr:uid="{ECBF2031-F2FD-4642-947C-FFB1922D4215}"/>
    <hyperlink ref="C171" r:id="rId33" xr:uid="{FD30F6DF-95CA-4B9B-88FE-AE5288B769EB}"/>
    <hyperlink ref="C170" r:id="rId34" xr:uid="{164DC73F-D52A-42C7-8F08-797F2856278A}"/>
    <hyperlink ref="C169" r:id="rId35" xr:uid="{FAE1B561-66B4-4050-A0B1-73E5DE4D8758}"/>
    <hyperlink ref="C112" r:id="rId36" xr:uid="{EB847C7D-7BF0-44C6-8E7D-A224E2AD6382}"/>
    <hyperlink ref="C113" r:id="rId37" xr:uid="{0F6BD9F3-3282-45A8-9DBC-7BB9577180E1}"/>
    <hyperlink ref="C114" r:id="rId38" xr:uid="{A78CF5E8-DE36-448E-A5F0-D43E584A198C}"/>
    <hyperlink ref="C115" r:id="rId39" xr:uid="{6398C85F-6F88-4B53-8FB7-94BFB396A528}"/>
    <hyperlink ref="C116" r:id="rId40" xr:uid="{2BB2B96F-56D0-489E-AEA0-854BE42E4C11}"/>
    <hyperlink ref="C117" r:id="rId41" xr:uid="{3BEFB234-BF7D-4DAB-B134-C4A7839B12D9}"/>
    <hyperlink ref="C215" r:id="rId42" xr:uid="{07492609-5D57-466E-B35F-E7DCE483AE4F}"/>
    <hyperlink ref="C118" r:id="rId43" xr:uid="{4C62ECC2-11C4-490A-8722-C3C0D3D78DFF}"/>
    <hyperlink ref="C119" r:id="rId44" xr:uid="{116187D4-FA3A-4784-9A01-D0587793BF58}"/>
    <hyperlink ref="C120" r:id="rId45" xr:uid="{AE5735E5-F38C-48FA-B8F8-1F425874F055}"/>
    <hyperlink ref="C121" r:id="rId46" xr:uid="{9B7453F1-E020-4676-B86C-E366DB6EE525}"/>
    <hyperlink ref="C122" r:id="rId47" xr:uid="{ACB08625-E695-4153-B90D-ED10C030C9E4}"/>
    <hyperlink ref="C123" r:id="rId48" xr:uid="{BD9574F2-DDCD-42E0-8378-F9526C06D78C}"/>
    <hyperlink ref="C124" r:id="rId49" xr:uid="{20ED4D8A-DDBA-4AFE-A370-F84541464FEC}"/>
    <hyperlink ref="C168" r:id="rId50" xr:uid="{0A6B7F1E-A8D7-4289-8AA7-A48D577F37BE}"/>
    <hyperlink ref="C160" r:id="rId51" xr:uid="{408D7704-380A-4748-8D51-E56D8DD6D028}"/>
    <hyperlink ref="C161" r:id="rId52" xr:uid="{21D5DD2D-2540-4438-A92E-99B938DF97C1}"/>
    <hyperlink ref="C162" r:id="rId53" xr:uid="{8ABA7571-4F57-405B-8CB0-6731451691A1}"/>
    <hyperlink ref="C163" r:id="rId54" xr:uid="{5C95D67A-1D5A-4071-8EB8-60E6AF52A418}"/>
    <hyperlink ref="C164" r:id="rId55" xr:uid="{A9C1B23A-073E-4268-887B-0E7A9DA5F5BB}"/>
    <hyperlink ref="C165" r:id="rId56" xr:uid="{173DE4A7-9D26-4380-856B-AD3DE61B48D4}"/>
    <hyperlink ref="C166" r:id="rId57" xr:uid="{17C88C06-0251-498D-B108-0E4E9617B53D}"/>
    <hyperlink ref="C167" r:id="rId58" xr:uid="{FB50BE58-6E43-4808-BB36-1795FED44B23}"/>
    <hyperlink ref="C125" r:id="rId59" xr:uid="{2D7139DD-E69A-4E8F-A9E3-9BCA8AB6C041}"/>
    <hyperlink ref="C126" r:id="rId60" xr:uid="{E3A65169-7583-44EE-91A7-F059C91C1C54}"/>
    <hyperlink ref="C127" r:id="rId61" xr:uid="{B1813C02-7D1B-475D-9CD3-15726E5425B6}"/>
    <hyperlink ref="C128" r:id="rId62" xr:uid="{9CC6B464-8416-47E9-9890-FF35CAAAE96A}"/>
    <hyperlink ref="C129" r:id="rId63" xr:uid="{DB6C5F98-DE63-4A8B-8327-6739EC3A8E99}"/>
    <hyperlink ref="C130" r:id="rId64" xr:uid="{5A935160-4D92-4BB8-91B5-4A78FC6E1CAA}"/>
    <hyperlink ref="C131" r:id="rId65" xr:uid="{73A2546F-4D62-4E32-B6A0-6534F70E3536}"/>
    <hyperlink ref="C132" r:id="rId66" xr:uid="{A8F76567-A328-49B9-9B0D-A0BE26A63B2C}"/>
    <hyperlink ref="C133" r:id="rId67" xr:uid="{E7326DA3-36A9-4F75-9B69-BFDEC47C5ED2}"/>
    <hyperlink ref="C134" r:id="rId68" xr:uid="{38550F62-3C81-49E8-8966-F97A2A1A9627}"/>
    <hyperlink ref="C135" r:id="rId69" xr:uid="{8E952BF5-DBEB-4F1C-8596-3BF128B4228E}"/>
    <hyperlink ref="C188:C194" r:id="rId70" display="Lovelock Open Orders" xr:uid="{A4B26D74-48E1-42B4-BFBA-20271C7DE26D}"/>
    <hyperlink ref="C196:C207" r:id="rId71" display="Open Order Report" xr:uid="{12C133F9-4D6A-433E-9C37-AD0B216AA310}"/>
    <hyperlink ref="C210:C214" r:id="rId72" display="Pioneer WTX - Loaded Tons Update" xr:uid="{7393243D-8B47-4434-83CD-2F804341DD60}"/>
    <hyperlink ref="C297" r:id="rId73" xr:uid="{FE5D1A16-34B2-47E4-A23B-931173942721}"/>
    <hyperlink ref="C298" r:id="rId74" xr:uid="{3763D9F9-A290-421C-BFBA-2042FA1B59B7}"/>
    <hyperlink ref="C299" r:id="rId75" xr:uid="{D125F546-8F5E-4FF9-97C9-C0070AC87B7E}"/>
    <hyperlink ref="C300" r:id="rId76" xr:uid="{12062390-E436-4E3A-B053-D1A41E6939E8}"/>
    <hyperlink ref="C301" r:id="rId77" xr:uid="{925E3F5D-D8BB-4BE7-A75C-C38915DF2759}"/>
    <hyperlink ref="C302" r:id="rId78" xr:uid="{A695E8C4-F471-4409-BCD8-8DF6D3001935}"/>
    <hyperlink ref="C303" r:id="rId79" xr:uid="{D1FAAA4C-745E-4270-B194-5EF29536A9A1}"/>
    <hyperlink ref="C304" r:id="rId80" xr:uid="{2F1815FF-27C1-42ED-8485-45A22B483366}"/>
    <hyperlink ref="C305" r:id="rId81" xr:uid="{356B705B-4533-42B0-B6C6-7BFCD265EB39}"/>
    <hyperlink ref="C306" r:id="rId82" xr:uid="{A619284A-4BC4-4C47-9ACF-F91A6AC5A956}"/>
    <hyperlink ref="C307" r:id="rId83" xr:uid="{33831D30-2D2E-4435-8679-6B2039A52207}"/>
    <hyperlink ref="C308" r:id="rId84" xr:uid="{50389AB9-4771-4114-B131-B0AD5001CCE6}"/>
    <hyperlink ref="C309" r:id="rId85" xr:uid="{453D0C56-FFB0-428C-B4B1-1E0B07D604CB}"/>
    <hyperlink ref="C310" r:id="rId86" xr:uid="{0C5D7C49-FA3C-4A08-813F-B4B9F7E84654}"/>
    <hyperlink ref="C311" r:id="rId87" xr:uid="{7265BB8D-C498-4655-8B3D-FFFFED9EC227}"/>
    <hyperlink ref="C312" r:id="rId88" xr:uid="{05CCE08D-9DFC-4FD8-9A38-9BC2249CB79F}"/>
    <hyperlink ref="C313" r:id="rId89" xr:uid="{314FD154-14B7-498E-9D56-E4D0633D206E}"/>
    <hyperlink ref="C314" r:id="rId90" xr:uid="{CFF5E28D-10FD-40F6-8A7A-E4955A9ABE2E}"/>
    <hyperlink ref="C315" r:id="rId91" xr:uid="{C75734CF-8162-4075-AD5D-B8DB0ABE1886}"/>
    <hyperlink ref="C316" r:id="rId92" xr:uid="{525710A2-B86B-4AA7-B2C3-7C7A5345C359}"/>
    <hyperlink ref="C317" r:id="rId93" xr:uid="{54CDCEFA-F92C-4E73-8EAD-D6E503EDFF9E}"/>
    <hyperlink ref="C318" r:id="rId94" xr:uid="{6F006B5E-3D1C-4B86-8010-821DB71B848A}"/>
    <hyperlink ref="C284" r:id="rId95" xr:uid="{AB6E8D2A-470B-4A58-96FD-0B62BB5E1DD4}"/>
    <hyperlink ref="C285" r:id="rId96" xr:uid="{2C040ED6-5C26-4392-A18E-1883045E2ED1}"/>
    <hyperlink ref="C286" r:id="rId97" xr:uid="{495F9F3B-C7A9-4F51-B907-00496DDDF456}"/>
    <hyperlink ref="C287" r:id="rId98" xr:uid="{5A5A6E50-8DA6-4AAD-BA7A-D49C0BA675DB}"/>
    <hyperlink ref="C288" r:id="rId99" xr:uid="{2E98F8EB-48C4-4E16-9581-5349AB52FCA2}"/>
    <hyperlink ref="C289" r:id="rId100" xr:uid="{6F06D53F-7AF1-4C4E-BDCC-CE44811DC4E8}"/>
    <hyperlink ref="C290" r:id="rId101" xr:uid="{A76A492C-2755-442E-A657-C244E9AEACF8}"/>
    <hyperlink ref="C291" r:id="rId102" xr:uid="{81719AA9-6E88-4E2C-B1FD-7AFAD6C1E062}"/>
    <hyperlink ref="C292" r:id="rId103" xr:uid="{9EDAD1BB-5B63-4199-92CD-10926D47707C}"/>
    <hyperlink ref="C293" r:id="rId104" xr:uid="{F80DEA38-2B74-41B1-8FE0-C11B1E29233B}"/>
    <hyperlink ref="C294" r:id="rId105" xr:uid="{C5CDCA93-E08A-4EEE-949E-462F3AB248E9}"/>
  </hyperlinks>
  <pageMargins left="0.7" right="0.7" top="0.75" bottom="0.75" header="0.3" footer="0.3"/>
  <pageSetup orientation="portrait" r:id="rId106"/>
  <tableParts count="1">
    <tablePart r:id="rId107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FFCE5A-BE0F-48AB-A883-676447C9802E}">
          <x14:formula1>
            <xm:f>Helper!$A$2:$A$11</xm:f>
          </x14:formula1>
          <xm:sqref>K17:K27 K55 K62 K91:K96 K29:K36 K38:K40 K174 K53 K42:K43 K64:K65 K67:K76 K78:K87 K98:K115 K160:K161 K129:K140 K121 K126 K195 K304:K308 K301:K302 K142:K153 K275 K271 K266:K269 K259 K261 K227:K242 K156:K158 K208:K209 K2:K15 K57:K60 K46:K51 K282:K293 K280 K296:K299 K323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87E21-3C78-481B-8D6F-657B6237113A}">
  <sheetPr>
    <tabColor theme="4"/>
  </sheetPr>
  <dimension ref="A1:AU61"/>
  <sheetViews>
    <sheetView workbookViewId="0">
      <selection activeCell="A26" sqref="A26"/>
    </sheetView>
  </sheetViews>
  <sheetFormatPr defaultRowHeight="15"/>
  <cols>
    <col min="1" max="1" width="30.85546875" customWidth="1"/>
    <col min="2" max="2" width="12" style="5" bestFit="1" customWidth="1"/>
    <col min="3" max="4" width="12" style="5" customWidth="1"/>
    <col min="5" max="5" width="5.28515625" style="5" bestFit="1" customWidth="1"/>
    <col min="6" max="6" width="6.140625" bestFit="1" customWidth="1"/>
    <col min="7" max="7" width="5.28515625" bestFit="1" customWidth="1"/>
    <col min="8" max="11" width="5.28515625" style="5" bestFit="1" customWidth="1"/>
    <col min="12" max="13" width="6.140625" style="5" bestFit="1" customWidth="1"/>
    <col min="14" max="15" width="5.28515625" style="5" bestFit="1" customWidth="1"/>
    <col min="16" max="16" width="5.28515625" bestFit="1" customWidth="1"/>
    <col min="17" max="18" width="5.28515625" style="5" bestFit="1" customWidth="1"/>
    <col min="19" max="19" width="5.28515625" bestFit="1" customWidth="1"/>
    <col min="20" max="20" width="5.28515625" style="5" bestFit="1" customWidth="1"/>
    <col min="21" max="22" width="5.28515625" bestFit="1" customWidth="1"/>
    <col min="23" max="23" width="7.85546875" bestFit="1" customWidth="1"/>
    <col min="24" max="24" width="5.28515625" bestFit="1" customWidth="1"/>
    <col min="25" max="25" width="6.140625" bestFit="1" customWidth="1"/>
    <col min="26" max="26" width="7.85546875" bestFit="1" customWidth="1"/>
    <col min="27" max="28" width="8" bestFit="1" customWidth="1"/>
    <col min="29" max="29" width="6.28515625" bestFit="1" customWidth="1"/>
    <col min="30" max="30" width="7.7109375" bestFit="1" customWidth="1"/>
    <col min="31" max="32" width="5.28515625" style="5" bestFit="1" customWidth="1"/>
    <col min="33" max="33" width="6.140625" bestFit="1" customWidth="1"/>
    <col min="34" max="35" width="6.28515625" bestFit="1" customWidth="1"/>
    <col min="36" max="39" width="5.28515625" bestFit="1" customWidth="1"/>
    <col min="40" max="40" width="5.5703125" bestFit="1" customWidth="1"/>
    <col min="41" max="42" width="6" bestFit="1" customWidth="1"/>
    <col min="43" max="46" width="5.28515625" bestFit="1" customWidth="1"/>
    <col min="49" max="49" width="9.7109375" customWidth="1"/>
  </cols>
  <sheetData>
    <row r="1" spans="1:46">
      <c r="A1" s="116" t="s">
        <v>1299</v>
      </c>
      <c r="B1" s="116" t="s">
        <v>1381</v>
      </c>
      <c r="C1" s="116"/>
      <c r="D1" s="116"/>
      <c r="E1" s="121" t="s">
        <v>509</v>
      </c>
      <c r="F1" s="121" t="s">
        <v>521</v>
      </c>
      <c r="G1" s="121" t="s">
        <v>704</v>
      </c>
      <c r="H1" s="121" t="s">
        <v>515</v>
      </c>
      <c r="I1" s="121" t="s">
        <v>499</v>
      </c>
      <c r="J1" s="121" t="s">
        <v>503</v>
      </c>
      <c r="K1" s="121" t="s">
        <v>525</v>
      </c>
      <c r="L1" s="121" t="s">
        <v>529</v>
      </c>
      <c r="M1" s="121" t="s">
        <v>535</v>
      </c>
      <c r="N1" s="121" t="s">
        <v>700</v>
      </c>
      <c r="O1" s="121" t="s">
        <v>613</v>
      </c>
      <c r="P1" s="122" t="s">
        <v>421</v>
      </c>
      <c r="Q1" s="121" t="s">
        <v>476</v>
      </c>
      <c r="R1" s="121" t="s">
        <v>1382</v>
      </c>
      <c r="S1" s="121" t="s">
        <v>716</v>
      </c>
      <c r="T1" s="121" t="s">
        <v>625</v>
      </c>
      <c r="U1" s="121" t="s">
        <v>1383</v>
      </c>
      <c r="V1" s="121" t="s">
        <v>725</v>
      </c>
      <c r="W1" s="121" t="s">
        <v>1384</v>
      </c>
      <c r="X1" s="121" t="s">
        <v>580</v>
      </c>
      <c r="Y1" s="121" t="s">
        <v>834</v>
      </c>
      <c r="Z1" s="121" t="s">
        <v>1385</v>
      </c>
      <c r="AA1" s="121" t="s">
        <v>696</v>
      </c>
      <c r="AB1" s="121" t="s">
        <v>683</v>
      </c>
      <c r="AC1" s="122" t="s">
        <v>586</v>
      </c>
      <c r="AD1" s="121" t="s">
        <v>629</v>
      </c>
      <c r="AE1" s="121" t="s">
        <v>736</v>
      </c>
      <c r="AF1" s="121" t="s">
        <v>675</v>
      </c>
      <c r="AG1" s="121" t="s">
        <v>574</v>
      </c>
      <c r="AH1" s="121" t="s">
        <v>661</v>
      </c>
      <c r="AI1" s="121" t="s">
        <v>591</v>
      </c>
      <c r="AJ1" s="121" t="s">
        <v>665</v>
      </c>
      <c r="AK1" s="121" t="s">
        <v>665</v>
      </c>
      <c r="AL1" s="121" t="s">
        <v>709</v>
      </c>
      <c r="AM1" s="121" t="s">
        <v>1386</v>
      </c>
      <c r="AN1" s="121" t="s">
        <v>1387</v>
      </c>
      <c r="AO1" s="121" t="s">
        <v>649</v>
      </c>
      <c r="AP1" s="121" t="s">
        <v>649</v>
      </c>
      <c r="AQ1" s="121" t="s">
        <v>789</v>
      </c>
      <c r="AR1" s="121" t="s">
        <v>740</v>
      </c>
      <c r="AS1" s="121" t="s">
        <v>746</v>
      </c>
      <c r="AT1" s="121" t="s">
        <v>709</v>
      </c>
    </row>
    <row r="2" spans="1:46">
      <c r="A2" s="131" t="s">
        <v>1300</v>
      </c>
      <c r="B2" s="132" t="s">
        <v>608</v>
      </c>
      <c r="C2" s="132"/>
      <c r="D2" s="132"/>
      <c r="E2" s="132" t="s">
        <v>1388</v>
      </c>
      <c r="F2" s="131" t="s">
        <v>1388</v>
      </c>
      <c r="G2" s="131" t="s">
        <v>1388</v>
      </c>
      <c r="H2" s="132" t="s">
        <v>1388</v>
      </c>
      <c r="I2" s="132" t="s">
        <v>1388</v>
      </c>
      <c r="J2" s="132"/>
      <c r="K2" s="132" t="s">
        <v>1388</v>
      </c>
      <c r="L2" s="132" t="s">
        <v>1388</v>
      </c>
      <c r="M2" s="132" t="s">
        <v>1388</v>
      </c>
      <c r="N2" s="132"/>
      <c r="O2" s="132"/>
      <c r="P2" s="131"/>
      <c r="Q2" s="132" t="s">
        <v>1388</v>
      </c>
      <c r="R2" s="132"/>
      <c r="S2" s="131"/>
      <c r="T2" s="132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2"/>
      <c r="AF2" s="132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</row>
    <row r="3" spans="1:46">
      <c r="A3" s="131" t="s">
        <v>1334</v>
      </c>
      <c r="B3" s="132" t="s">
        <v>608</v>
      </c>
      <c r="C3" s="132"/>
      <c r="D3" s="132"/>
      <c r="E3" s="132" t="s">
        <v>1388</v>
      </c>
      <c r="F3" s="131" t="s">
        <v>1388</v>
      </c>
      <c r="G3" s="131" t="s">
        <v>1388</v>
      </c>
      <c r="H3" s="132" t="s">
        <v>1388</v>
      </c>
      <c r="I3" s="132" t="s">
        <v>1388</v>
      </c>
      <c r="J3" s="132"/>
      <c r="K3" s="132" t="s">
        <v>1388</v>
      </c>
      <c r="L3" s="132" t="s">
        <v>1388</v>
      </c>
      <c r="M3" s="132" t="s">
        <v>1388</v>
      </c>
      <c r="N3" s="132"/>
      <c r="O3" s="132"/>
      <c r="P3" s="131"/>
      <c r="Q3" s="132" t="s">
        <v>1388</v>
      </c>
      <c r="R3" s="132"/>
      <c r="S3" s="131"/>
      <c r="T3" s="132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2"/>
      <c r="AF3" s="132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  <c r="AR3" s="131"/>
      <c r="AS3" s="131"/>
      <c r="AT3" s="131"/>
    </row>
    <row r="4" spans="1:46">
      <c r="A4" s="133" t="s">
        <v>1323</v>
      </c>
      <c r="B4" s="134" t="s">
        <v>448</v>
      </c>
      <c r="C4" s="134"/>
      <c r="D4" s="134"/>
      <c r="E4" s="134" t="s">
        <v>1388</v>
      </c>
      <c r="F4" s="133" t="s">
        <v>1388</v>
      </c>
      <c r="G4" s="134" t="s">
        <v>1388</v>
      </c>
      <c r="H4" s="134" t="s">
        <v>1388</v>
      </c>
      <c r="I4" s="134" t="s">
        <v>1388</v>
      </c>
      <c r="J4" s="134" t="s">
        <v>1388</v>
      </c>
      <c r="K4" s="134" t="s">
        <v>1388</v>
      </c>
      <c r="L4" s="134" t="s">
        <v>1388</v>
      </c>
      <c r="M4" s="134" t="s">
        <v>1388</v>
      </c>
      <c r="N4" s="134"/>
      <c r="O4" s="134"/>
      <c r="P4" s="134"/>
      <c r="Q4" s="134" t="s">
        <v>1388</v>
      </c>
      <c r="R4" s="134"/>
      <c r="S4" s="133"/>
      <c r="T4" s="134"/>
      <c r="U4" s="133"/>
      <c r="V4" s="133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3"/>
      <c r="AH4" s="133"/>
      <c r="AI4" s="133"/>
      <c r="AJ4" s="133"/>
      <c r="AK4" s="133"/>
      <c r="AL4" s="133"/>
      <c r="AM4" s="133"/>
      <c r="AN4" s="134"/>
      <c r="AO4" s="134"/>
      <c r="AP4" s="134"/>
      <c r="AQ4" s="134"/>
      <c r="AR4" s="134"/>
      <c r="AS4" s="134"/>
      <c r="AT4" s="134"/>
    </row>
    <row r="5" spans="1:46">
      <c r="A5" s="135" t="s">
        <v>1305</v>
      </c>
      <c r="B5" s="136" t="s">
        <v>436</v>
      </c>
      <c r="C5" s="136"/>
      <c r="D5" s="136"/>
      <c r="E5" s="136" t="s">
        <v>1388</v>
      </c>
      <c r="F5" s="135" t="s">
        <v>1388</v>
      </c>
      <c r="G5" s="136" t="s">
        <v>1388</v>
      </c>
      <c r="H5" s="136" t="s">
        <v>1388</v>
      </c>
      <c r="I5" s="136" t="s">
        <v>1388</v>
      </c>
      <c r="J5" s="136" t="s">
        <v>1388</v>
      </c>
      <c r="K5" s="136" t="s">
        <v>1388</v>
      </c>
      <c r="L5" s="136" t="s">
        <v>1388</v>
      </c>
      <c r="M5" s="136" t="s">
        <v>1388</v>
      </c>
      <c r="N5" s="136"/>
      <c r="O5" s="136"/>
      <c r="P5" s="135"/>
      <c r="Q5" s="136" t="s">
        <v>1388</v>
      </c>
      <c r="R5" s="136"/>
      <c r="S5" s="135"/>
      <c r="T5" s="136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6" t="s">
        <v>1388</v>
      </c>
      <c r="AF5" s="136"/>
      <c r="AG5" s="135"/>
      <c r="AH5" s="135"/>
      <c r="AI5" s="135"/>
      <c r="AJ5" s="135"/>
      <c r="AK5" s="135"/>
      <c r="AL5" s="135"/>
      <c r="AM5" s="135"/>
      <c r="AN5" s="135"/>
      <c r="AO5" s="135"/>
      <c r="AP5" s="135"/>
      <c r="AQ5" s="135"/>
      <c r="AR5" s="135"/>
      <c r="AS5" s="135"/>
      <c r="AT5" s="135"/>
    </row>
    <row r="6" spans="1:46">
      <c r="A6" s="135" t="s">
        <v>1336</v>
      </c>
      <c r="B6" s="136" t="s">
        <v>436</v>
      </c>
      <c r="C6" s="136"/>
      <c r="D6" s="136"/>
      <c r="E6" s="136"/>
      <c r="F6" s="135" t="s">
        <v>1388</v>
      </c>
      <c r="G6" s="136" t="s">
        <v>1388</v>
      </c>
      <c r="H6" s="136" t="s">
        <v>1388</v>
      </c>
      <c r="I6" s="136" t="s">
        <v>1388</v>
      </c>
      <c r="J6" s="136" t="s">
        <v>1388</v>
      </c>
      <c r="K6" s="136" t="s">
        <v>1388</v>
      </c>
      <c r="L6" s="136" t="s">
        <v>1388</v>
      </c>
      <c r="M6" s="136" t="s">
        <v>1388</v>
      </c>
      <c r="N6" s="136"/>
      <c r="O6" s="136"/>
      <c r="P6" s="136"/>
      <c r="Q6" s="136" t="s">
        <v>1388</v>
      </c>
      <c r="R6" s="136"/>
      <c r="S6" s="136"/>
      <c r="T6" s="136" t="s">
        <v>1388</v>
      </c>
      <c r="U6" s="135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 t="s">
        <v>1388</v>
      </c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</row>
    <row r="7" spans="1:46">
      <c r="A7" s="137" t="s">
        <v>1306</v>
      </c>
      <c r="B7" s="138" t="s">
        <v>597</v>
      </c>
      <c r="C7" s="138"/>
      <c r="D7" s="138"/>
      <c r="E7" s="138" t="s">
        <v>1388</v>
      </c>
      <c r="F7" s="138" t="s">
        <v>1388</v>
      </c>
      <c r="G7" s="138" t="s">
        <v>1388</v>
      </c>
      <c r="H7" s="138" t="s">
        <v>1388</v>
      </c>
      <c r="I7" s="138" t="s">
        <v>1388</v>
      </c>
      <c r="J7" s="138" t="s">
        <v>1388</v>
      </c>
      <c r="K7" s="138" t="s">
        <v>1388</v>
      </c>
      <c r="L7" s="138" t="s">
        <v>1388</v>
      </c>
      <c r="M7" s="138" t="s">
        <v>1388</v>
      </c>
      <c r="N7" s="138"/>
      <c r="O7" s="138"/>
      <c r="P7" s="139"/>
      <c r="Q7" s="138"/>
      <c r="R7" s="138"/>
      <c r="S7" s="139"/>
      <c r="T7" s="138"/>
      <c r="U7" s="138" t="s">
        <v>1388</v>
      </c>
      <c r="V7" s="139"/>
      <c r="W7" s="139"/>
      <c r="X7" s="139"/>
      <c r="Y7" s="139"/>
      <c r="Z7" s="139"/>
      <c r="AA7" s="139"/>
      <c r="AB7" s="139"/>
      <c r="AC7" s="139"/>
      <c r="AD7" s="139"/>
      <c r="AE7" s="138"/>
      <c r="AF7" s="138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39"/>
    </row>
    <row r="8" spans="1:46">
      <c r="A8" s="137" t="s">
        <v>1309</v>
      </c>
      <c r="B8" s="138" t="s">
        <v>597</v>
      </c>
      <c r="C8" s="138"/>
      <c r="D8" s="138"/>
      <c r="E8" s="138" t="s">
        <v>1388</v>
      </c>
      <c r="F8" s="137" t="s">
        <v>1388</v>
      </c>
      <c r="G8" s="138" t="s">
        <v>1388</v>
      </c>
      <c r="H8" s="138" t="s">
        <v>1388</v>
      </c>
      <c r="I8" s="138" t="s">
        <v>1388</v>
      </c>
      <c r="J8" s="138" t="s">
        <v>1388</v>
      </c>
      <c r="K8" s="138" t="s">
        <v>1388</v>
      </c>
      <c r="L8" s="138" t="s">
        <v>1388</v>
      </c>
      <c r="M8" s="138" t="s">
        <v>1388</v>
      </c>
      <c r="N8" s="138"/>
      <c r="O8" s="138"/>
      <c r="P8" s="137"/>
      <c r="Q8" s="138"/>
      <c r="R8" s="138"/>
      <c r="S8" s="137"/>
      <c r="T8" s="138" t="s">
        <v>1388</v>
      </c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8"/>
      <c r="AF8" s="138" t="s">
        <v>1388</v>
      </c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</row>
    <row r="9" spans="1:46">
      <c r="A9" s="137" t="s">
        <v>1316</v>
      </c>
      <c r="B9" s="138" t="s">
        <v>597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 t="s">
        <v>1388</v>
      </c>
      <c r="Q9" s="138"/>
      <c r="R9" s="138"/>
      <c r="S9" s="138"/>
      <c r="T9" s="138"/>
      <c r="U9" s="137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</row>
    <row r="10" spans="1:46">
      <c r="A10" s="140" t="s">
        <v>1304</v>
      </c>
      <c r="B10" s="141" t="s">
        <v>586</v>
      </c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0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0"/>
      <c r="AH10" s="141" t="s">
        <v>1388</v>
      </c>
      <c r="AI10" s="141" t="s">
        <v>1388</v>
      </c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</row>
    <row r="11" spans="1:46">
      <c r="A11" s="142" t="s">
        <v>1301</v>
      </c>
      <c r="B11" s="143" t="s">
        <v>421</v>
      </c>
      <c r="C11" s="143"/>
      <c r="D11" s="143"/>
      <c r="E11" s="143" t="s">
        <v>1388</v>
      </c>
      <c r="F11" s="143"/>
      <c r="G11" s="143"/>
      <c r="H11" s="143"/>
      <c r="I11" s="143"/>
      <c r="J11" s="143" t="s">
        <v>1388</v>
      </c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2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2"/>
      <c r="AH11" s="142"/>
      <c r="AI11" s="142"/>
      <c r="AJ11" s="143" t="s">
        <v>1388</v>
      </c>
      <c r="AK11" s="143" t="s">
        <v>1388</v>
      </c>
      <c r="AL11" s="143"/>
      <c r="AM11" s="143"/>
      <c r="AN11" s="143"/>
      <c r="AO11" s="143"/>
      <c r="AP11" s="143"/>
      <c r="AQ11" s="143"/>
      <c r="AR11" s="143"/>
      <c r="AS11" s="143"/>
      <c r="AT11" s="143"/>
    </row>
    <row r="12" spans="1:46">
      <c r="A12" s="142" t="s">
        <v>1314</v>
      </c>
      <c r="B12" s="143" t="s">
        <v>574</v>
      </c>
      <c r="C12" s="143"/>
      <c r="D12" s="143"/>
      <c r="E12" s="143"/>
      <c r="F12" s="142"/>
      <c r="G12" s="142"/>
      <c r="H12" s="143"/>
      <c r="I12" s="143"/>
      <c r="J12" s="143" t="s">
        <v>1388</v>
      </c>
      <c r="K12" s="143"/>
      <c r="L12" s="143"/>
      <c r="M12" s="143"/>
      <c r="N12" s="143"/>
      <c r="O12" s="143"/>
      <c r="P12" s="142"/>
      <c r="Q12" s="143"/>
      <c r="R12" s="143"/>
      <c r="S12" s="142"/>
      <c r="T12" s="143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3"/>
      <c r="AF12" s="143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</row>
    <row r="13" spans="1:46">
      <c r="A13" s="142" t="s">
        <v>1302</v>
      </c>
      <c r="B13" s="143" t="s">
        <v>679</v>
      </c>
      <c r="C13" s="143"/>
      <c r="D13" s="143"/>
      <c r="E13" s="143"/>
      <c r="F13" s="142"/>
      <c r="G13" s="142"/>
      <c r="H13" s="143"/>
      <c r="I13" s="143"/>
      <c r="J13" s="143"/>
      <c r="K13" s="143" t="s">
        <v>1388</v>
      </c>
      <c r="L13" s="143"/>
      <c r="M13" s="143"/>
      <c r="N13" s="143" t="s">
        <v>1388</v>
      </c>
      <c r="O13" s="143"/>
      <c r="P13" s="142"/>
      <c r="Q13" s="143"/>
      <c r="R13" s="143"/>
      <c r="S13" s="143" t="s">
        <v>1388</v>
      </c>
      <c r="T13" s="143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3"/>
      <c r="AF13" s="143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</row>
    <row r="14" spans="1:46">
      <c r="A14" s="144" t="s">
        <v>1327</v>
      </c>
      <c r="B14" s="145" t="s">
        <v>679</v>
      </c>
      <c r="C14" s="145"/>
      <c r="D14" s="145"/>
      <c r="E14" s="145"/>
      <c r="F14" s="144"/>
      <c r="G14" s="144"/>
      <c r="H14" s="145"/>
      <c r="I14" s="145"/>
      <c r="J14" s="145"/>
      <c r="K14" s="145" t="s">
        <v>1388</v>
      </c>
      <c r="L14" s="145"/>
      <c r="M14" s="145"/>
      <c r="N14" s="145" t="s">
        <v>1388</v>
      </c>
      <c r="O14" s="145"/>
      <c r="P14" s="144"/>
      <c r="Q14" s="145"/>
      <c r="R14" s="145"/>
      <c r="S14" s="145" t="s">
        <v>1388</v>
      </c>
      <c r="T14" s="145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5"/>
      <c r="AF14" s="145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</row>
    <row r="15" spans="1:46" ht="30">
      <c r="A15" s="144" t="s">
        <v>1326</v>
      </c>
      <c r="B15" s="145" t="s">
        <v>568</v>
      </c>
      <c r="C15" s="145"/>
      <c r="D15" s="145"/>
      <c r="E15" s="145"/>
      <c r="F15" s="145"/>
      <c r="G15" s="145"/>
      <c r="H15" s="145"/>
      <c r="I15" s="145"/>
      <c r="J15" s="145"/>
      <c r="K15" s="145"/>
      <c r="L15" s="145" t="s">
        <v>1388</v>
      </c>
      <c r="M15" s="145" t="s">
        <v>1388</v>
      </c>
      <c r="N15" s="145" t="s">
        <v>1388</v>
      </c>
      <c r="O15" s="145"/>
      <c r="P15" s="145"/>
      <c r="Q15" s="145"/>
      <c r="R15" s="145"/>
      <c r="S15" s="144"/>
      <c r="T15" s="145"/>
      <c r="U15" s="144"/>
      <c r="V15" s="145" t="s">
        <v>1388</v>
      </c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4"/>
      <c r="AH15" s="144"/>
      <c r="AI15" s="144"/>
      <c r="AJ15" s="144"/>
      <c r="AK15" s="144"/>
      <c r="AL15" s="144"/>
      <c r="AM15" s="145"/>
      <c r="AN15" s="145"/>
      <c r="AO15" s="145"/>
      <c r="AP15" s="145"/>
      <c r="AQ15" s="145"/>
      <c r="AR15" s="145"/>
      <c r="AS15" s="145"/>
      <c r="AT15" s="145"/>
    </row>
    <row r="16" spans="1:46" ht="30">
      <c r="A16" s="144" t="s">
        <v>1312</v>
      </c>
      <c r="B16" s="145" t="s">
        <v>730</v>
      </c>
      <c r="C16" s="145"/>
      <c r="D16" s="145"/>
      <c r="E16" s="145"/>
      <c r="F16" s="144"/>
      <c r="G16" s="144"/>
      <c r="H16" s="145"/>
      <c r="I16" s="145"/>
      <c r="J16" s="145"/>
      <c r="K16" s="145" t="s">
        <v>1388</v>
      </c>
      <c r="L16" s="145"/>
      <c r="M16" s="145"/>
      <c r="N16" s="145" t="s">
        <v>1388</v>
      </c>
      <c r="O16" s="145"/>
      <c r="P16" s="144"/>
      <c r="Q16" s="145"/>
      <c r="R16" s="145"/>
      <c r="S16" s="144"/>
      <c r="T16" s="145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5"/>
      <c r="AF16" s="145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</row>
    <row r="17" spans="1:46">
      <c r="A17" s="149" t="s">
        <v>1321</v>
      </c>
      <c r="B17" s="150" t="s">
        <v>525</v>
      </c>
      <c r="C17" s="150"/>
      <c r="D17" s="150"/>
      <c r="E17" s="150"/>
      <c r="F17" s="149"/>
      <c r="G17" s="149"/>
      <c r="H17" s="150"/>
      <c r="I17" s="150"/>
      <c r="J17" s="150"/>
      <c r="K17" s="150" t="s">
        <v>1388</v>
      </c>
      <c r="L17" s="150" t="s">
        <v>1388</v>
      </c>
      <c r="M17" s="150" t="s">
        <v>1388</v>
      </c>
      <c r="N17" s="150" t="s">
        <v>1388</v>
      </c>
      <c r="O17" s="150"/>
      <c r="P17" s="149"/>
      <c r="Q17" s="150"/>
      <c r="R17" s="150"/>
      <c r="S17" s="149"/>
      <c r="T17" s="150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50"/>
      <c r="AF17" s="150"/>
      <c r="AG17" s="149"/>
      <c r="AH17" s="149"/>
      <c r="AI17" s="149"/>
      <c r="AJ17" s="149"/>
      <c r="AK17" s="149"/>
      <c r="AL17" s="149"/>
      <c r="AM17" s="150" t="s">
        <v>1388</v>
      </c>
      <c r="AN17" s="149"/>
      <c r="AO17" s="149"/>
      <c r="AP17" s="149"/>
      <c r="AQ17" s="149"/>
      <c r="AR17" s="149"/>
      <c r="AS17" s="149"/>
      <c r="AT17" s="149"/>
    </row>
    <row r="18" spans="1:46">
      <c r="A18" s="149" t="s">
        <v>1311</v>
      </c>
      <c r="B18" s="150" t="s">
        <v>509</v>
      </c>
      <c r="C18" s="150"/>
      <c r="D18" s="150"/>
      <c r="E18" s="150" t="s">
        <v>1388</v>
      </c>
      <c r="F18" s="150" t="s">
        <v>1388</v>
      </c>
      <c r="G18" s="150" t="s">
        <v>1388</v>
      </c>
      <c r="H18" s="150" t="s">
        <v>1388</v>
      </c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 t="s">
        <v>1388</v>
      </c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 t="s">
        <v>1388</v>
      </c>
      <c r="AO18" s="150"/>
      <c r="AP18" s="150"/>
      <c r="AQ18" s="150"/>
      <c r="AR18" s="150"/>
      <c r="AS18" s="150"/>
      <c r="AT18" s="150"/>
    </row>
    <row r="19" spans="1:46">
      <c r="A19" s="149" t="s">
        <v>1308</v>
      </c>
      <c r="B19" s="150" t="s">
        <v>653</v>
      </c>
      <c r="C19" s="150"/>
      <c r="D19" s="150"/>
      <c r="E19" s="150" t="s">
        <v>1388</v>
      </c>
      <c r="F19" s="150"/>
      <c r="G19" s="150"/>
      <c r="H19" s="150"/>
      <c r="I19" s="150"/>
      <c r="J19" s="150"/>
      <c r="K19" s="150"/>
      <c r="L19" s="150" t="s">
        <v>1388</v>
      </c>
      <c r="M19" s="150" t="s">
        <v>1388</v>
      </c>
      <c r="N19" s="150"/>
      <c r="O19" s="150"/>
      <c r="P19" s="150"/>
      <c r="Q19" s="150"/>
      <c r="R19" s="150" t="s">
        <v>1388</v>
      </c>
      <c r="S19" s="149"/>
      <c r="T19" s="150"/>
      <c r="U19" s="149"/>
      <c r="V19" s="150" t="s">
        <v>1388</v>
      </c>
      <c r="W19" s="150" t="s">
        <v>1388</v>
      </c>
      <c r="X19" s="150"/>
      <c r="Y19" s="150"/>
      <c r="Z19" s="150"/>
      <c r="AA19" s="150"/>
      <c r="AB19" s="150"/>
      <c r="AC19" s="150"/>
      <c r="AD19" s="150"/>
      <c r="AE19" s="150"/>
      <c r="AF19" s="150"/>
      <c r="AG19" s="149"/>
      <c r="AH19" s="149"/>
      <c r="AI19" s="149"/>
      <c r="AJ19" s="149"/>
      <c r="AK19" s="149"/>
      <c r="AL19" s="149"/>
      <c r="AM19" s="150"/>
      <c r="AN19" s="150"/>
      <c r="AO19" s="150" t="s">
        <v>1388</v>
      </c>
      <c r="AP19" s="150" t="s">
        <v>1388</v>
      </c>
      <c r="AQ19" s="150"/>
      <c r="AR19" s="150"/>
      <c r="AS19" s="150"/>
      <c r="AT19" s="150"/>
    </row>
    <row r="20" spans="1:46">
      <c r="A20" s="119" t="s">
        <v>1303</v>
      </c>
      <c r="B20" s="120" t="s">
        <v>485</v>
      </c>
      <c r="C20" s="120"/>
      <c r="D20" s="120"/>
      <c r="E20" s="120" t="s">
        <v>1388</v>
      </c>
      <c r="F20" s="120" t="s">
        <v>1388</v>
      </c>
      <c r="G20" s="120" t="s">
        <v>1388</v>
      </c>
      <c r="H20" s="120" t="s">
        <v>1388</v>
      </c>
      <c r="I20" s="120" t="s">
        <v>1388</v>
      </c>
      <c r="J20" s="120" t="s">
        <v>1388</v>
      </c>
      <c r="K20" s="120" t="s">
        <v>1388</v>
      </c>
      <c r="L20" s="120" t="s">
        <v>1388</v>
      </c>
      <c r="M20" s="120" t="s">
        <v>1388</v>
      </c>
      <c r="N20" s="120"/>
      <c r="O20" s="120" t="s">
        <v>1388</v>
      </c>
      <c r="P20" s="119"/>
      <c r="Q20" s="120"/>
      <c r="R20" s="120" t="s">
        <v>1388</v>
      </c>
      <c r="S20" s="119"/>
      <c r="T20" s="120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20"/>
      <c r="AF20" s="120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</row>
    <row r="21" spans="1:46">
      <c r="A21" s="119" t="s">
        <v>1331</v>
      </c>
      <c r="B21" s="120" t="s">
        <v>485</v>
      </c>
      <c r="C21" s="120"/>
      <c r="D21" s="120"/>
      <c r="E21" s="120" t="s">
        <v>1388</v>
      </c>
      <c r="F21" s="120" t="s">
        <v>1388</v>
      </c>
      <c r="G21" s="120" t="s">
        <v>1388</v>
      </c>
      <c r="H21" s="120" t="s">
        <v>1388</v>
      </c>
      <c r="I21" s="120" t="s">
        <v>1388</v>
      </c>
      <c r="J21" s="120" t="s">
        <v>1388</v>
      </c>
      <c r="K21" s="120"/>
      <c r="L21" s="120"/>
      <c r="M21" s="120"/>
      <c r="N21" s="120"/>
      <c r="O21" s="120" t="s">
        <v>1388</v>
      </c>
      <c r="P21" s="119"/>
      <c r="Q21" s="120"/>
      <c r="R21" s="120"/>
      <c r="S21" s="119"/>
      <c r="T21" s="120"/>
      <c r="U21" s="119"/>
      <c r="V21" s="119"/>
      <c r="W21" s="120" t="s">
        <v>1388</v>
      </c>
      <c r="X21" s="119"/>
      <c r="Y21" s="119"/>
      <c r="Z21" s="119"/>
      <c r="AA21" s="119"/>
      <c r="AB21" s="119"/>
      <c r="AC21" s="119"/>
      <c r="AD21" s="119"/>
      <c r="AE21" s="120"/>
      <c r="AF21" s="120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</row>
    <row r="22" spans="1:46">
      <c r="A22" s="119" t="s">
        <v>1324</v>
      </c>
      <c r="B22" s="120" t="s">
        <v>485</v>
      </c>
      <c r="C22" s="120"/>
      <c r="D22" s="120"/>
      <c r="E22" s="120" t="s">
        <v>1388</v>
      </c>
      <c r="F22" s="120" t="s">
        <v>1388</v>
      </c>
      <c r="G22" s="120" t="s">
        <v>1388</v>
      </c>
      <c r="H22" s="120" t="s">
        <v>1388</v>
      </c>
      <c r="I22" s="120"/>
      <c r="J22" s="120"/>
      <c r="K22" s="120"/>
      <c r="L22" s="120"/>
      <c r="M22" s="120"/>
      <c r="N22" s="120"/>
      <c r="O22" s="120"/>
      <c r="P22" s="119"/>
      <c r="Q22" s="120"/>
      <c r="R22" s="120"/>
      <c r="S22" s="119"/>
      <c r="T22" s="120"/>
      <c r="U22" s="119"/>
      <c r="V22" s="119"/>
      <c r="W22" s="119"/>
      <c r="X22" s="120" t="s">
        <v>1388</v>
      </c>
      <c r="Y22" s="120" t="s">
        <v>1388</v>
      </c>
      <c r="Z22" s="119"/>
      <c r="AA22" s="119"/>
      <c r="AB22" s="119"/>
      <c r="AC22" s="119"/>
      <c r="AD22" s="119"/>
      <c r="AE22" s="120"/>
      <c r="AF22" s="120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</row>
    <row r="23" spans="1:46">
      <c r="A23" s="119" t="s">
        <v>1328</v>
      </c>
      <c r="B23" s="120" t="s">
        <v>485</v>
      </c>
      <c r="C23" s="120"/>
      <c r="D23" s="120"/>
      <c r="E23" s="120" t="s">
        <v>1388</v>
      </c>
      <c r="F23" s="120" t="s">
        <v>1388</v>
      </c>
      <c r="G23" s="120" t="s">
        <v>1388</v>
      </c>
      <c r="H23" s="120" t="s">
        <v>1388</v>
      </c>
      <c r="I23" s="120" t="s">
        <v>1388</v>
      </c>
      <c r="J23" s="120"/>
      <c r="K23" s="120"/>
      <c r="L23" s="120"/>
      <c r="M23" s="120"/>
      <c r="N23" s="120"/>
      <c r="O23" s="120"/>
      <c r="P23" s="119"/>
      <c r="Q23" s="120"/>
      <c r="R23" s="120"/>
      <c r="S23" s="119"/>
      <c r="T23" s="120"/>
      <c r="U23" s="119"/>
      <c r="V23" s="119"/>
      <c r="W23" s="119"/>
      <c r="X23" s="119"/>
      <c r="Y23" s="119"/>
      <c r="Z23" s="119"/>
      <c r="AA23" s="119"/>
      <c r="AB23" s="119"/>
      <c r="AC23" s="120" t="s">
        <v>1388</v>
      </c>
      <c r="AD23" s="119"/>
      <c r="AE23" s="120"/>
      <c r="AF23" s="120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</row>
    <row r="24" spans="1:46">
      <c r="A24" s="119" t="s">
        <v>1329</v>
      </c>
      <c r="B24" s="120" t="s">
        <v>485</v>
      </c>
      <c r="C24" s="120"/>
      <c r="D24" s="120"/>
      <c r="E24" s="120"/>
      <c r="F24" s="120"/>
      <c r="G24" s="120"/>
      <c r="H24" s="120" t="s">
        <v>1388</v>
      </c>
      <c r="I24" s="120"/>
      <c r="J24" s="120"/>
      <c r="K24" s="120"/>
      <c r="L24" s="120"/>
      <c r="M24" s="120"/>
      <c r="N24" s="120"/>
      <c r="O24" s="120" t="s">
        <v>1388</v>
      </c>
      <c r="P24" s="120" t="s">
        <v>1388</v>
      </c>
      <c r="Q24" s="120"/>
      <c r="R24" s="120"/>
      <c r="S24" s="119"/>
      <c r="T24" s="120"/>
      <c r="U24" s="119"/>
      <c r="V24" s="119"/>
      <c r="W24" s="119"/>
      <c r="X24" s="119"/>
      <c r="Y24" s="119"/>
      <c r="Z24" s="119"/>
      <c r="AA24" s="119"/>
      <c r="AB24" s="119"/>
      <c r="AC24" s="119"/>
      <c r="AD24" s="120" t="s">
        <v>1388</v>
      </c>
      <c r="AE24" s="120"/>
      <c r="AF24" s="120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</row>
    <row r="25" spans="1:46">
      <c r="A25" s="119" t="s">
        <v>1332</v>
      </c>
      <c r="B25" s="120" t="s">
        <v>485</v>
      </c>
      <c r="C25" s="120"/>
      <c r="D25" s="120"/>
      <c r="E25" s="120" t="s">
        <v>1388</v>
      </c>
      <c r="F25" s="120" t="s">
        <v>1388</v>
      </c>
      <c r="G25" s="120" t="s">
        <v>1388</v>
      </c>
      <c r="H25" s="120" t="s">
        <v>1388</v>
      </c>
      <c r="I25" s="120"/>
      <c r="J25" s="120"/>
      <c r="K25" s="120"/>
      <c r="L25" s="120"/>
      <c r="M25" s="120"/>
      <c r="N25" s="120"/>
      <c r="O25" s="120" t="s">
        <v>1388</v>
      </c>
      <c r="P25" s="119"/>
      <c r="Q25" s="120"/>
      <c r="R25" s="120" t="s">
        <v>1388</v>
      </c>
      <c r="S25" s="119"/>
      <c r="T25" s="120"/>
      <c r="U25" s="119"/>
      <c r="V25" s="119"/>
      <c r="W25" s="119"/>
      <c r="X25" s="119"/>
      <c r="Y25" s="119"/>
      <c r="Z25" s="120" t="s">
        <v>1388</v>
      </c>
      <c r="AA25" s="120" t="s">
        <v>1388</v>
      </c>
      <c r="AB25" s="119"/>
      <c r="AC25" s="119"/>
      <c r="AD25" s="119"/>
      <c r="AE25" s="120"/>
      <c r="AF25" s="120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</row>
    <row r="26" spans="1:46">
      <c r="A26" s="119" t="s">
        <v>1330</v>
      </c>
      <c r="B26" s="120" t="s">
        <v>485</v>
      </c>
      <c r="C26" s="120"/>
      <c r="D26" s="120"/>
      <c r="E26" s="120" t="s">
        <v>1388</v>
      </c>
      <c r="F26" s="120" t="s">
        <v>1388</v>
      </c>
      <c r="G26" s="120" t="s">
        <v>1388</v>
      </c>
      <c r="H26" s="120" t="s">
        <v>1388</v>
      </c>
      <c r="I26" s="120"/>
      <c r="J26" s="120"/>
      <c r="K26" s="120"/>
      <c r="L26" s="120" t="s">
        <v>1388</v>
      </c>
      <c r="M26" s="120" t="s">
        <v>1388</v>
      </c>
      <c r="N26" s="120"/>
      <c r="O26" s="120" t="s">
        <v>1388</v>
      </c>
      <c r="P26" s="119"/>
      <c r="Q26" s="120"/>
      <c r="R26" s="120" t="s">
        <v>1388</v>
      </c>
      <c r="S26" s="119"/>
      <c r="T26" s="120"/>
      <c r="U26" s="119"/>
      <c r="V26" s="119"/>
      <c r="W26" s="119"/>
      <c r="X26" s="119"/>
      <c r="Y26" s="119"/>
      <c r="Z26" s="119"/>
      <c r="AA26" s="119"/>
      <c r="AB26" s="120" t="s">
        <v>1388</v>
      </c>
      <c r="AC26" s="119"/>
      <c r="AD26" s="119"/>
      <c r="AE26" s="120"/>
      <c r="AF26" s="120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</row>
    <row r="27" spans="1:46">
      <c r="A27" s="146" t="s">
        <v>1335</v>
      </c>
      <c r="B27" s="147" t="s">
        <v>633</v>
      </c>
      <c r="C27" s="147"/>
      <c r="D27" s="147"/>
      <c r="E27" s="147"/>
      <c r="F27" s="146"/>
      <c r="G27" s="146"/>
      <c r="H27" s="147"/>
      <c r="I27" s="147" t="s">
        <v>1388</v>
      </c>
      <c r="J27" s="147" t="s">
        <v>1388</v>
      </c>
      <c r="K27" s="147" t="s">
        <v>1388</v>
      </c>
      <c r="L27" s="147"/>
      <c r="M27" s="147"/>
      <c r="N27" s="147" t="s">
        <v>1388</v>
      </c>
      <c r="O27" s="147"/>
      <c r="P27" s="146"/>
      <c r="Q27" s="147"/>
      <c r="R27" s="147"/>
      <c r="S27" s="147" t="s">
        <v>1388</v>
      </c>
      <c r="T27" s="147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7"/>
      <c r="AF27" s="147"/>
      <c r="AG27" s="146"/>
      <c r="AH27" s="146"/>
      <c r="AI27" s="146"/>
      <c r="AJ27" s="146"/>
      <c r="AK27" s="146"/>
      <c r="AL27" s="148"/>
      <c r="AM27" s="146"/>
      <c r="AN27" s="146"/>
      <c r="AO27" s="146"/>
      <c r="AP27" s="146"/>
      <c r="AQ27" s="147" t="s">
        <v>1388</v>
      </c>
      <c r="AR27" s="147" t="s">
        <v>1388</v>
      </c>
      <c r="AS27" s="147" t="s">
        <v>1388</v>
      </c>
      <c r="AT27" s="146"/>
    </row>
    <row r="28" spans="1:46">
      <c r="A28" s="117" t="s">
        <v>1313</v>
      </c>
      <c r="B28" s="118" t="s">
        <v>617</v>
      </c>
      <c r="C28" s="118"/>
      <c r="D28" s="118"/>
      <c r="E28" s="118"/>
      <c r="F28" s="117"/>
      <c r="G28" s="117"/>
      <c r="H28" s="118"/>
      <c r="I28" s="118"/>
      <c r="J28" s="118"/>
      <c r="K28" s="118"/>
      <c r="L28" s="118"/>
      <c r="M28" s="118"/>
      <c r="N28" s="118"/>
      <c r="O28" s="118"/>
      <c r="P28" s="117"/>
      <c r="Q28" s="118"/>
      <c r="R28" s="118"/>
      <c r="S28" s="117"/>
      <c r="T28" s="118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8"/>
      <c r="AF28" s="118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</row>
    <row r="29" spans="1:46">
      <c r="A29" s="117" t="s">
        <v>1318</v>
      </c>
      <c r="B29" s="118" t="s">
        <v>485</v>
      </c>
      <c r="C29" s="118"/>
      <c r="D29" s="118"/>
      <c r="E29" s="118"/>
      <c r="F29" s="117"/>
      <c r="G29" s="117"/>
      <c r="H29" s="118"/>
      <c r="I29" s="118"/>
      <c r="J29" s="118"/>
      <c r="K29" s="118"/>
      <c r="L29" s="118"/>
      <c r="M29" s="118"/>
      <c r="N29" s="118"/>
      <c r="O29" s="118"/>
      <c r="P29" s="117"/>
      <c r="Q29" s="118"/>
      <c r="R29" s="118"/>
      <c r="S29" s="117"/>
      <c r="T29" s="118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8"/>
      <c r="AF29" s="118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8" t="s">
        <v>1388</v>
      </c>
    </row>
    <row r="30" spans="1:46">
      <c r="A30" s="117" t="s">
        <v>1319</v>
      </c>
      <c r="B30" s="118" t="s">
        <v>1286</v>
      </c>
      <c r="C30" s="118"/>
      <c r="D30" s="118"/>
      <c r="E30" s="118"/>
      <c r="F30" s="117"/>
      <c r="G30" s="117"/>
      <c r="H30" s="118"/>
      <c r="I30" s="118"/>
      <c r="J30" s="118"/>
      <c r="K30" s="118"/>
      <c r="L30" s="118"/>
      <c r="M30" s="118"/>
      <c r="N30" s="118"/>
      <c r="O30" s="118"/>
      <c r="P30" s="117"/>
      <c r="Q30" s="118"/>
      <c r="R30" s="118"/>
      <c r="S30" s="117"/>
      <c r="T30" s="118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8"/>
      <c r="AF30" s="118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</row>
    <row r="31" spans="1:46" hidden="1">
      <c r="C31" s="5" t="s">
        <v>1389</v>
      </c>
      <c r="D31" s="5" t="s">
        <v>1390</v>
      </c>
    </row>
    <row r="32" spans="1:46" hidden="1">
      <c r="A32" t="s">
        <v>1303</v>
      </c>
      <c r="B32" s="5" t="s">
        <v>485</v>
      </c>
      <c r="C32" s="5">
        <f>SUM(E32:AT32)</f>
        <v>11</v>
      </c>
      <c r="D32" s="5">
        <v>2</v>
      </c>
      <c r="E32" s="5">
        <f>IF(COUNTA(E20)&gt;0,1,0)</f>
        <v>1</v>
      </c>
      <c r="F32" s="5">
        <f t="shared" ref="F32:AT32" si="0">IF(COUNTA(F20)&gt;0,1,0)</f>
        <v>1</v>
      </c>
      <c r="G32" s="5">
        <f t="shared" si="0"/>
        <v>1</v>
      </c>
      <c r="H32" s="5">
        <f t="shared" si="0"/>
        <v>1</v>
      </c>
      <c r="I32" s="5">
        <f t="shared" si="0"/>
        <v>1</v>
      </c>
      <c r="J32" s="5">
        <f t="shared" si="0"/>
        <v>1</v>
      </c>
      <c r="K32" s="5">
        <f t="shared" si="0"/>
        <v>1</v>
      </c>
      <c r="L32" s="5">
        <f t="shared" si="0"/>
        <v>1</v>
      </c>
      <c r="M32" s="5">
        <f t="shared" si="0"/>
        <v>1</v>
      </c>
      <c r="N32" s="5">
        <f t="shared" si="0"/>
        <v>0</v>
      </c>
      <c r="O32" s="5">
        <f t="shared" si="0"/>
        <v>1</v>
      </c>
      <c r="P32" s="5">
        <f t="shared" si="0"/>
        <v>0</v>
      </c>
      <c r="Q32" s="5">
        <f t="shared" si="0"/>
        <v>0</v>
      </c>
      <c r="R32" s="5">
        <f t="shared" si="0"/>
        <v>1</v>
      </c>
      <c r="S32" s="5">
        <f t="shared" si="0"/>
        <v>0</v>
      </c>
      <c r="T32" s="5">
        <f t="shared" si="0"/>
        <v>0</v>
      </c>
      <c r="U32" s="5">
        <f t="shared" si="0"/>
        <v>0</v>
      </c>
      <c r="V32" s="5">
        <f t="shared" si="0"/>
        <v>0</v>
      </c>
      <c r="W32" s="5">
        <f t="shared" si="0"/>
        <v>0</v>
      </c>
      <c r="X32" s="5">
        <f t="shared" si="0"/>
        <v>0</v>
      </c>
      <c r="Y32" s="5">
        <f t="shared" si="0"/>
        <v>0</v>
      </c>
      <c r="Z32" s="5">
        <f t="shared" si="0"/>
        <v>0</v>
      </c>
      <c r="AA32" s="5">
        <f t="shared" si="0"/>
        <v>0</v>
      </c>
      <c r="AB32" s="5">
        <f t="shared" si="0"/>
        <v>0</v>
      </c>
      <c r="AC32" s="5">
        <f t="shared" si="0"/>
        <v>0</v>
      </c>
      <c r="AD32" s="5">
        <f t="shared" si="0"/>
        <v>0</v>
      </c>
      <c r="AE32" s="5">
        <f t="shared" si="0"/>
        <v>0</v>
      </c>
      <c r="AF32" s="5">
        <f t="shared" si="0"/>
        <v>0</v>
      </c>
      <c r="AG32" s="5">
        <f t="shared" si="0"/>
        <v>0</v>
      </c>
      <c r="AH32" s="5">
        <f t="shared" si="0"/>
        <v>0</v>
      </c>
      <c r="AI32" s="5">
        <f t="shared" si="0"/>
        <v>0</v>
      </c>
      <c r="AJ32" s="5">
        <f t="shared" si="0"/>
        <v>0</v>
      </c>
      <c r="AK32" s="5">
        <f t="shared" si="0"/>
        <v>0</v>
      </c>
      <c r="AL32" s="5">
        <f t="shared" si="0"/>
        <v>0</v>
      </c>
      <c r="AM32" s="5">
        <f t="shared" si="0"/>
        <v>0</v>
      </c>
      <c r="AN32" s="5">
        <f t="shared" si="0"/>
        <v>0</v>
      </c>
      <c r="AO32" s="5">
        <f t="shared" si="0"/>
        <v>0</v>
      </c>
      <c r="AP32" s="5">
        <f t="shared" si="0"/>
        <v>0</v>
      </c>
      <c r="AQ32" s="5">
        <f t="shared" si="0"/>
        <v>0</v>
      </c>
      <c r="AR32" s="5">
        <f t="shared" si="0"/>
        <v>0</v>
      </c>
      <c r="AS32" s="5">
        <f t="shared" si="0"/>
        <v>0</v>
      </c>
      <c r="AT32" s="5">
        <f t="shared" si="0"/>
        <v>0</v>
      </c>
    </row>
    <row r="33" spans="1:47" hidden="1">
      <c r="A33" t="s">
        <v>1331</v>
      </c>
      <c r="B33" s="5" t="s">
        <v>485</v>
      </c>
      <c r="C33" s="5">
        <f t="shared" ref="C33:C60" si="1">SUM(E33:AT33)</f>
        <v>1</v>
      </c>
      <c r="D33" s="5">
        <v>0</v>
      </c>
      <c r="E33" s="5">
        <f>IF(AND(COUNTA(E21)&gt;0,E$32&gt;0),0,COUNTA(E$21))</f>
        <v>0</v>
      </c>
      <c r="F33" s="5">
        <f t="shared" ref="F33" si="2">IF(AND(COUNTA(F21)&gt;0,F32&gt;0),0,COUNTA(F21))</f>
        <v>0</v>
      </c>
      <c r="G33" s="5">
        <f t="shared" ref="G33" si="3">IF(AND(COUNTA(G21)&gt;0,G32&gt;0),0,COUNTA(G21))</f>
        <v>0</v>
      </c>
      <c r="H33" s="5">
        <f t="shared" ref="H33" si="4">IF(AND(COUNTA(H21)&gt;0,H32&gt;0),0,COUNTA(H21))</f>
        <v>0</v>
      </c>
      <c r="I33" s="5">
        <f t="shared" ref="I33" si="5">IF(AND(COUNTA(I21)&gt;0,I32&gt;0),0,COUNTA(I21))</f>
        <v>0</v>
      </c>
      <c r="J33" s="5">
        <f t="shared" ref="J33" si="6">IF(AND(COUNTA(J21)&gt;0,J32&gt;0),0,COUNTA(J21))</f>
        <v>0</v>
      </c>
      <c r="K33" s="5">
        <f t="shared" ref="K33" si="7">IF(AND(COUNTA(K21)&gt;0,K32&gt;0),0,COUNTA(K21))</f>
        <v>0</v>
      </c>
      <c r="L33" s="5">
        <f t="shared" ref="L33" si="8">IF(AND(COUNTA(L21)&gt;0,L32&gt;0),0,COUNTA(L21))</f>
        <v>0</v>
      </c>
      <c r="M33" s="5">
        <f t="shared" ref="M33" si="9">IF(AND(COUNTA(M21)&gt;0,M32&gt;0),0,COUNTA(M21))</f>
        <v>0</v>
      </c>
      <c r="N33" s="5">
        <f t="shared" ref="N33" si="10">IF(AND(COUNTA(N21)&gt;0,N32&gt;0),0,COUNTA(N21))</f>
        <v>0</v>
      </c>
      <c r="O33" s="5">
        <f t="shared" ref="O33" si="11">IF(AND(COUNTA(O21)&gt;0,O32&gt;0),0,COUNTA(O21))</f>
        <v>0</v>
      </c>
      <c r="P33" s="5">
        <f t="shared" ref="P33" si="12">IF(AND(COUNTA(P21)&gt;0,P32&gt;0),0,COUNTA(P21))</f>
        <v>0</v>
      </c>
      <c r="Q33" s="5">
        <f t="shared" ref="Q33" si="13">IF(AND(COUNTA(Q21)&gt;0,Q32&gt;0),0,COUNTA(Q21))</f>
        <v>0</v>
      </c>
      <c r="R33" s="5">
        <f t="shared" ref="R33" si="14">IF(AND(COUNTA(R21)&gt;0,R32&gt;0),0,COUNTA(R21))</f>
        <v>0</v>
      </c>
      <c r="S33" s="5">
        <f t="shared" ref="S33" si="15">IF(AND(COUNTA(S21)&gt;0,S32&gt;0),0,COUNTA(S21))</f>
        <v>0</v>
      </c>
      <c r="T33" s="5">
        <f t="shared" ref="T33" si="16">IF(AND(COUNTA(T21)&gt;0,T32&gt;0),0,COUNTA(T21))</f>
        <v>0</v>
      </c>
      <c r="U33" s="5">
        <f t="shared" ref="U33" si="17">IF(AND(COUNTA(U21)&gt;0,U32&gt;0),0,COUNTA(U21))</f>
        <v>0</v>
      </c>
      <c r="V33" s="5">
        <f t="shared" ref="V33" si="18">IF(AND(COUNTA(V21)&gt;0,V32&gt;0),0,COUNTA(V21))</f>
        <v>0</v>
      </c>
      <c r="W33" s="5">
        <f t="shared" ref="W33" si="19">IF(AND(COUNTA(W21)&gt;0,W32&gt;0),0,COUNTA(W21))</f>
        <v>1</v>
      </c>
      <c r="X33" s="5">
        <f t="shared" ref="X33" si="20">IF(AND(COUNTA(X21)&gt;0,X32&gt;0),0,COUNTA(X21))</f>
        <v>0</v>
      </c>
      <c r="Y33" s="5">
        <f t="shared" ref="Y33" si="21">IF(AND(COUNTA(Y21)&gt;0,Y32&gt;0),0,COUNTA(Y21))</f>
        <v>0</v>
      </c>
      <c r="Z33" s="5">
        <f t="shared" ref="Z33" si="22">IF(AND(COUNTA(Z21)&gt;0,Z32&gt;0),0,COUNTA(Z21))</f>
        <v>0</v>
      </c>
      <c r="AA33" s="5">
        <f t="shared" ref="AA33" si="23">IF(AND(COUNTA(AA21)&gt;0,AA32&gt;0),0,COUNTA(AA21))</f>
        <v>0</v>
      </c>
      <c r="AB33" s="5">
        <f t="shared" ref="AB33" si="24">IF(AND(COUNTA(AB21)&gt;0,AB32&gt;0),0,COUNTA(AB21))</f>
        <v>0</v>
      </c>
      <c r="AC33" s="5">
        <f t="shared" ref="AC33" si="25">IF(AND(COUNTA(AC21)&gt;0,AC32&gt;0),0,COUNTA(AC21))</f>
        <v>0</v>
      </c>
      <c r="AD33" s="5">
        <f t="shared" ref="AD33" si="26">IF(AND(COUNTA(AD21)&gt;0,AD32&gt;0),0,COUNTA(AD21))</f>
        <v>0</v>
      </c>
      <c r="AE33" s="5">
        <f t="shared" ref="AE33" si="27">IF(AND(COUNTA(AE21)&gt;0,AE32&gt;0),0,COUNTA(AE21))</f>
        <v>0</v>
      </c>
      <c r="AF33" s="5">
        <f t="shared" ref="AF33" si="28">IF(AND(COUNTA(AF21)&gt;0,AF32&gt;0),0,COUNTA(AF21))</f>
        <v>0</v>
      </c>
      <c r="AG33" s="5">
        <f t="shared" ref="AG33" si="29">IF(AND(COUNTA(AG21)&gt;0,AG32&gt;0),0,COUNTA(AG21))</f>
        <v>0</v>
      </c>
      <c r="AH33" s="5">
        <f t="shared" ref="AH33" si="30">IF(AND(COUNTA(AH21)&gt;0,AH32&gt;0),0,COUNTA(AH21))</f>
        <v>0</v>
      </c>
      <c r="AI33" s="5">
        <f t="shared" ref="AI33" si="31">IF(AND(COUNTA(AI21)&gt;0,AI32&gt;0),0,COUNTA(AI21))</f>
        <v>0</v>
      </c>
      <c r="AJ33" s="5">
        <f t="shared" ref="AJ33" si="32">IF(AND(COUNTA(AJ21)&gt;0,AJ32&gt;0),0,COUNTA(AJ21))</f>
        <v>0</v>
      </c>
      <c r="AK33" s="5">
        <f t="shared" ref="AK33" si="33">IF(AND(COUNTA(AK21)&gt;0,AK32&gt;0),0,COUNTA(AK21))</f>
        <v>0</v>
      </c>
      <c r="AL33" s="5">
        <f t="shared" ref="AL33" si="34">IF(AND(COUNTA(AL21)&gt;0,AL32&gt;0),0,COUNTA(AL21))</f>
        <v>0</v>
      </c>
      <c r="AM33" s="5">
        <f t="shared" ref="AM33" si="35">IF(AND(COUNTA(AM21)&gt;0,AM32&gt;0),0,COUNTA(AM21))</f>
        <v>0</v>
      </c>
      <c r="AN33" s="5">
        <f t="shared" ref="AN33" si="36">IF(AND(COUNTA(AN21)&gt;0,AN32&gt;0),0,COUNTA(AN21))</f>
        <v>0</v>
      </c>
      <c r="AO33" s="5">
        <f t="shared" ref="AO33" si="37">IF(AND(COUNTA(AO21)&gt;0,AO32&gt;0),0,COUNTA(AO21))</f>
        <v>0</v>
      </c>
      <c r="AP33" s="5">
        <f t="shared" ref="AP33" si="38">IF(AND(COUNTA(AP21)&gt;0,AP32&gt;0),0,COUNTA(AP21))</f>
        <v>0</v>
      </c>
      <c r="AQ33" s="5">
        <f t="shared" ref="AQ33" si="39">IF(AND(COUNTA(AQ21)&gt;0,AQ32&gt;0),0,COUNTA(AQ21))</f>
        <v>0</v>
      </c>
      <c r="AR33" s="5">
        <f t="shared" ref="AR33" si="40">IF(AND(COUNTA(AR21)&gt;0,AR32&gt;0),0,COUNTA(AR21))</f>
        <v>0</v>
      </c>
      <c r="AS33" s="5">
        <f t="shared" ref="AS33" si="41">IF(AND(COUNTA(AS21)&gt;0,AS32&gt;0),0,COUNTA(AS21))</f>
        <v>0</v>
      </c>
      <c r="AT33" s="5">
        <f t="shared" ref="AT33" si="42">IF(AND(COUNTA(AT21)&gt;0,AT32&gt;0),0,COUNTA(AT21))</f>
        <v>0</v>
      </c>
      <c r="AU33" s="5"/>
    </row>
    <row r="34" spans="1:47" hidden="1">
      <c r="A34" t="s">
        <v>1324</v>
      </c>
      <c r="B34" s="5" t="s">
        <v>485</v>
      </c>
      <c r="C34" s="5">
        <f t="shared" si="1"/>
        <v>2</v>
      </c>
      <c r="D34" s="5">
        <v>0</v>
      </c>
      <c r="E34" s="5">
        <f>IF(AND(COUNTA(E22)&gt;0,E$32&gt;0),0,COUNTA(E22))</f>
        <v>0</v>
      </c>
      <c r="F34" s="5">
        <f t="shared" ref="F34:AT34" si="43">IF(AND(COUNTA(F22)&gt;0,F$32&gt;0),0,COUNTA(F22))</f>
        <v>0</v>
      </c>
      <c r="G34" s="5">
        <f t="shared" si="43"/>
        <v>0</v>
      </c>
      <c r="H34" s="5">
        <f t="shared" si="43"/>
        <v>0</v>
      </c>
      <c r="I34" s="5">
        <f t="shared" si="43"/>
        <v>0</v>
      </c>
      <c r="J34" s="5">
        <f t="shared" si="43"/>
        <v>0</v>
      </c>
      <c r="K34" s="5">
        <f t="shared" si="43"/>
        <v>0</v>
      </c>
      <c r="L34" s="5">
        <f t="shared" si="43"/>
        <v>0</v>
      </c>
      <c r="M34" s="5">
        <f t="shared" si="43"/>
        <v>0</v>
      </c>
      <c r="N34" s="5">
        <f t="shared" si="43"/>
        <v>0</v>
      </c>
      <c r="O34" s="5">
        <f t="shared" si="43"/>
        <v>0</v>
      </c>
      <c r="P34" s="5">
        <f t="shared" si="43"/>
        <v>0</v>
      </c>
      <c r="Q34" s="5">
        <f t="shared" si="43"/>
        <v>0</v>
      </c>
      <c r="R34" s="5">
        <f t="shared" si="43"/>
        <v>0</v>
      </c>
      <c r="S34" s="5">
        <f t="shared" si="43"/>
        <v>0</v>
      </c>
      <c r="T34" s="5">
        <f t="shared" si="43"/>
        <v>0</v>
      </c>
      <c r="U34" s="5">
        <f t="shared" si="43"/>
        <v>0</v>
      </c>
      <c r="V34" s="5">
        <f t="shared" si="43"/>
        <v>0</v>
      </c>
      <c r="W34" s="5">
        <f t="shared" si="43"/>
        <v>0</v>
      </c>
      <c r="X34" s="5">
        <f t="shared" si="43"/>
        <v>1</v>
      </c>
      <c r="Y34" s="5">
        <f t="shared" si="43"/>
        <v>1</v>
      </c>
      <c r="Z34" s="5">
        <f t="shared" si="43"/>
        <v>0</v>
      </c>
      <c r="AA34" s="5">
        <f t="shared" si="43"/>
        <v>0</v>
      </c>
      <c r="AB34" s="5">
        <f t="shared" si="43"/>
        <v>0</v>
      </c>
      <c r="AC34" s="5">
        <f t="shared" si="43"/>
        <v>0</v>
      </c>
      <c r="AD34" s="5">
        <f t="shared" si="43"/>
        <v>0</v>
      </c>
      <c r="AE34" s="5">
        <f t="shared" si="43"/>
        <v>0</v>
      </c>
      <c r="AF34" s="5">
        <f t="shared" si="43"/>
        <v>0</v>
      </c>
      <c r="AG34" s="5">
        <f t="shared" si="43"/>
        <v>0</v>
      </c>
      <c r="AH34" s="5">
        <f t="shared" si="43"/>
        <v>0</v>
      </c>
      <c r="AI34" s="5">
        <f t="shared" si="43"/>
        <v>0</v>
      </c>
      <c r="AJ34" s="5">
        <f t="shared" si="43"/>
        <v>0</v>
      </c>
      <c r="AK34" s="5">
        <f t="shared" si="43"/>
        <v>0</v>
      </c>
      <c r="AL34" s="5">
        <f t="shared" si="43"/>
        <v>0</v>
      </c>
      <c r="AM34" s="5">
        <f t="shared" si="43"/>
        <v>0</v>
      </c>
      <c r="AN34" s="5">
        <f t="shared" si="43"/>
        <v>0</v>
      </c>
      <c r="AO34" s="5">
        <f t="shared" si="43"/>
        <v>0</v>
      </c>
      <c r="AP34" s="5">
        <f t="shared" si="43"/>
        <v>0</v>
      </c>
      <c r="AQ34" s="5">
        <f t="shared" si="43"/>
        <v>0</v>
      </c>
      <c r="AR34" s="5">
        <f t="shared" si="43"/>
        <v>0</v>
      </c>
      <c r="AS34" s="5">
        <f t="shared" si="43"/>
        <v>0</v>
      </c>
      <c r="AT34" s="5">
        <f t="shared" si="43"/>
        <v>0</v>
      </c>
    </row>
    <row r="35" spans="1:47" hidden="1">
      <c r="A35" t="s">
        <v>1328</v>
      </c>
      <c r="B35" s="5" t="s">
        <v>485</v>
      </c>
      <c r="C35" s="5">
        <f t="shared" si="1"/>
        <v>1</v>
      </c>
      <c r="D35" s="5">
        <v>0</v>
      </c>
      <c r="E35" s="5">
        <f>IF(AND(COUNTA(E23)&gt;0,E$32&gt;0),0,COUNTA(E23))</f>
        <v>0</v>
      </c>
      <c r="F35" s="5">
        <f t="shared" ref="F35:AT38" si="44">IF(AND(COUNTA(F23)&gt;0,F$32&gt;0),0,COUNTA(F23))</f>
        <v>0</v>
      </c>
      <c r="G35" s="5">
        <f t="shared" si="44"/>
        <v>0</v>
      </c>
      <c r="H35" s="5">
        <f t="shared" si="44"/>
        <v>0</v>
      </c>
      <c r="I35" s="5">
        <f t="shared" si="44"/>
        <v>0</v>
      </c>
      <c r="J35" s="5">
        <f t="shared" si="44"/>
        <v>0</v>
      </c>
      <c r="K35" s="5">
        <f t="shared" si="44"/>
        <v>0</v>
      </c>
      <c r="L35" s="5">
        <f t="shared" si="44"/>
        <v>0</v>
      </c>
      <c r="M35" s="5">
        <f t="shared" si="44"/>
        <v>0</v>
      </c>
      <c r="N35" s="5">
        <f t="shared" si="44"/>
        <v>0</v>
      </c>
      <c r="O35" s="5">
        <f t="shared" si="44"/>
        <v>0</v>
      </c>
      <c r="P35" s="5">
        <f t="shared" si="44"/>
        <v>0</v>
      </c>
      <c r="Q35" s="5">
        <f t="shared" si="44"/>
        <v>0</v>
      </c>
      <c r="R35" s="5">
        <f t="shared" si="44"/>
        <v>0</v>
      </c>
      <c r="S35" s="5">
        <f t="shared" si="44"/>
        <v>0</v>
      </c>
      <c r="T35" s="5">
        <f t="shared" si="44"/>
        <v>0</v>
      </c>
      <c r="U35" s="5">
        <f t="shared" si="44"/>
        <v>0</v>
      </c>
      <c r="V35" s="5">
        <f t="shared" si="44"/>
        <v>0</v>
      </c>
      <c r="W35" s="5">
        <f t="shared" si="44"/>
        <v>0</v>
      </c>
      <c r="X35" s="5">
        <f t="shared" si="44"/>
        <v>0</v>
      </c>
      <c r="Y35" s="5">
        <f t="shared" si="44"/>
        <v>0</v>
      </c>
      <c r="Z35" s="5">
        <f t="shared" si="44"/>
        <v>0</v>
      </c>
      <c r="AA35" s="5">
        <f t="shared" si="44"/>
        <v>0</v>
      </c>
      <c r="AB35" s="5">
        <f t="shared" si="44"/>
        <v>0</v>
      </c>
      <c r="AC35" s="5">
        <f t="shared" si="44"/>
        <v>1</v>
      </c>
      <c r="AD35" s="5">
        <f t="shared" si="44"/>
        <v>0</v>
      </c>
      <c r="AE35" s="5">
        <f t="shared" si="44"/>
        <v>0</v>
      </c>
      <c r="AF35" s="5">
        <f t="shared" si="44"/>
        <v>0</v>
      </c>
      <c r="AG35" s="5">
        <f t="shared" si="44"/>
        <v>0</v>
      </c>
      <c r="AH35" s="5">
        <f t="shared" si="44"/>
        <v>0</v>
      </c>
      <c r="AI35" s="5">
        <f t="shared" si="44"/>
        <v>0</v>
      </c>
      <c r="AJ35" s="5">
        <f t="shared" si="44"/>
        <v>0</v>
      </c>
      <c r="AK35" s="5">
        <f t="shared" si="44"/>
        <v>0</v>
      </c>
      <c r="AL35" s="5">
        <f t="shared" si="44"/>
        <v>0</v>
      </c>
      <c r="AM35" s="5">
        <f t="shared" si="44"/>
        <v>0</v>
      </c>
      <c r="AN35" s="5">
        <f t="shared" si="44"/>
        <v>0</v>
      </c>
      <c r="AO35" s="5">
        <f t="shared" si="44"/>
        <v>0</v>
      </c>
      <c r="AP35" s="5">
        <f t="shared" si="44"/>
        <v>0</v>
      </c>
      <c r="AQ35" s="5">
        <f t="shared" si="44"/>
        <v>0</v>
      </c>
      <c r="AR35" s="5">
        <f t="shared" si="44"/>
        <v>0</v>
      </c>
      <c r="AS35" s="5">
        <f t="shared" si="44"/>
        <v>0</v>
      </c>
      <c r="AT35" s="5">
        <f t="shared" si="44"/>
        <v>0</v>
      </c>
    </row>
    <row r="36" spans="1:47" hidden="1">
      <c r="A36" t="s">
        <v>1329</v>
      </c>
      <c r="B36" s="5" t="s">
        <v>485</v>
      </c>
      <c r="C36" s="5">
        <f t="shared" si="1"/>
        <v>2</v>
      </c>
      <c r="D36" s="5">
        <v>0</v>
      </c>
      <c r="E36" s="5">
        <f t="shared" ref="E36:T38" si="45">IF(AND(COUNTA(E24)&gt;0,E$32&gt;0),0,COUNTA(E24))</f>
        <v>0</v>
      </c>
      <c r="F36" s="5">
        <f t="shared" si="45"/>
        <v>0</v>
      </c>
      <c r="G36" s="5">
        <f t="shared" si="45"/>
        <v>0</v>
      </c>
      <c r="H36" s="5">
        <f t="shared" si="45"/>
        <v>0</v>
      </c>
      <c r="I36" s="5">
        <f t="shared" si="45"/>
        <v>0</v>
      </c>
      <c r="J36" s="5">
        <f t="shared" si="45"/>
        <v>0</v>
      </c>
      <c r="K36" s="5">
        <f t="shared" si="45"/>
        <v>0</v>
      </c>
      <c r="L36" s="5">
        <f t="shared" si="45"/>
        <v>0</v>
      </c>
      <c r="M36" s="5">
        <f t="shared" si="45"/>
        <v>0</v>
      </c>
      <c r="N36" s="5">
        <f t="shared" si="45"/>
        <v>0</v>
      </c>
      <c r="O36" s="5">
        <f t="shared" si="45"/>
        <v>0</v>
      </c>
      <c r="P36" s="5">
        <f t="shared" si="45"/>
        <v>1</v>
      </c>
      <c r="Q36" s="5">
        <f t="shared" si="45"/>
        <v>0</v>
      </c>
      <c r="R36" s="5">
        <f t="shared" si="45"/>
        <v>0</v>
      </c>
      <c r="S36" s="5">
        <f t="shared" si="45"/>
        <v>0</v>
      </c>
      <c r="T36" s="5">
        <f t="shared" si="45"/>
        <v>0</v>
      </c>
      <c r="U36" s="5">
        <f t="shared" si="44"/>
        <v>0</v>
      </c>
      <c r="V36" s="5">
        <f t="shared" si="44"/>
        <v>0</v>
      </c>
      <c r="W36" s="5">
        <f t="shared" si="44"/>
        <v>0</v>
      </c>
      <c r="X36" s="5">
        <f t="shared" si="44"/>
        <v>0</v>
      </c>
      <c r="Y36" s="5">
        <f t="shared" si="44"/>
        <v>0</v>
      </c>
      <c r="Z36" s="5">
        <f t="shared" si="44"/>
        <v>0</v>
      </c>
      <c r="AA36" s="5">
        <f t="shared" si="44"/>
        <v>0</v>
      </c>
      <c r="AB36" s="5">
        <f t="shared" si="44"/>
        <v>0</v>
      </c>
      <c r="AC36" s="5">
        <f t="shared" si="44"/>
        <v>0</v>
      </c>
      <c r="AD36" s="5">
        <f t="shared" si="44"/>
        <v>1</v>
      </c>
      <c r="AE36" s="5">
        <f t="shared" si="44"/>
        <v>0</v>
      </c>
      <c r="AF36" s="5">
        <f t="shared" si="44"/>
        <v>0</v>
      </c>
      <c r="AG36" s="5">
        <f t="shared" si="44"/>
        <v>0</v>
      </c>
      <c r="AH36" s="5">
        <f t="shared" si="44"/>
        <v>0</v>
      </c>
      <c r="AI36" s="5">
        <f t="shared" si="44"/>
        <v>0</v>
      </c>
      <c r="AJ36" s="5">
        <f t="shared" si="44"/>
        <v>0</v>
      </c>
      <c r="AK36" s="5">
        <f t="shared" si="44"/>
        <v>0</v>
      </c>
      <c r="AL36" s="5">
        <f t="shared" si="44"/>
        <v>0</v>
      </c>
      <c r="AM36" s="5">
        <f t="shared" si="44"/>
        <v>0</v>
      </c>
      <c r="AN36" s="5">
        <f t="shared" si="44"/>
        <v>0</v>
      </c>
      <c r="AO36" s="5">
        <f t="shared" si="44"/>
        <v>0</v>
      </c>
      <c r="AP36" s="5">
        <f t="shared" si="44"/>
        <v>0</v>
      </c>
      <c r="AQ36" s="5">
        <f t="shared" si="44"/>
        <v>0</v>
      </c>
      <c r="AR36" s="5">
        <f t="shared" si="44"/>
        <v>0</v>
      </c>
      <c r="AS36" s="5">
        <f t="shared" si="44"/>
        <v>0</v>
      </c>
      <c r="AT36" s="5">
        <f t="shared" si="44"/>
        <v>0</v>
      </c>
    </row>
    <row r="37" spans="1:47" hidden="1">
      <c r="A37" t="s">
        <v>1332</v>
      </c>
      <c r="B37" s="5" t="s">
        <v>485</v>
      </c>
      <c r="C37" s="5">
        <f t="shared" si="1"/>
        <v>2</v>
      </c>
      <c r="D37" s="5">
        <v>0</v>
      </c>
      <c r="E37" s="5">
        <f t="shared" si="45"/>
        <v>0</v>
      </c>
      <c r="F37" s="5">
        <f t="shared" si="44"/>
        <v>0</v>
      </c>
      <c r="G37" s="5">
        <f t="shared" si="44"/>
        <v>0</v>
      </c>
      <c r="H37" s="5">
        <f t="shared" si="44"/>
        <v>0</v>
      </c>
      <c r="I37" s="5">
        <f t="shared" si="44"/>
        <v>0</v>
      </c>
      <c r="J37" s="5">
        <f t="shared" si="44"/>
        <v>0</v>
      </c>
      <c r="K37" s="5">
        <f t="shared" si="44"/>
        <v>0</v>
      </c>
      <c r="L37" s="5">
        <f t="shared" si="44"/>
        <v>0</v>
      </c>
      <c r="M37" s="5">
        <f t="shared" si="44"/>
        <v>0</v>
      </c>
      <c r="N37" s="5">
        <f t="shared" si="44"/>
        <v>0</v>
      </c>
      <c r="O37" s="5">
        <f t="shared" si="44"/>
        <v>0</v>
      </c>
      <c r="P37" s="5">
        <f t="shared" si="44"/>
        <v>0</v>
      </c>
      <c r="Q37" s="5">
        <f t="shared" si="44"/>
        <v>0</v>
      </c>
      <c r="R37" s="5">
        <f t="shared" si="44"/>
        <v>0</v>
      </c>
      <c r="S37" s="5">
        <f t="shared" si="44"/>
        <v>0</v>
      </c>
      <c r="T37" s="5">
        <f t="shared" si="44"/>
        <v>0</v>
      </c>
      <c r="U37" s="5">
        <f t="shared" si="44"/>
        <v>0</v>
      </c>
      <c r="V37" s="5">
        <f t="shared" si="44"/>
        <v>0</v>
      </c>
      <c r="W37" s="5">
        <f t="shared" si="44"/>
        <v>0</v>
      </c>
      <c r="X37" s="5">
        <f t="shared" si="44"/>
        <v>0</v>
      </c>
      <c r="Y37" s="5">
        <f t="shared" si="44"/>
        <v>0</v>
      </c>
      <c r="Z37" s="5">
        <f t="shared" si="44"/>
        <v>1</v>
      </c>
      <c r="AA37" s="5">
        <f t="shared" si="44"/>
        <v>1</v>
      </c>
      <c r="AB37" s="5">
        <f t="shared" si="44"/>
        <v>0</v>
      </c>
      <c r="AC37" s="5">
        <f t="shared" si="44"/>
        <v>0</v>
      </c>
      <c r="AD37" s="5">
        <f t="shared" si="44"/>
        <v>0</v>
      </c>
      <c r="AE37" s="5">
        <f t="shared" si="44"/>
        <v>0</v>
      </c>
      <c r="AF37" s="5">
        <f t="shared" si="44"/>
        <v>0</v>
      </c>
      <c r="AG37" s="5">
        <f t="shared" si="44"/>
        <v>0</v>
      </c>
      <c r="AH37" s="5">
        <f t="shared" si="44"/>
        <v>0</v>
      </c>
      <c r="AI37" s="5">
        <f t="shared" si="44"/>
        <v>0</v>
      </c>
      <c r="AJ37" s="5">
        <f t="shared" si="44"/>
        <v>0</v>
      </c>
      <c r="AK37" s="5">
        <f t="shared" si="44"/>
        <v>0</v>
      </c>
      <c r="AL37" s="5">
        <f t="shared" si="44"/>
        <v>0</v>
      </c>
      <c r="AM37" s="5">
        <f t="shared" si="44"/>
        <v>0</v>
      </c>
      <c r="AN37" s="5">
        <f t="shared" si="44"/>
        <v>0</v>
      </c>
      <c r="AO37" s="5">
        <f t="shared" si="44"/>
        <v>0</v>
      </c>
      <c r="AP37" s="5">
        <f t="shared" si="44"/>
        <v>0</v>
      </c>
      <c r="AQ37" s="5">
        <f t="shared" si="44"/>
        <v>0</v>
      </c>
      <c r="AR37" s="5">
        <f t="shared" si="44"/>
        <v>0</v>
      </c>
      <c r="AS37" s="5">
        <f t="shared" si="44"/>
        <v>0</v>
      </c>
      <c r="AT37" s="5">
        <f t="shared" si="44"/>
        <v>0</v>
      </c>
    </row>
    <row r="38" spans="1:47" hidden="1">
      <c r="A38" t="s">
        <v>1330</v>
      </c>
      <c r="B38" s="5" t="s">
        <v>485</v>
      </c>
      <c r="C38" s="5">
        <f t="shared" si="1"/>
        <v>1</v>
      </c>
      <c r="D38" s="5">
        <v>0</v>
      </c>
      <c r="E38" s="5">
        <f t="shared" si="45"/>
        <v>0</v>
      </c>
      <c r="F38" s="5">
        <f t="shared" si="44"/>
        <v>0</v>
      </c>
      <c r="G38" s="5">
        <f t="shared" si="44"/>
        <v>0</v>
      </c>
      <c r="H38" s="5">
        <f t="shared" si="44"/>
        <v>0</v>
      </c>
      <c r="I38" s="5">
        <f t="shared" si="44"/>
        <v>0</v>
      </c>
      <c r="J38" s="5">
        <f t="shared" si="44"/>
        <v>0</v>
      </c>
      <c r="K38" s="5">
        <f t="shared" si="44"/>
        <v>0</v>
      </c>
      <c r="L38" s="5">
        <f t="shared" si="44"/>
        <v>0</v>
      </c>
      <c r="M38" s="5">
        <f t="shared" si="44"/>
        <v>0</v>
      </c>
      <c r="N38" s="5">
        <f t="shared" si="44"/>
        <v>0</v>
      </c>
      <c r="O38" s="5">
        <f t="shared" si="44"/>
        <v>0</v>
      </c>
      <c r="P38" s="5">
        <f t="shared" si="44"/>
        <v>0</v>
      </c>
      <c r="Q38" s="5">
        <f t="shared" si="44"/>
        <v>0</v>
      </c>
      <c r="R38" s="5">
        <f t="shared" si="44"/>
        <v>0</v>
      </c>
      <c r="S38" s="5">
        <f t="shared" si="44"/>
        <v>0</v>
      </c>
      <c r="T38" s="5">
        <f t="shared" si="44"/>
        <v>0</v>
      </c>
      <c r="U38" s="5">
        <f t="shared" si="44"/>
        <v>0</v>
      </c>
      <c r="V38" s="5">
        <f t="shared" si="44"/>
        <v>0</v>
      </c>
      <c r="W38" s="5">
        <f t="shared" si="44"/>
        <v>0</v>
      </c>
      <c r="X38" s="5">
        <f t="shared" si="44"/>
        <v>0</v>
      </c>
      <c r="Y38" s="5">
        <f t="shared" si="44"/>
        <v>0</v>
      </c>
      <c r="Z38" s="5">
        <f t="shared" si="44"/>
        <v>0</v>
      </c>
      <c r="AA38" s="5">
        <f t="shared" si="44"/>
        <v>0</v>
      </c>
      <c r="AB38" s="5">
        <f t="shared" si="44"/>
        <v>1</v>
      </c>
      <c r="AC38" s="5">
        <f t="shared" si="44"/>
        <v>0</v>
      </c>
      <c r="AD38" s="5">
        <f t="shared" si="44"/>
        <v>0</v>
      </c>
      <c r="AE38" s="5">
        <f t="shared" si="44"/>
        <v>0</v>
      </c>
      <c r="AF38" s="5">
        <f t="shared" si="44"/>
        <v>0</v>
      </c>
      <c r="AG38" s="5">
        <f t="shared" si="44"/>
        <v>0</v>
      </c>
      <c r="AH38" s="5">
        <f t="shared" si="44"/>
        <v>0</v>
      </c>
      <c r="AI38" s="5">
        <f t="shared" si="44"/>
        <v>0</v>
      </c>
      <c r="AJ38" s="5">
        <f t="shared" si="44"/>
        <v>0</v>
      </c>
      <c r="AK38" s="5">
        <f t="shared" si="44"/>
        <v>0</v>
      </c>
      <c r="AL38" s="5">
        <f t="shared" si="44"/>
        <v>0</v>
      </c>
      <c r="AM38" s="5">
        <f t="shared" si="44"/>
        <v>0</v>
      </c>
      <c r="AN38" s="5">
        <f t="shared" si="44"/>
        <v>0</v>
      </c>
      <c r="AO38" s="5">
        <f t="shared" si="44"/>
        <v>0</v>
      </c>
      <c r="AP38" s="5">
        <f t="shared" si="44"/>
        <v>0</v>
      </c>
      <c r="AQ38" s="5">
        <f t="shared" si="44"/>
        <v>0</v>
      </c>
      <c r="AR38" s="5">
        <f t="shared" si="44"/>
        <v>0</v>
      </c>
      <c r="AS38" s="5">
        <f t="shared" si="44"/>
        <v>0</v>
      </c>
      <c r="AT38" s="5">
        <f t="shared" si="44"/>
        <v>0</v>
      </c>
    </row>
    <row r="39" spans="1:47" hidden="1">
      <c r="A39" s="117" t="s">
        <v>1300</v>
      </c>
      <c r="B39" s="118" t="s">
        <v>608</v>
      </c>
      <c r="C39" s="5">
        <f t="shared" si="1"/>
        <v>1</v>
      </c>
      <c r="D39" s="5">
        <v>2</v>
      </c>
      <c r="E39" s="5">
        <f>IF(AND(COUNTA(E2)&gt;0,E$32&gt;0),0,COUNTA(E2))</f>
        <v>0</v>
      </c>
      <c r="F39" s="5">
        <f t="shared" ref="F39:AT45" si="46">IF(AND(COUNTA(F2)&gt;0,F$32&gt;0),0,COUNTA(F2))</f>
        <v>0</v>
      </c>
      <c r="G39" s="5">
        <f t="shared" si="46"/>
        <v>0</v>
      </c>
      <c r="H39" s="5">
        <f t="shared" si="46"/>
        <v>0</v>
      </c>
      <c r="I39" s="5">
        <f t="shared" si="46"/>
        <v>0</v>
      </c>
      <c r="J39" s="5">
        <f t="shared" si="46"/>
        <v>0</v>
      </c>
      <c r="K39" s="5">
        <f t="shared" si="46"/>
        <v>0</v>
      </c>
      <c r="L39" s="5">
        <f t="shared" si="46"/>
        <v>0</v>
      </c>
      <c r="M39" s="5">
        <f t="shared" si="46"/>
        <v>0</v>
      </c>
      <c r="N39" s="5">
        <f t="shared" si="46"/>
        <v>0</v>
      </c>
      <c r="O39" s="5">
        <f t="shared" si="46"/>
        <v>0</v>
      </c>
      <c r="P39" s="5">
        <f t="shared" si="46"/>
        <v>0</v>
      </c>
      <c r="Q39" s="5">
        <f t="shared" si="46"/>
        <v>1</v>
      </c>
      <c r="R39" s="5">
        <f t="shared" si="46"/>
        <v>0</v>
      </c>
      <c r="S39" s="5">
        <f t="shared" si="46"/>
        <v>0</v>
      </c>
      <c r="T39" s="5">
        <f t="shared" si="46"/>
        <v>0</v>
      </c>
      <c r="U39" s="5">
        <f t="shared" si="46"/>
        <v>0</v>
      </c>
      <c r="V39" s="5">
        <f t="shared" si="46"/>
        <v>0</v>
      </c>
      <c r="W39" s="5">
        <f t="shared" si="46"/>
        <v>0</v>
      </c>
      <c r="X39" s="5">
        <f t="shared" si="46"/>
        <v>0</v>
      </c>
      <c r="Y39" s="5">
        <f t="shared" si="46"/>
        <v>0</v>
      </c>
      <c r="Z39" s="5">
        <f t="shared" si="46"/>
        <v>0</v>
      </c>
      <c r="AA39" s="5">
        <f t="shared" si="46"/>
        <v>0</v>
      </c>
      <c r="AB39" s="5">
        <f t="shared" si="46"/>
        <v>0</v>
      </c>
      <c r="AC39" s="5">
        <f t="shared" si="46"/>
        <v>0</v>
      </c>
      <c r="AD39" s="5">
        <f t="shared" si="46"/>
        <v>0</v>
      </c>
      <c r="AE39" s="5">
        <f t="shared" si="46"/>
        <v>0</v>
      </c>
      <c r="AF39" s="5">
        <f t="shared" si="46"/>
        <v>0</v>
      </c>
      <c r="AG39" s="5">
        <f t="shared" si="46"/>
        <v>0</v>
      </c>
      <c r="AH39" s="5">
        <f t="shared" si="46"/>
        <v>0</v>
      </c>
      <c r="AI39" s="5">
        <f t="shared" si="46"/>
        <v>0</v>
      </c>
      <c r="AJ39" s="5">
        <f t="shared" si="46"/>
        <v>0</v>
      </c>
      <c r="AK39" s="5">
        <f t="shared" si="46"/>
        <v>0</v>
      </c>
      <c r="AL39" s="5">
        <f t="shared" si="46"/>
        <v>0</v>
      </c>
      <c r="AM39" s="5">
        <f t="shared" si="46"/>
        <v>0</v>
      </c>
      <c r="AN39" s="5">
        <f t="shared" si="46"/>
        <v>0</v>
      </c>
      <c r="AO39" s="5">
        <f t="shared" si="46"/>
        <v>0</v>
      </c>
      <c r="AP39" s="5">
        <f t="shared" si="46"/>
        <v>0</v>
      </c>
      <c r="AQ39" s="5">
        <f t="shared" si="46"/>
        <v>0</v>
      </c>
      <c r="AR39" s="5">
        <f t="shared" si="46"/>
        <v>0</v>
      </c>
      <c r="AS39" s="5">
        <f t="shared" si="46"/>
        <v>0</v>
      </c>
      <c r="AT39" s="5">
        <f t="shared" si="46"/>
        <v>0</v>
      </c>
    </row>
    <row r="40" spans="1:47" hidden="1">
      <c r="A40" s="117" t="s">
        <v>1334</v>
      </c>
      <c r="B40" s="118" t="s">
        <v>608</v>
      </c>
      <c r="C40" s="5">
        <f t="shared" si="1"/>
        <v>1</v>
      </c>
      <c r="D40" s="5">
        <v>1</v>
      </c>
      <c r="E40" s="5">
        <f t="shared" ref="E40:T56" si="47">IF(AND(COUNTA(E3)&gt;0,E$32&gt;0),0,COUNTA(E3))</f>
        <v>0</v>
      </c>
      <c r="F40" s="5">
        <f t="shared" si="47"/>
        <v>0</v>
      </c>
      <c r="G40" s="5">
        <f t="shared" si="47"/>
        <v>0</v>
      </c>
      <c r="H40" s="5">
        <f t="shared" si="47"/>
        <v>0</v>
      </c>
      <c r="I40" s="5">
        <f t="shared" si="47"/>
        <v>0</v>
      </c>
      <c r="J40" s="5">
        <f t="shared" si="47"/>
        <v>0</v>
      </c>
      <c r="K40" s="5">
        <f t="shared" si="47"/>
        <v>0</v>
      </c>
      <c r="L40" s="5">
        <f t="shared" si="47"/>
        <v>0</v>
      </c>
      <c r="M40" s="5">
        <f t="shared" si="47"/>
        <v>0</v>
      </c>
      <c r="N40" s="5">
        <f t="shared" si="47"/>
        <v>0</v>
      </c>
      <c r="O40" s="5">
        <f t="shared" si="47"/>
        <v>0</v>
      </c>
      <c r="P40" s="5">
        <f t="shared" si="47"/>
        <v>0</v>
      </c>
      <c r="Q40" s="5">
        <f t="shared" si="47"/>
        <v>1</v>
      </c>
      <c r="R40" s="5">
        <f t="shared" si="47"/>
        <v>0</v>
      </c>
      <c r="S40" s="5">
        <f t="shared" si="47"/>
        <v>0</v>
      </c>
      <c r="T40" s="5">
        <f t="shared" si="47"/>
        <v>0</v>
      </c>
      <c r="U40" s="5">
        <f t="shared" si="46"/>
        <v>0</v>
      </c>
      <c r="V40" s="5">
        <f t="shared" si="46"/>
        <v>0</v>
      </c>
      <c r="W40" s="5">
        <f t="shared" si="46"/>
        <v>0</v>
      </c>
      <c r="X40" s="5">
        <f t="shared" si="46"/>
        <v>0</v>
      </c>
      <c r="Y40" s="5">
        <f t="shared" si="46"/>
        <v>0</v>
      </c>
      <c r="Z40" s="5">
        <f t="shared" si="46"/>
        <v>0</v>
      </c>
      <c r="AA40" s="5">
        <f t="shared" si="46"/>
        <v>0</v>
      </c>
      <c r="AB40" s="5">
        <f t="shared" si="46"/>
        <v>0</v>
      </c>
      <c r="AC40" s="5">
        <f t="shared" si="46"/>
        <v>0</v>
      </c>
      <c r="AD40" s="5">
        <f t="shared" si="46"/>
        <v>0</v>
      </c>
      <c r="AE40" s="5">
        <f t="shared" si="46"/>
        <v>0</v>
      </c>
      <c r="AF40" s="5">
        <f t="shared" si="46"/>
        <v>0</v>
      </c>
      <c r="AG40" s="5">
        <f t="shared" si="46"/>
        <v>0</v>
      </c>
      <c r="AH40" s="5">
        <f t="shared" si="46"/>
        <v>0</v>
      </c>
      <c r="AI40" s="5">
        <f t="shared" si="46"/>
        <v>0</v>
      </c>
      <c r="AJ40" s="5">
        <f t="shared" si="46"/>
        <v>0</v>
      </c>
      <c r="AK40" s="5">
        <f t="shared" si="46"/>
        <v>0</v>
      </c>
      <c r="AL40" s="5">
        <f t="shared" si="46"/>
        <v>0</v>
      </c>
      <c r="AM40" s="5">
        <f t="shared" si="46"/>
        <v>0</v>
      </c>
      <c r="AN40" s="5">
        <f t="shared" si="46"/>
        <v>0</v>
      </c>
      <c r="AO40" s="5">
        <f t="shared" si="46"/>
        <v>0</v>
      </c>
      <c r="AP40" s="5">
        <f t="shared" si="46"/>
        <v>0</v>
      </c>
      <c r="AQ40" s="5">
        <f t="shared" si="46"/>
        <v>0</v>
      </c>
      <c r="AR40" s="5">
        <f t="shared" si="46"/>
        <v>0</v>
      </c>
      <c r="AS40" s="5">
        <f t="shared" si="46"/>
        <v>0</v>
      </c>
      <c r="AT40" s="5">
        <f t="shared" si="46"/>
        <v>0</v>
      </c>
    </row>
    <row r="41" spans="1:47" hidden="1">
      <c r="A41" s="117" t="s">
        <v>1323</v>
      </c>
      <c r="B41" s="118" t="s">
        <v>448</v>
      </c>
      <c r="C41" s="5">
        <f t="shared" si="1"/>
        <v>1</v>
      </c>
      <c r="D41" s="5">
        <v>1</v>
      </c>
      <c r="E41" s="5">
        <f t="shared" si="47"/>
        <v>0</v>
      </c>
      <c r="F41" s="5">
        <f t="shared" si="46"/>
        <v>0</v>
      </c>
      <c r="G41" s="5">
        <f t="shared" si="46"/>
        <v>0</v>
      </c>
      <c r="H41" s="5">
        <f t="shared" si="46"/>
        <v>0</v>
      </c>
      <c r="I41" s="5">
        <f t="shared" si="46"/>
        <v>0</v>
      </c>
      <c r="J41" s="5">
        <f t="shared" si="46"/>
        <v>0</v>
      </c>
      <c r="K41" s="5">
        <f t="shared" si="46"/>
        <v>0</v>
      </c>
      <c r="L41" s="5">
        <f t="shared" si="46"/>
        <v>0</v>
      </c>
      <c r="M41" s="5">
        <f t="shared" si="46"/>
        <v>0</v>
      </c>
      <c r="N41" s="5">
        <f t="shared" si="46"/>
        <v>0</v>
      </c>
      <c r="O41" s="5">
        <f t="shared" si="46"/>
        <v>0</v>
      </c>
      <c r="P41" s="5">
        <f t="shared" si="46"/>
        <v>0</v>
      </c>
      <c r="Q41" s="5">
        <f t="shared" si="46"/>
        <v>1</v>
      </c>
      <c r="R41" s="5">
        <f t="shared" si="46"/>
        <v>0</v>
      </c>
      <c r="S41" s="5">
        <f t="shared" si="46"/>
        <v>0</v>
      </c>
      <c r="T41" s="5">
        <f t="shared" si="46"/>
        <v>0</v>
      </c>
      <c r="U41" s="5">
        <f t="shared" si="46"/>
        <v>0</v>
      </c>
      <c r="V41" s="5">
        <f t="shared" si="46"/>
        <v>0</v>
      </c>
      <c r="W41" s="5">
        <f t="shared" si="46"/>
        <v>0</v>
      </c>
      <c r="X41" s="5">
        <f t="shared" si="46"/>
        <v>0</v>
      </c>
      <c r="Y41" s="5">
        <f t="shared" si="46"/>
        <v>0</v>
      </c>
      <c r="Z41" s="5">
        <f t="shared" si="46"/>
        <v>0</v>
      </c>
      <c r="AA41" s="5">
        <f t="shared" si="46"/>
        <v>0</v>
      </c>
      <c r="AB41" s="5">
        <f t="shared" si="46"/>
        <v>0</v>
      </c>
      <c r="AC41" s="5">
        <f t="shared" si="46"/>
        <v>0</v>
      </c>
      <c r="AD41" s="5">
        <f t="shared" si="46"/>
        <v>0</v>
      </c>
      <c r="AE41" s="5">
        <f t="shared" si="46"/>
        <v>0</v>
      </c>
      <c r="AF41" s="5">
        <f t="shared" si="46"/>
        <v>0</v>
      </c>
      <c r="AG41" s="5">
        <f t="shared" si="46"/>
        <v>0</v>
      </c>
      <c r="AH41" s="5">
        <f t="shared" si="46"/>
        <v>0</v>
      </c>
      <c r="AI41" s="5">
        <f t="shared" si="46"/>
        <v>0</v>
      </c>
      <c r="AJ41" s="5">
        <f t="shared" si="46"/>
        <v>0</v>
      </c>
      <c r="AK41" s="5">
        <f t="shared" si="46"/>
        <v>0</v>
      </c>
      <c r="AL41" s="5">
        <f t="shared" si="46"/>
        <v>0</v>
      </c>
      <c r="AM41" s="5">
        <f t="shared" si="46"/>
        <v>0</v>
      </c>
      <c r="AN41" s="5">
        <f t="shared" si="46"/>
        <v>0</v>
      </c>
      <c r="AO41" s="5">
        <f t="shared" si="46"/>
        <v>0</v>
      </c>
      <c r="AP41" s="5">
        <f t="shared" si="46"/>
        <v>0</v>
      </c>
      <c r="AQ41" s="5">
        <f t="shared" si="46"/>
        <v>0</v>
      </c>
      <c r="AR41" s="5">
        <f t="shared" si="46"/>
        <v>0</v>
      </c>
      <c r="AS41" s="5">
        <f t="shared" si="46"/>
        <v>0</v>
      </c>
      <c r="AT41" s="5">
        <f t="shared" si="46"/>
        <v>0</v>
      </c>
    </row>
    <row r="42" spans="1:47" hidden="1">
      <c r="A42" s="117" t="s">
        <v>1305</v>
      </c>
      <c r="B42" s="118" t="s">
        <v>436</v>
      </c>
      <c r="C42" s="5">
        <f t="shared" si="1"/>
        <v>2</v>
      </c>
      <c r="D42" s="5">
        <v>0</v>
      </c>
      <c r="E42" s="5">
        <f t="shared" si="47"/>
        <v>0</v>
      </c>
      <c r="F42" s="5">
        <f t="shared" si="46"/>
        <v>0</v>
      </c>
      <c r="G42" s="5">
        <f t="shared" si="46"/>
        <v>0</v>
      </c>
      <c r="H42" s="5">
        <f t="shared" si="46"/>
        <v>0</v>
      </c>
      <c r="I42" s="5">
        <f t="shared" si="46"/>
        <v>0</v>
      </c>
      <c r="J42" s="5">
        <f t="shared" si="46"/>
        <v>0</v>
      </c>
      <c r="K42" s="5">
        <f t="shared" si="46"/>
        <v>0</v>
      </c>
      <c r="L42" s="5">
        <f t="shared" si="46"/>
        <v>0</v>
      </c>
      <c r="M42" s="5">
        <f t="shared" si="46"/>
        <v>0</v>
      </c>
      <c r="N42" s="5">
        <f t="shared" si="46"/>
        <v>0</v>
      </c>
      <c r="O42" s="5">
        <f t="shared" si="46"/>
        <v>0</v>
      </c>
      <c r="P42" s="5">
        <f t="shared" si="46"/>
        <v>0</v>
      </c>
      <c r="Q42" s="5">
        <f t="shared" si="46"/>
        <v>1</v>
      </c>
      <c r="R42" s="5">
        <f t="shared" si="46"/>
        <v>0</v>
      </c>
      <c r="S42" s="5">
        <f t="shared" si="46"/>
        <v>0</v>
      </c>
      <c r="T42" s="5">
        <f t="shared" si="46"/>
        <v>0</v>
      </c>
      <c r="U42" s="5">
        <f t="shared" si="46"/>
        <v>0</v>
      </c>
      <c r="V42" s="5">
        <f t="shared" si="46"/>
        <v>0</v>
      </c>
      <c r="W42" s="5">
        <f t="shared" si="46"/>
        <v>0</v>
      </c>
      <c r="X42" s="5">
        <f t="shared" si="46"/>
        <v>0</v>
      </c>
      <c r="Y42" s="5">
        <f t="shared" si="46"/>
        <v>0</v>
      </c>
      <c r="Z42" s="5">
        <f t="shared" si="46"/>
        <v>0</v>
      </c>
      <c r="AA42" s="5">
        <f t="shared" si="46"/>
        <v>0</v>
      </c>
      <c r="AB42" s="5">
        <f t="shared" si="46"/>
        <v>0</v>
      </c>
      <c r="AC42" s="5">
        <f t="shared" si="46"/>
        <v>0</v>
      </c>
      <c r="AD42" s="5">
        <f t="shared" si="46"/>
        <v>0</v>
      </c>
      <c r="AE42" s="5">
        <f t="shared" si="46"/>
        <v>1</v>
      </c>
      <c r="AF42" s="5">
        <f t="shared" si="46"/>
        <v>0</v>
      </c>
      <c r="AG42" s="5">
        <f t="shared" si="46"/>
        <v>0</v>
      </c>
      <c r="AH42" s="5">
        <f t="shared" si="46"/>
        <v>0</v>
      </c>
      <c r="AI42" s="5">
        <f t="shared" si="46"/>
        <v>0</v>
      </c>
      <c r="AJ42" s="5">
        <f t="shared" si="46"/>
        <v>0</v>
      </c>
      <c r="AK42" s="5">
        <f t="shared" si="46"/>
        <v>0</v>
      </c>
      <c r="AL42" s="5">
        <f t="shared" si="46"/>
        <v>0</v>
      </c>
      <c r="AM42" s="5">
        <f t="shared" si="46"/>
        <v>0</v>
      </c>
      <c r="AN42" s="5">
        <f t="shared" si="46"/>
        <v>0</v>
      </c>
      <c r="AO42" s="5">
        <f t="shared" si="46"/>
        <v>0</v>
      </c>
      <c r="AP42" s="5">
        <f t="shared" si="46"/>
        <v>0</v>
      </c>
      <c r="AQ42" s="5">
        <f t="shared" si="46"/>
        <v>0</v>
      </c>
      <c r="AR42" s="5">
        <f t="shared" si="46"/>
        <v>0</v>
      </c>
      <c r="AS42" s="5">
        <f t="shared" si="46"/>
        <v>0</v>
      </c>
      <c r="AT42" s="5">
        <f t="shared" si="46"/>
        <v>0</v>
      </c>
    </row>
    <row r="43" spans="1:47" hidden="1">
      <c r="A43" s="117" t="s">
        <v>1336</v>
      </c>
      <c r="B43" s="118" t="s">
        <v>436</v>
      </c>
      <c r="C43" s="5">
        <f t="shared" si="1"/>
        <v>3</v>
      </c>
      <c r="D43" s="5">
        <v>0</v>
      </c>
      <c r="E43" s="5">
        <f t="shared" si="47"/>
        <v>0</v>
      </c>
      <c r="F43" s="5">
        <f t="shared" si="46"/>
        <v>0</v>
      </c>
      <c r="G43" s="5">
        <f t="shared" si="46"/>
        <v>0</v>
      </c>
      <c r="H43" s="5">
        <f t="shared" si="46"/>
        <v>0</v>
      </c>
      <c r="I43" s="5">
        <f t="shared" si="46"/>
        <v>0</v>
      </c>
      <c r="J43" s="5">
        <f t="shared" si="46"/>
        <v>0</v>
      </c>
      <c r="K43" s="5">
        <f t="shared" si="46"/>
        <v>0</v>
      </c>
      <c r="L43" s="5">
        <f t="shared" si="46"/>
        <v>0</v>
      </c>
      <c r="M43" s="5">
        <f t="shared" si="46"/>
        <v>0</v>
      </c>
      <c r="N43" s="5">
        <f t="shared" si="46"/>
        <v>0</v>
      </c>
      <c r="O43" s="5">
        <f t="shared" si="46"/>
        <v>0</v>
      </c>
      <c r="P43" s="5">
        <f t="shared" si="46"/>
        <v>0</v>
      </c>
      <c r="Q43" s="5">
        <f t="shared" si="46"/>
        <v>1</v>
      </c>
      <c r="R43" s="5">
        <f t="shared" si="46"/>
        <v>0</v>
      </c>
      <c r="S43" s="5">
        <f t="shared" si="46"/>
        <v>0</v>
      </c>
      <c r="T43" s="5">
        <f t="shared" si="46"/>
        <v>1</v>
      </c>
      <c r="U43" s="5">
        <f t="shared" si="46"/>
        <v>0</v>
      </c>
      <c r="V43" s="5">
        <f t="shared" si="46"/>
        <v>0</v>
      </c>
      <c r="W43" s="5">
        <f t="shared" si="46"/>
        <v>0</v>
      </c>
      <c r="X43" s="5">
        <f t="shared" si="46"/>
        <v>0</v>
      </c>
      <c r="Y43" s="5">
        <f t="shared" si="46"/>
        <v>0</v>
      </c>
      <c r="Z43" s="5">
        <f t="shared" si="46"/>
        <v>0</v>
      </c>
      <c r="AA43" s="5">
        <f t="shared" si="46"/>
        <v>0</v>
      </c>
      <c r="AB43" s="5">
        <f t="shared" si="46"/>
        <v>0</v>
      </c>
      <c r="AC43" s="5">
        <f t="shared" si="46"/>
        <v>0</v>
      </c>
      <c r="AD43" s="5">
        <f t="shared" si="46"/>
        <v>0</v>
      </c>
      <c r="AE43" s="5">
        <f t="shared" si="46"/>
        <v>0</v>
      </c>
      <c r="AF43" s="5">
        <f t="shared" si="46"/>
        <v>0</v>
      </c>
      <c r="AG43" s="5">
        <f t="shared" si="46"/>
        <v>1</v>
      </c>
      <c r="AH43" s="5">
        <f t="shared" si="46"/>
        <v>0</v>
      </c>
      <c r="AI43" s="5">
        <f t="shared" si="46"/>
        <v>0</v>
      </c>
      <c r="AJ43" s="5">
        <f t="shared" si="46"/>
        <v>0</v>
      </c>
      <c r="AK43" s="5">
        <f t="shared" si="46"/>
        <v>0</v>
      </c>
      <c r="AL43" s="5">
        <f t="shared" si="46"/>
        <v>0</v>
      </c>
      <c r="AM43" s="5">
        <f t="shared" si="46"/>
        <v>0</v>
      </c>
      <c r="AN43" s="5">
        <f t="shared" si="46"/>
        <v>0</v>
      </c>
      <c r="AO43" s="5">
        <f t="shared" si="46"/>
        <v>0</v>
      </c>
      <c r="AP43" s="5">
        <f t="shared" si="46"/>
        <v>0</v>
      </c>
      <c r="AQ43" s="5">
        <f t="shared" si="46"/>
        <v>0</v>
      </c>
      <c r="AR43" s="5">
        <f t="shared" si="46"/>
        <v>0</v>
      </c>
      <c r="AS43" s="5">
        <f t="shared" si="46"/>
        <v>0</v>
      </c>
      <c r="AT43" s="5">
        <f t="shared" si="46"/>
        <v>0</v>
      </c>
    </row>
    <row r="44" spans="1:47" hidden="1">
      <c r="A44" s="117" t="s">
        <v>1306</v>
      </c>
      <c r="B44" s="118" t="s">
        <v>597</v>
      </c>
      <c r="C44" s="5">
        <f t="shared" si="1"/>
        <v>1</v>
      </c>
      <c r="D44" s="5">
        <v>2</v>
      </c>
      <c r="E44" s="5">
        <f t="shared" si="47"/>
        <v>0</v>
      </c>
      <c r="F44" s="5">
        <f t="shared" si="46"/>
        <v>0</v>
      </c>
      <c r="G44" s="5">
        <f t="shared" si="46"/>
        <v>0</v>
      </c>
      <c r="H44" s="5">
        <f t="shared" si="46"/>
        <v>0</v>
      </c>
      <c r="I44" s="5">
        <f t="shared" si="46"/>
        <v>0</v>
      </c>
      <c r="J44" s="5">
        <f t="shared" si="46"/>
        <v>0</v>
      </c>
      <c r="K44" s="5">
        <f t="shared" si="46"/>
        <v>0</v>
      </c>
      <c r="L44" s="5">
        <f t="shared" si="46"/>
        <v>0</v>
      </c>
      <c r="M44" s="5">
        <f t="shared" si="46"/>
        <v>0</v>
      </c>
      <c r="N44" s="5">
        <f t="shared" si="46"/>
        <v>0</v>
      </c>
      <c r="O44" s="5">
        <f t="shared" si="46"/>
        <v>0</v>
      </c>
      <c r="P44" s="5">
        <f t="shared" si="46"/>
        <v>0</v>
      </c>
      <c r="Q44" s="5">
        <f t="shared" si="46"/>
        <v>0</v>
      </c>
      <c r="R44" s="5">
        <f t="shared" si="46"/>
        <v>0</v>
      </c>
      <c r="S44" s="5">
        <f t="shared" si="46"/>
        <v>0</v>
      </c>
      <c r="T44" s="5">
        <f t="shared" si="46"/>
        <v>0</v>
      </c>
      <c r="U44" s="5">
        <f t="shared" si="46"/>
        <v>1</v>
      </c>
      <c r="V44" s="5">
        <f t="shared" si="46"/>
        <v>0</v>
      </c>
      <c r="W44" s="5">
        <f t="shared" si="46"/>
        <v>0</v>
      </c>
      <c r="X44" s="5">
        <f t="shared" si="46"/>
        <v>0</v>
      </c>
      <c r="Y44" s="5">
        <f t="shared" si="46"/>
        <v>0</v>
      </c>
      <c r="Z44" s="5">
        <f t="shared" si="46"/>
        <v>0</v>
      </c>
      <c r="AA44" s="5">
        <f t="shared" si="46"/>
        <v>0</v>
      </c>
      <c r="AB44" s="5">
        <f t="shared" si="46"/>
        <v>0</v>
      </c>
      <c r="AC44" s="5">
        <f t="shared" si="46"/>
        <v>0</v>
      </c>
      <c r="AD44" s="5">
        <f t="shared" si="46"/>
        <v>0</v>
      </c>
      <c r="AE44" s="5">
        <f t="shared" si="46"/>
        <v>0</v>
      </c>
      <c r="AF44" s="5">
        <f t="shared" si="46"/>
        <v>0</v>
      </c>
      <c r="AG44" s="5">
        <f t="shared" si="46"/>
        <v>0</v>
      </c>
      <c r="AH44" s="5">
        <f t="shared" si="46"/>
        <v>0</v>
      </c>
      <c r="AI44" s="5">
        <f t="shared" si="46"/>
        <v>0</v>
      </c>
      <c r="AJ44" s="5">
        <f t="shared" si="46"/>
        <v>0</v>
      </c>
      <c r="AK44" s="5">
        <f t="shared" si="46"/>
        <v>0</v>
      </c>
      <c r="AL44" s="5">
        <f t="shared" si="46"/>
        <v>0</v>
      </c>
      <c r="AM44" s="5">
        <f t="shared" si="46"/>
        <v>0</v>
      </c>
      <c r="AN44" s="5">
        <f t="shared" si="46"/>
        <v>0</v>
      </c>
      <c r="AO44" s="5">
        <f t="shared" si="46"/>
        <v>0</v>
      </c>
      <c r="AP44" s="5">
        <f t="shared" si="46"/>
        <v>0</v>
      </c>
      <c r="AQ44" s="5">
        <f t="shared" si="46"/>
        <v>0</v>
      </c>
      <c r="AR44" s="5">
        <f t="shared" si="46"/>
        <v>0</v>
      </c>
      <c r="AS44" s="5">
        <f t="shared" si="46"/>
        <v>0</v>
      </c>
      <c r="AT44" s="5">
        <f t="shared" si="46"/>
        <v>0</v>
      </c>
    </row>
    <row r="45" spans="1:47" hidden="1">
      <c r="A45" s="117" t="s">
        <v>1309</v>
      </c>
      <c r="B45" s="118" t="s">
        <v>597</v>
      </c>
      <c r="C45" s="5">
        <f t="shared" si="1"/>
        <v>2</v>
      </c>
      <c r="D45" s="5">
        <v>0</v>
      </c>
      <c r="E45" s="5">
        <f t="shared" si="47"/>
        <v>0</v>
      </c>
      <c r="F45" s="5">
        <f t="shared" si="46"/>
        <v>0</v>
      </c>
      <c r="G45" s="5">
        <f t="shared" si="46"/>
        <v>0</v>
      </c>
      <c r="H45" s="5">
        <f t="shared" si="46"/>
        <v>0</v>
      </c>
      <c r="I45" s="5">
        <f t="shared" si="46"/>
        <v>0</v>
      </c>
      <c r="J45" s="5">
        <f t="shared" si="46"/>
        <v>0</v>
      </c>
      <c r="K45" s="5">
        <f t="shared" si="46"/>
        <v>0</v>
      </c>
      <c r="L45" s="5">
        <f t="shared" si="46"/>
        <v>0</v>
      </c>
      <c r="M45" s="5">
        <f t="shared" si="46"/>
        <v>0</v>
      </c>
      <c r="N45" s="5">
        <f t="shared" si="46"/>
        <v>0</v>
      </c>
      <c r="O45" s="5">
        <f t="shared" si="46"/>
        <v>0</v>
      </c>
      <c r="P45" s="5">
        <f t="shared" si="46"/>
        <v>0</v>
      </c>
      <c r="Q45" s="5">
        <f t="shared" si="46"/>
        <v>0</v>
      </c>
      <c r="R45" s="5">
        <f t="shared" si="46"/>
        <v>0</v>
      </c>
      <c r="S45" s="5">
        <f t="shared" si="46"/>
        <v>0</v>
      </c>
      <c r="T45" s="5">
        <f t="shared" si="46"/>
        <v>1</v>
      </c>
      <c r="U45" s="5">
        <f t="shared" si="46"/>
        <v>0</v>
      </c>
      <c r="V45" s="5">
        <f t="shared" si="46"/>
        <v>0</v>
      </c>
      <c r="W45" s="5">
        <f t="shared" si="46"/>
        <v>0</v>
      </c>
      <c r="X45" s="5">
        <f t="shared" si="46"/>
        <v>0</v>
      </c>
      <c r="Y45" s="5">
        <f t="shared" si="46"/>
        <v>0</v>
      </c>
      <c r="Z45" s="5">
        <f t="shared" si="46"/>
        <v>0</v>
      </c>
      <c r="AA45" s="5">
        <f t="shared" si="46"/>
        <v>0</v>
      </c>
      <c r="AB45" s="5">
        <f t="shared" si="46"/>
        <v>0</v>
      </c>
      <c r="AC45" s="5">
        <f t="shared" si="46"/>
        <v>0</v>
      </c>
      <c r="AD45" s="5">
        <f t="shared" ref="F45:AT51" si="48">IF(AND(COUNTA(AD8)&gt;0,AD$32&gt;0),0,COUNTA(AD8))</f>
        <v>0</v>
      </c>
      <c r="AE45" s="5">
        <f t="shared" si="48"/>
        <v>0</v>
      </c>
      <c r="AF45" s="5">
        <f t="shared" si="48"/>
        <v>1</v>
      </c>
      <c r="AG45" s="5">
        <f t="shared" si="48"/>
        <v>0</v>
      </c>
      <c r="AH45" s="5">
        <f t="shared" si="48"/>
        <v>0</v>
      </c>
      <c r="AI45" s="5">
        <f t="shared" si="48"/>
        <v>0</v>
      </c>
      <c r="AJ45" s="5">
        <f t="shared" si="48"/>
        <v>0</v>
      </c>
      <c r="AK45" s="5">
        <f t="shared" si="48"/>
        <v>0</v>
      </c>
      <c r="AL45" s="5">
        <f t="shared" si="48"/>
        <v>0</v>
      </c>
      <c r="AM45" s="5">
        <f t="shared" si="48"/>
        <v>0</v>
      </c>
      <c r="AN45" s="5">
        <f t="shared" si="48"/>
        <v>0</v>
      </c>
      <c r="AO45" s="5">
        <f t="shared" si="48"/>
        <v>0</v>
      </c>
      <c r="AP45" s="5">
        <f t="shared" si="48"/>
        <v>0</v>
      </c>
      <c r="AQ45" s="5">
        <f t="shared" si="48"/>
        <v>0</v>
      </c>
      <c r="AR45" s="5">
        <f t="shared" si="48"/>
        <v>0</v>
      </c>
      <c r="AS45" s="5">
        <f t="shared" si="48"/>
        <v>0</v>
      </c>
      <c r="AT45" s="5">
        <f t="shared" si="48"/>
        <v>0</v>
      </c>
    </row>
    <row r="46" spans="1:47" hidden="1">
      <c r="A46" s="117" t="s">
        <v>1316</v>
      </c>
      <c r="B46" s="118" t="s">
        <v>597</v>
      </c>
      <c r="C46" s="5">
        <f t="shared" si="1"/>
        <v>1</v>
      </c>
      <c r="D46" s="5">
        <v>0</v>
      </c>
      <c r="E46" s="5">
        <f t="shared" si="47"/>
        <v>0</v>
      </c>
      <c r="F46" s="5">
        <f t="shared" si="48"/>
        <v>0</v>
      </c>
      <c r="G46" s="5">
        <f t="shared" si="48"/>
        <v>0</v>
      </c>
      <c r="H46" s="5">
        <f t="shared" si="48"/>
        <v>0</v>
      </c>
      <c r="I46" s="5">
        <f t="shared" si="48"/>
        <v>0</v>
      </c>
      <c r="J46" s="5">
        <f t="shared" si="48"/>
        <v>0</v>
      </c>
      <c r="K46" s="5">
        <f t="shared" si="48"/>
        <v>0</v>
      </c>
      <c r="L46" s="5">
        <f t="shared" si="48"/>
        <v>0</v>
      </c>
      <c r="M46" s="5">
        <f t="shared" si="48"/>
        <v>0</v>
      </c>
      <c r="N46" s="5">
        <f t="shared" si="48"/>
        <v>0</v>
      </c>
      <c r="O46" s="5">
        <f t="shared" si="48"/>
        <v>0</v>
      </c>
      <c r="P46" s="5">
        <f t="shared" si="48"/>
        <v>1</v>
      </c>
      <c r="Q46" s="5">
        <f t="shared" si="48"/>
        <v>0</v>
      </c>
      <c r="R46" s="5">
        <f t="shared" si="48"/>
        <v>0</v>
      </c>
      <c r="S46" s="5">
        <f t="shared" si="48"/>
        <v>0</v>
      </c>
      <c r="T46" s="5">
        <f t="shared" si="48"/>
        <v>0</v>
      </c>
      <c r="U46" s="5">
        <f t="shared" si="48"/>
        <v>0</v>
      </c>
      <c r="V46" s="5">
        <f t="shared" si="48"/>
        <v>0</v>
      </c>
      <c r="W46" s="5">
        <f t="shared" si="48"/>
        <v>0</v>
      </c>
      <c r="X46" s="5">
        <f t="shared" si="48"/>
        <v>0</v>
      </c>
      <c r="Y46" s="5">
        <f t="shared" si="48"/>
        <v>0</v>
      </c>
      <c r="Z46" s="5">
        <f t="shared" si="48"/>
        <v>0</v>
      </c>
      <c r="AA46" s="5">
        <f t="shared" si="48"/>
        <v>0</v>
      </c>
      <c r="AB46" s="5">
        <f t="shared" si="48"/>
        <v>0</v>
      </c>
      <c r="AC46" s="5">
        <f t="shared" si="48"/>
        <v>0</v>
      </c>
      <c r="AD46" s="5">
        <f t="shared" si="48"/>
        <v>0</v>
      </c>
      <c r="AE46" s="5">
        <f t="shared" si="48"/>
        <v>0</v>
      </c>
      <c r="AF46" s="5">
        <f t="shared" si="48"/>
        <v>0</v>
      </c>
      <c r="AG46" s="5">
        <f t="shared" si="48"/>
        <v>0</v>
      </c>
      <c r="AH46" s="5">
        <f t="shared" si="48"/>
        <v>0</v>
      </c>
      <c r="AI46" s="5">
        <f t="shared" si="48"/>
        <v>0</v>
      </c>
      <c r="AJ46" s="5">
        <f t="shared" si="48"/>
        <v>0</v>
      </c>
      <c r="AK46" s="5">
        <f t="shared" si="48"/>
        <v>0</v>
      </c>
      <c r="AL46" s="5">
        <f t="shared" si="48"/>
        <v>0</v>
      </c>
      <c r="AM46" s="5">
        <f t="shared" si="48"/>
        <v>0</v>
      </c>
      <c r="AN46" s="5">
        <f t="shared" si="48"/>
        <v>0</v>
      </c>
      <c r="AO46" s="5">
        <f t="shared" si="48"/>
        <v>0</v>
      </c>
      <c r="AP46" s="5">
        <f t="shared" si="48"/>
        <v>0</v>
      </c>
      <c r="AQ46" s="5">
        <f t="shared" si="48"/>
        <v>0</v>
      </c>
      <c r="AR46" s="5">
        <f t="shared" si="48"/>
        <v>0</v>
      </c>
      <c r="AS46" s="5">
        <f t="shared" si="48"/>
        <v>0</v>
      </c>
      <c r="AT46" s="5">
        <f t="shared" si="48"/>
        <v>0</v>
      </c>
    </row>
    <row r="47" spans="1:47" hidden="1">
      <c r="A47" s="117" t="s">
        <v>1304</v>
      </c>
      <c r="B47" s="118" t="s">
        <v>586</v>
      </c>
      <c r="C47" s="5">
        <f t="shared" si="1"/>
        <v>2</v>
      </c>
      <c r="D47" s="5">
        <v>2</v>
      </c>
      <c r="E47" s="5">
        <f t="shared" si="47"/>
        <v>0</v>
      </c>
      <c r="F47" s="5">
        <f t="shared" si="48"/>
        <v>0</v>
      </c>
      <c r="G47" s="5">
        <f t="shared" si="48"/>
        <v>0</v>
      </c>
      <c r="H47" s="5">
        <f t="shared" si="48"/>
        <v>0</v>
      </c>
      <c r="I47" s="5">
        <f t="shared" si="48"/>
        <v>0</v>
      </c>
      <c r="J47" s="5">
        <f t="shared" si="48"/>
        <v>0</v>
      </c>
      <c r="K47" s="5">
        <f t="shared" si="48"/>
        <v>0</v>
      </c>
      <c r="L47" s="5">
        <f t="shared" si="48"/>
        <v>0</v>
      </c>
      <c r="M47" s="5">
        <f t="shared" si="48"/>
        <v>0</v>
      </c>
      <c r="N47" s="5">
        <f t="shared" si="48"/>
        <v>0</v>
      </c>
      <c r="O47" s="5">
        <f t="shared" si="48"/>
        <v>0</v>
      </c>
      <c r="P47" s="5">
        <f t="shared" si="48"/>
        <v>0</v>
      </c>
      <c r="Q47" s="5">
        <f t="shared" si="48"/>
        <v>0</v>
      </c>
      <c r="R47" s="5">
        <f t="shared" si="48"/>
        <v>0</v>
      </c>
      <c r="S47" s="5">
        <f t="shared" si="48"/>
        <v>0</v>
      </c>
      <c r="T47" s="5">
        <f t="shared" si="48"/>
        <v>0</v>
      </c>
      <c r="U47" s="5">
        <f t="shared" si="48"/>
        <v>0</v>
      </c>
      <c r="V47" s="5">
        <f t="shared" si="48"/>
        <v>0</v>
      </c>
      <c r="W47" s="5">
        <f t="shared" si="48"/>
        <v>0</v>
      </c>
      <c r="X47" s="5">
        <f t="shared" si="48"/>
        <v>0</v>
      </c>
      <c r="Y47" s="5">
        <f t="shared" si="48"/>
        <v>0</v>
      </c>
      <c r="Z47" s="5">
        <f t="shared" si="48"/>
        <v>0</v>
      </c>
      <c r="AA47" s="5">
        <f t="shared" si="48"/>
        <v>0</v>
      </c>
      <c r="AB47" s="5">
        <f t="shared" si="48"/>
        <v>0</v>
      </c>
      <c r="AC47" s="5">
        <f t="shared" si="48"/>
        <v>0</v>
      </c>
      <c r="AD47" s="5">
        <f t="shared" si="48"/>
        <v>0</v>
      </c>
      <c r="AE47" s="5">
        <f t="shared" si="48"/>
        <v>0</v>
      </c>
      <c r="AF47" s="5">
        <f t="shared" si="48"/>
        <v>0</v>
      </c>
      <c r="AG47" s="5">
        <f t="shared" si="48"/>
        <v>0</v>
      </c>
      <c r="AH47" s="5">
        <f t="shared" si="48"/>
        <v>1</v>
      </c>
      <c r="AI47" s="5">
        <f t="shared" si="48"/>
        <v>1</v>
      </c>
      <c r="AJ47" s="5">
        <f t="shared" si="48"/>
        <v>0</v>
      </c>
      <c r="AK47" s="5">
        <f t="shared" si="48"/>
        <v>0</v>
      </c>
      <c r="AL47" s="5">
        <f t="shared" si="48"/>
        <v>0</v>
      </c>
      <c r="AM47" s="5">
        <f t="shared" si="48"/>
        <v>0</v>
      </c>
      <c r="AN47" s="5">
        <f t="shared" si="48"/>
        <v>0</v>
      </c>
      <c r="AO47" s="5">
        <f t="shared" si="48"/>
        <v>0</v>
      </c>
      <c r="AP47" s="5">
        <f t="shared" si="48"/>
        <v>0</v>
      </c>
      <c r="AQ47" s="5">
        <f t="shared" si="48"/>
        <v>0</v>
      </c>
      <c r="AR47" s="5">
        <f t="shared" si="48"/>
        <v>0</v>
      </c>
      <c r="AS47" s="5">
        <f t="shared" si="48"/>
        <v>0</v>
      </c>
      <c r="AT47" s="5">
        <f t="shared" si="48"/>
        <v>0</v>
      </c>
    </row>
    <row r="48" spans="1:47" hidden="1">
      <c r="A48" s="117" t="s">
        <v>1301</v>
      </c>
      <c r="B48" s="118" t="s">
        <v>421</v>
      </c>
      <c r="C48" s="5">
        <f t="shared" si="1"/>
        <v>2</v>
      </c>
      <c r="D48" s="5">
        <v>2</v>
      </c>
      <c r="E48" s="5">
        <f t="shared" si="47"/>
        <v>0</v>
      </c>
      <c r="F48" s="5">
        <f t="shared" si="48"/>
        <v>0</v>
      </c>
      <c r="G48" s="5">
        <f t="shared" si="48"/>
        <v>0</v>
      </c>
      <c r="H48" s="5">
        <f t="shared" si="48"/>
        <v>0</v>
      </c>
      <c r="I48" s="5">
        <f t="shared" si="48"/>
        <v>0</v>
      </c>
      <c r="J48" s="5">
        <f t="shared" si="48"/>
        <v>0</v>
      </c>
      <c r="K48" s="5">
        <f t="shared" si="48"/>
        <v>0</v>
      </c>
      <c r="L48" s="5">
        <f t="shared" si="48"/>
        <v>0</v>
      </c>
      <c r="M48" s="5">
        <f t="shared" si="48"/>
        <v>0</v>
      </c>
      <c r="N48" s="5">
        <f t="shared" si="48"/>
        <v>0</v>
      </c>
      <c r="O48" s="5">
        <f t="shared" si="48"/>
        <v>0</v>
      </c>
      <c r="P48" s="5">
        <f t="shared" si="48"/>
        <v>0</v>
      </c>
      <c r="Q48" s="5">
        <f t="shared" si="48"/>
        <v>0</v>
      </c>
      <c r="R48" s="5">
        <f t="shared" si="48"/>
        <v>0</v>
      </c>
      <c r="S48" s="5">
        <f t="shared" si="48"/>
        <v>0</v>
      </c>
      <c r="T48" s="5">
        <f t="shared" si="48"/>
        <v>0</v>
      </c>
      <c r="U48" s="5">
        <f t="shared" si="48"/>
        <v>0</v>
      </c>
      <c r="V48" s="5">
        <f t="shared" si="48"/>
        <v>0</v>
      </c>
      <c r="W48" s="5">
        <f t="shared" si="48"/>
        <v>0</v>
      </c>
      <c r="X48" s="5">
        <f t="shared" si="48"/>
        <v>0</v>
      </c>
      <c r="Y48" s="5">
        <f t="shared" si="48"/>
        <v>0</v>
      </c>
      <c r="Z48" s="5">
        <f t="shared" si="48"/>
        <v>0</v>
      </c>
      <c r="AA48" s="5">
        <f t="shared" si="48"/>
        <v>0</v>
      </c>
      <c r="AB48" s="5">
        <f t="shared" si="48"/>
        <v>0</v>
      </c>
      <c r="AC48" s="5">
        <f t="shared" si="48"/>
        <v>0</v>
      </c>
      <c r="AD48" s="5">
        <f t="shared" si="48"/>
        <v>0</v>
      </c>
      <c r="AE48" s="5">
        <f t="shared" si="48"/>
        <v>0</v>
      </c>
      <c r="AF48" s="5">
        <f t="shared" si="48"/>
        <v>0</v>
      </c>
      <c r="AG48" s="5">
        <f t="shared" si="48"/>
        <v>0</v>
      </c>
      <c r="AH48" s="5">
        <f t="shared" si="48"/>
        <v>0</v>
      </c>
      <c r="AI48" s="5">
        <f t="shared" si="48"/>
        <v>0</v>
      </c>
      <c r="AJ48" s="5">
        <f t="shared" si="48"/>
        <v>1</v>
      </c>
      <c r="AK48" s="5">
        <f t="shared" si="48"/>
        <v>1</v>
      </c>
      <c r="AL48" s="5">
        <f t="shared" si="48"/>
        <v>0</v>
      </c>
      <c r="AM48" s="5">
        <f t="shared" si="48"/>
        <v>0</v>
      </c>
      <c r="AN48" s="5">
        <f t="shared" si="48"/>
        <v>0</v>
      </c>
      <c r="AO48" s="5">
        <f t="shared" si="48"/>
        <v>0</v>
      </c>
      <c r="AP48" s="5">
        <f t="shared" si="48"/>
        <v>0</v>
      </c>
      <c r="AQ48" s="5">
        <f t="shared" si="48"/>
        <v>0</v>
      </c>
      <c r="AR48" s="5">
        <f t="shared" si="48"/>
        <v>0</v>
      </c>
      <c r="AS48" s="5">
        <f t="shared" si="48"/>
        <v>0</v>
      </c>
      <c r="AT48" s="5">
        <f t="shared" si="48"/>
        <v>0</v>
      </c>
    </row>
    <row r="49" spans="1:46" hidden="1">
      <c r="A49" s="117" t="s">
        <v>1314</v>
      </c>
      <c r="B49" s="118" t="s">
        <v>574</v>
      </c>
      <c r="C49" s="5">
        <f t="shared" si="1"/>
        <v>0</v>
      </c>
      <c r="D49" s="5">
        <v>1</v>
      </c>
      <c r="E49" s="5">
        <f t="shared" si="47"/>
        <v>0</v>
      </c>
      <c r="F49" s="5">
        <f t="shared" si="48"/>
        <v>0</v>
      </c>
      <c r="G49" s="5">
        <f t="shared" si="48"/>
        <v>0</v>
      </c>
      <c r="H49" s="5">
        <f t="shared" si="48"/>
        <v>0</v>
      </c>
      <c r="I49" s="5">
        <f t="shared" si="48"/>
        <v>0</v>
      </c>
      <c r="J49" s="5">
        <f t="shared" si="48"/>
        <v>0</v>
      </c>
      <c r="K49" s="5">
        <f t="shared" si="48"/>
        <v>0</v>
      </c>
      <c r="L49" s="5">
        <f t="shared" si="48"/>
        <v>0</v>
      </c>
      <c r="M49" s="5">
        <f t="shared" si="48"/>
        <v>0</v>
      </c>
      <c r="N49" s="5">
        <f t="shared" si="48"/>
        <v>0</v>
      </c>
      <c r="O49" s="5">
        <f t="shared" si="48"/>
        <v>0</v>
      </c>
      <c r="P49" s="5">
        <f t="shared" si="48"/>
        <v>0</v>
      </c>
      <c r="Q49" s="5">
        <f t="shared" si="48"/>
        <v>0</v>
      </c>
      <c r="R49" s="5">
        <f t="shared" si="48"/>
        <v>0</v>
      </c>
      <c r="S49" s="5">
        <f t="shared" si="48"/>
        <v>0</v>
      </c>
      <c r="T49" s="5">
        <f t="shared" si="48"/>
        <v>0</v>
      </c>
      <c r="U49" s="5">
        <f t="shared" si="48"/>
        <v>0</v>
      </c>
      <c r="V49" s="5">
        <f t="shared" si="48"/>
        <v>0</v>
      </c>
      <c r="W49" s="5">
        <f t="shared" si="48"/>
        <v>0</v>
      </c>
      <c r="X49" s="5">
        <f t="shared" si="48"/>
        <v>0</v>
      </c>
      <c r="Y49" s="5">
        <f t="shared" si="48"/>
        <v>0</v>
      </c>
      <c r="Z49" s="5">
        <f t="shared" si="48"/>
        <v>0</v>
      </c>
      <c r="AA49" s="5">
        <f t="shared" si="48"/>
        <v>0</v>
      </c>
      <c r="AB49" s="5">
        <f t="shared" si="48"/>
        <v>0</v>
      </c>
      <c r="AC49" s="5">
        <f t="shared" si="48"/>
        <v>0</v>
      </c>
      <c r="AD49" s="5">
        <f t="shared" si="48"/>
        <v>0</v>
      </c>
      <c r="AE49" s="5">
        <f t="shared" si="48"/>
        <v>0</v>
      </c>
      <c r="AF49" s="5">
        <f t="shared" si="48"/>
        <v>0</v>
      </c>
      <c r="AG49" s="5">
        <f t="shared" si="48"/>
        <v>0</v>
      </c>
      <c r="AH49" s="5">
        <f t="shared" si="48"/>
        <v>0</v>
      </c>
      <c r="AI49" s="5">
        <f t="shared" si="48"/>
        <v>0</v>
      </c>
      <c r="AJ49" s="5">
        <f t="shared" si="48"/>
        <v>0</v>
      </c>
      <c r="AK49" s="5">
        <f t="shared" si="48"/>
        <v>0</v>
      </c>
      <c r="AL49" s="5">
        <f t="shared" si="48"/>
        <v>0</v>
      </c>
      <c r="AM49" s="5">
        <f t="shared" si="48"/>
        <v>0</v>
      </c>
      <c r="AN49" s="5">
        <f t="shared" si="48"/>
        <v>0</v>
      </c>
      <c r="AO49" s="5">
        <f t="shared" si="48"/>
        <v>0</v>
      </c>
      <c r="AP49" s="5">
        <f t="shared" si="48"/>
        <v>0</v>
      </c>
      <c r="AQ49" s="5">
        <f t="shared" si="48"/>
        <v>0</v>
      </c>
      <c r="AR49" s="5">
        <f t="shared" si="48"/>
        <v>0</v>
      </c>
      <c r="AS49" s="5">
        <f t="shared" si="48"/>
        <v>0</v>
      </c>
      <c r="AT49" s="5">
        <f t="shared" si="48"/>
        <v>0</v>
      </c>
    </row>
    <row r="50" spans="1:46" hidden="1">
      <c r="A50" s="117" t="s">
        <v>1302</v>
      </c>
      <c r="B50" s="118" t="s">
        <v>679</v>
      </c>
      <c r="C50" s="5">
        <f t="shared" si="1"/>
        <v>2</v>
      </c>
      <c r="D50" s="5">
        <v>1</v>
      </c>
      <c r="E50" s="5">
        <f t="shared" si="47"/>
        <v>0</v>
      </c>
      <c r="F50" s="5">
        <f t="shared" si="48"/>
        <v>0</v>
      </c>
      <c r="G50" s="5">
        <f t="shared" si="48"/>
        <v>0</v>
      </c>
      <c r="H50" s="5">
        <f t="shared" si="48"/>
        <v>0</v>
      </c>
      <c r="I50" s="5">
        <f t="shared" si="48"/>
        <v>0</v>
      </c>
      <c r="J50" s="5">
        <f t="shared" si="48"/>
        <v>0</v>
      </c>
      <c r="K50" s="5">
        <f t="shared" si="48"/>
        <v>0</v>
      </c>
      <c r="L50" s="5">
        <f t="shared" si="48"/>
        <v>0</v>
      </c>
      <c r="M50" s="5">
        <f t="shared" si="48"/>
        <v>0</v>
      </c>
      <c r="N50" s="5">
        <f t="shared" si="48"/>
        <v>1</v>
      </c>
      <c r="O50" s="5">
        <f t="shared" si="48"/>
        <v>0</v>
      </c>
      <c r="P50" s="5">
        <f t="shared" si="48"/>
        <v>0</v>
      </c>
      <c r="Q50" s="5">
        <f t="shared" si="48"/>
        <v>0</v>
      </c>
      <c r="R50" s="5">
        <f t="shared" si="48"/>
        <v>0</v>
      </c>
      <c r="S50" s="5">
        <f t="shared" si="48"/>
        <v>1</v>
      </c>
      <c r="T50" s="5">
        <f t="shared" si="48"/>
        <v>0</v>
      </c>
      <c r="U50" s="5">
        <f t="shared" si="48"/>
        <v>0</v>
      </c>
      <c r="V50" s="5">
        <f t="shared" si="48"/>
        <v>0</v>
      </c>
      <c r="W50" s="5">
        <f t="shared" si="48"/>
        <v>0</v>
      </c>
      <c r="X50" s="5">
        <f t="shared" si="48"/>
        <v>0</v>
      </c>
      <c r="Y50" s="5">
        <f t="shared" si="48"/>
        <v>0</v>
      </c>
      <c r="Z50" s="5">
        <f t="shared" si="48"/>
        <v>0</v>
      </c>
      <c r="AA50" s="5">
        <f t="shared" si="48"/>
        <v>0</v>
      </c>
      <c r="AB50" s="5">
        <f t="shared" si="48"/>
        <v>0</v>
      </c>
      <c r="AC50" s="5">
        <f t="shared" si="48"/>
        <v>0</v>
      </c>
      <c r="AD50" s="5">
        <f t="shared" si="48"/>
        <v>0</v>
      </c>
      <c r="AE50" s="5">
        <f t="shared" si="48"/>
        <v>0</v>
      </c>
      <c r="AF50" s="5">
        <f t="shared" si="48"/>
        <v>0</v>
      </c>
      <c r="AG50" s="5">
        <f t="shared" si="48"/>
        <v>0</v>
      </c>
      <c r="AH50" s="5">
        <f t="shared" si="48"/>
        <v>0</v>
      </c>
      <c r="AI50" s="5">
        <f t="shared" si="48"/>
        <v>0</v>
      </c>
      <c r="AJ50" s="5">
        <f t="shared" si="48"/>
        <v>0</v>
      </c>
      <c r="AK50" s="5">
        <f t="shared" si="48"/>
        <v>0</v>
      </c>
      <c r="AL50" s="5">
        <f t="shared" si="48"/>
        <v>0</v>
      </c>
      <c r="AM50" s="5">
        <f t="shared" si="48"/>
        <v>0</v>
      </c>
      <c r="AN50" s="5">
        <f t="shared" si="48"/>
        <v>0</v>
      </c>
      <c r="AO50" s="5">
        <f t="shared" si="48"/>
        <v>0</v>
      </c>
      <c r="AP50" s="5">
        <f t="shared" si="48"/>
        <v>0</v>
      </c>
      <c r="AQ50" s="5">
        <f t="shared" si="48"/>
        <v>0</v>
      </c>
      <c r="AR50" s="5">
        <f t="shared" si="48"/>
        <v>0</v>
      </c>
      <c r="AS50" s="5">
        <f t="shared" si="48"/>
        <v>0</v>
      </c>
      <c r="AT50" s="5">
        <f t="shared" si="48"/>
        <v>0</v>
      </c>
    </row>
    <row r="51" spans="1:46" hidden="1">
      <c r="A51" s="117" t="s">
        <v>1327</v>
      </c>
      <c r="B51" s="118" t="s">
        <v>679</v>
      </c>
      <c r="C51" s="5">
        <f t="shared" si="1"/>
        <v>2</v>
      </c>
      <c r="D51" s="5">
        <v>0</v>
      </c>
      <c r="E51" s="5">
        <f t="shared" si="47"/>
        <v>0</v>
      </c>
      <c r="F51" s="5">
        <f t="shared" si="48"/>
        <v>0</v>
      </c>
      <c r="G51" s="5">
        <f t="shared" si="48"/>
        <v>0</v>
      </c>
      <c r="H51" s="5">
        <f t="shared" si="48"/>
        <v>0</v>
      </c>
      <c r="I51" s="5">
        <f t="shared" si="48"/>
        <v>0</v>
      </c>
      <c r="J51" s="5">
        <f t="shared" si="48"/>
        <v>0</v>
      </c>
      <c r="K51" s="5">
        <f t="shared" si="48"/>
        <v>0</v>
      </c>
      <c r="L51" s="5">
        <f t="shared" si="48"/>
        <v>0</v>
      </c>
      <c r="M51" s="5">
        <f t="shared" si="48"/>
        <v>0</v>
      </c>
      <c r="N51" s="5">
        <f t="shared" si="48"/>
        <v>1</v>
      </c>
      <c r="O51" s="5">
        <f t="shared" si="48"/>
        <v>0</v>
      </c>
      <c r="P51" s="5">
        <f t="shared" si="48"/>
        <v>0</v>
      </c>
      <c r="Q51" s="5">
        <f t="shared" si="48"/>
        <v>0</v>
      </c>
      <c r="R51" s="5">
        <f t="shared" si="48"/>
        <v>0</v>
      </c>
      <c r="S51" s="5">
        <f t="shared" si="48"/>
        <v>1</v>
      </c>
      <c r="T51" s="5">
        <f t="shared" si="48"/>
        <v>0</v>
      </c>
      <c r="U51" s="5">
        <f t="shared" si="48"/>
        <v>0</v>
      </c>
      <c r="V51" s="5">
        <f t="shared" si="48"/>
        <v>0</v>
      </c>
      <c r="W51" s="5">
        <f t="shared" si="48"/>
        <v>0</v>
      </c>
      <c r="X51" s="5">
        <f t="shared" si="48"/>
        <v>0</v>
      </c>
      <c r="Y51" s="5">
        <f t="shared" si="48"/>
        <v>0</v>
      </c>
      <c r="Z51" s="5">
        <f t="shared" si="48"/>
        <v>0</v>
      </c>
      <c r="AA51" s="5">
        <f t="shared" si="48"/>
        <v>0</v>
      </c>
      <c r="AB51" s="5">
        <f t="shared" si="48"/>
        <v>0</v>
      </c>
      <c r="AC51" s="5">
        <f t="shared" si="48"/>
        <v>0</v>
      </c>
      <c r="AD51" s="5">
        <f t="shared" si="48"/>
        <v>0</v>
      </c>
      <c r="AE51" s="5">
        <f t="shared" si="48"/>
        <v>0</v>
      </c>
      <c r="AF51" s="5">
        <f t="shared" si="48"/>
        <v>0</v>
      </c>
      <c r="AG51" s="5">
        <f t="shared" si="48"/>
        <v>0</v>
      </c>
      <c r="AH51" s="5">
        <f t="shared" si="48"/>
        <v>0</v>
      </c>
      <c r="AI51" s="5">
        <f t="shared" si="48"/>
        <v>0</v>
      </c>
      <c r="AJ51" s="5">
        <f t="shared" si="48"/>
        <v>0</v>
      </c>
      <c r="AK51" s="5">
        <f t="shared" si="48"/>
        <v>0</v>
      </c>
      <c r="AL51" s="5">
        <f t="shared" si="48"/>
        <v>0</v>
      </c>
      <c r="AM51" s="5">
        <f t="shared" ref="F51:AT56" si="49">IF(AND(COUNTA(AM14)&gt;0,AM$32&gt;0),0,COUNTA(AM14))</f>
        <v>0</v>
      </c>
      <c r="AN51" s="5">
        <f t="shared" si="49"/>
        <v>0</v>
      </c>
      <c r="AO51" s="5">
        <f t="shared" si="49"/>
        <v>0</v>
      </c>
      <c r="AP51" s="5">
        <f t="shared" si="49"/>
        <v>0</v>
      </c>
      <c r="AQ51" s="5">
        <f t="shared" si="49"/>
        <v>0</v>
      </c>
      <c r="AR51" s="5">
        <f t="shared" si="49"/>
        <v>0</v>
      </c>
      <c r="AS51" s="5">
        <f t="shared" si="49"/>
        <v>0</v>
      </c>
      <c r="AT51" s="5">
        <f t="shared" si="49"/>
        <v>0</v>
      </c>
    </row>
    <row r="52" spans="1:46" ht="30" hidden="1">
      <c r="A52" s="117" t="s">
        <v>1326</v>
      </c>
      <c r="B52" s="118" t="s">
        <v>568</v>
      </c>
      <c r="C52" s="5">
        <f t="shared" si="1"/>
        <v>2</v>
      </c>
      <c r="D52" s="5">
        <v>1</v>
      </c>
      <c r="E52" s="5">
        <f t="shared" si="47"/>
        <v>0</v>
      </c>
      <c r="F52" s="5">
        <f t="shared" si="49"/>
        <v>0</v>
      </c>
      <c r="G52" s="5">
        <f t="shared" si="49"/>
        <v>0</v>
      </c>
      <c r="H52" s="5">
        <f t="shared" si="49"/>
        <v>0</v>
      </c>
      <c r="I52" s="5">
        <f t="shared" si="49"/>
        <v>0</v>
      </c>
      <c r="J52" s="5">
        <f t="shared" si="49"/>
        <v>0</v>
      </c>
      <c r="K52" s="5">
        <f t="shared" si="49"/>
        <v>0</v>
      </c>
      <c r="L52" s="5">
        <f t="shared" si="49"/>
        <v>0</v>
      </c>
      <c r="M52" s="5">
        <f t="shared" si="49"/>
        <v>0</v>
      </c>
      <c r="N52" s="5">
        <f t="shared" si="49"/>
        <v>1</v>
      </c>
      <c r="O52" s="5">
        <f t="shared" si="49"/>
        <v>0</v>
      </c>
      <c r="P52" s="5">
        <f t="shared" si="49"/>
        <v>0</v>
      </c>
      <c r="Q52" s="5">
        <f t="shared" si="49"/>
        <v>0</v>
      </c>
      <c r="R52" s="5">
        <f t="shared" si="49"/>
        <v>0</v>
      </c>
      <c r="S52" s="5">
        <f t="shared" si="49"/>
        <v>0</v>
      </c>
      <c r="T52" s="5">
        <f t="shared" si="49"/>
        <v>0</v>
      </c>
      <c r="U52" s="5">
        <f t="shared" si="49"/>
        <v>0</v>
      </c>
      <c r="V52" s="5">
        <f t="shared" si="49"/>
        <v>1</v>
      </c>
      <c r="W52" s="5">
        <f t="shared" si="49"/>
        <v>0</v>
      </c>
      <c r="X52" s="5">
        <f t="shared" si="49"/>
        <v>0</v>
      </c>
      <c r="Y52" s="5">
        <f t="shared" si="49"/>
        <v>0</v>
      </c>
      <c r="Z52" s="5">
        <f t="shared" si="49"/>
        <v>0</v>
      </c>
      <c r="AA52" s="5">
        <f t="shared" si="49"/>
        <v>0</v>
      </c>
      <c r="AB52" s="5">
        <f t="shared" si="49"/>
        <v>0</v>
      </c>
      <c r="AC52" s="5">
        <f t="shared" si="49"/>
        <v>0</v>
      </c>
      <c r="AD52" s="5">
        <f t="shared" si="49"/>
        <v>0</v>
      </c>
      <c r="AE52" s="5">
        <f t="shared" si="49"/>
        <v>0</v>
      </c>
      <c r="AF52" s="5">
        <f t="shared" si="49"/>
        <v>0</v>
      </c>
      <c r="AG52" s="5">
        <f t="shared" si="49"/>
        <v>0</v>
      </c>
      <c r="AH52" s="5">
        <f t="shared" si="49"/>
        <v>0</v>
      </c>
      <c r="AI52" s="5">
        <f t="shared" si="49"/>
        <v>0</v>
      </c>
      <c r="AJ52" s="5">
        <f t="shared" si="49"/>
        <v>0</v>
      </c>
      <c r="AK52" s="5">
        <f t="shared" si="49"/>
        <v>0</v>
      </c>
      <c r="AL52" s="5">
        <f t="shared" si="49"/>
        <v>0</v>
      </c>
      <c r="AM52" s="5">
        <f t="shared" si="49"/>
        <v>0</v>
      </c>
      <c r="AN52" s="5">
        <f t="shared" si="49"/>
        <v>0</v>
      </c>
      <c r="AO52" s="5">
        <f t="shared" si="49"/>
        <v>0</v>
      </c>
      <c r="AP52" s="5">
        <f t="shared" si="49"/>
        <v>0</v>
      </c>
      <c r="AQ52" s="5">
        <f t="shared" si="49"/>
        <v>0</v>
      </c>
      <c r="AR52" s="5">
        <f t="shared" si="49"/>
        <v>0</v>
      </c>
      <c r="AS52" s="5">
        <f t="shared" si="49"/>
        <v>0</v>
      </c>
      <c r="AT52" s="5">
        <f t="shared" si="49"/>
        <v>0</v>
      </c>
    </row>
    <row r="53" spans="1:46" ht="30" hidden="1">
      <c r="A53" s="117" t="s">
        <v>1312</v>
      </c>
      <c r="B53" s="118" t="s">
        <v>730</v>
      </c>
      <c r="C53" s="5">
        <f t="shared" si="1"/>
        <v>1</v>
      </c>
      <c r="D53" s="5">
        <v>1</v>
      </c>
      <c r="E53" s="5">
        <f t="shared" si="47"/>
        <v>0</v>
      </c>
      <c r="F53" s="5">
        <f t="shared" si="49"/>
        <v>0</v>
      </c>
      <c r="G53" s="5">
        <f t="shared" si="49"/>
        <v>0</v>
      </c>
      <c r="H53" s="5">
        <f t="shared" si="49"/>
        <v>0</v>
      </c>
      <c r="I53" s="5">
        <f t="shared" si="49"/>
        <v>0</v>
      </c>
      <c r="J53" s="5">
        <f t="shared" si="49"/>
        <v>0</v>
      </c>
      <c r="K53" s="5">
        <f t="shared" si="49"/>
        <v>0</v>
      </c>
      <c r="L53" s="5">
        <f t="shared" si="49"/>
        <v>0</v>
      </c>
      <c r="M53" s="5">
        <f t="shared" si="49"/>
        <v>0</v>
      </c>
      <c r="N53" s="5">
        <f t="shared" si="49"/>
        <v>1</v>
      </c>
      <c r="O53" s="5">
        <f t="shared" si="49"/>
        <v>0</v>
      </c>
      <c r="P53" s="5">
        <f t="shared" si="49"/>
        <v>0</v>
      </c>
      <c r="Q53" s="5">
        <f t="shared" si="49"/>
        <v>0</v>
      </c>
      <c r="R53" s="5">
        <f t="shared" si="49"/>
        <v>0</v>
      </c>
      <c r="S53" s="5">
        <f t="shared" si="49"/>
        <v>0</v>
      </c>
      <c r="T53" s="5">
        <f t="shared" si="49"/>
        <v>0</v>
      </c>
      <c r="U53" s="5">
        <f t="shared" si="49"/>
        <v>0</v>
      </c>
      <c r="V53" s="5">
        <f t="shared" si="49"/>
        <v>0</v>
      </c>
      <c r="W53" s="5">
        <f t="shared" si="49"/>
        <v>0</v>
      </c>
      <c r="X53" s="5">
        <f t="shared" si="49"/>
        <v>0</v>
      </c>
      <c r="Y53" s="5">
        <f t="shared" si="49"/>
        <v>0</v>
      </c>
      <c r="Z53" s="5">
        <f t="shared" si="49"/>
        <v>0</v>
      </c>
      <c r="AA53" s="5">
        <f t="shared" si="49"/>
        <v>0</v>
      </c>
      <c r="AB53" s="5">
        <f t="shared" si="49"/>
        <v>0</v>
      </c>
      <c r="AC53" s="5">
        <f t="shared" si="49"/>
        <v>0</v>
      </c>
      <c r="AD53" s="5">
        <f t="shared" si="49"/>
        <v>0</v>
      </c>
      <c r="AE53" s="5">
        <f t="shared" si="49"/>
        <v>0</v>
      </c>
      <c r="AF53" s="5">
        <f t="shared" si="49"/>
        <v>0</v>
      </c>
      <c r="AG53" s="5">
        <f t="shared" si="49"/>
        <v>0</v>
      </c>
      <c r="AH53" s="5">
        <f t="shared" si="49"/>
        <v>0</v>
      </c>
      <c r="AI53" s="5">
        <f t="shared" si="49"/>
        <v>0</v>
      </c>
      <c r="AJ53" s="5">
        <f t="shared" si="49"/>
        <v>0</v>
      </c>
      <c r="AK53" s="5">
        <f t="shared" si="49"/>
        <v>0</v>
      </c>
      <c r="AL53" s="5">
        <f t="shared" si="49"/>
        <v>0</v>
      </c>
      <c r="AM53" s="5">
        <f t="shared" si="49"/>
        <v>0</v>
      </c>
      <c r="AN53" s="5">
        <f t="shared" si="49"/>
        <v>0</v>
      </c>
      <c r="AO53" s="5">
        <f t="shared" si="49"/>
        <v>0</v>
      </c>
      <c r="AP53" s="5">
        <f t="shared" si="49"/>
        <v>0</v>
      </c>
      <c r="AQ53" s="5">
        <f t="shared" si="49"/>
        <v>0</v>
      </c>
      <c r="AR53" s="5">
        <f t="shared" si="49"/>
        <v>0</v>
      </c>
      <c r="AS53" s="5">
        <f t="shared" si="49"/>
        <v>0</v>
      </c>
      <c r="AT53" s="5">
        <f t="shared" si="49"/>
        <v>0</v>
      </c>
    </row>
    <row r="54" spans="1:46" hidden="1">
      <c r="A54" s="117" t="s">
        <v>1321</v>
      </c>
      <c r="B54" s="118" t="s">
        <v>525</v>
      </c>
      <c r="C54" s="5">
        <f t="shared" si="1"/>
        <v>2</v>
      </c>
      <c r="D54" s="5">
        <v>1</v>
      </c>
      <c r="E54" s="5">
        <f t="shared" si="47"/>
        <v>0</v>
      </c>
      <c r="F54" s="5">
        <f t="shared" si="49"/>
        <v>0</v>
      </c>
      <c r="G54" s="5">
        <f t="shared" si="49"/>
        <v>0</v>
      </c>
      <c r="H54" s="5">
        <f t="shared" si="49"/>
        <v>0</v>
      </c>
      <c r="I54" s="5">
        <f t="shared" si="49"/>
        <v>0</v>
      </c>
      <c r="J54" s="5">
        <f t="shared" si="49"/>
        <v>0</v>
      </c>
      <c r="K54" s="5">
        <f t="shared" si="49"/>
        <v>0</v>
      </c>
      <c r="L54" s="5">
        <f t="shared" si="49"/>
        <v>0</v>
      </c>
      <c r="M54" s="5">
        <f t="shared" si="49"/>
        <v>0</v>
      </c>
      <c r="N54" s="5">
        <f t="shared" si="49"/>
        <v>1</v>
      </c>
      <c r="O54" s="5">
        <f t="shared" si="49"/>
        <v>0</v>
      </c>
      <c r="P54" s="5">
        <f t="shared" si="49"/>
        <v>0</v>
      </c>
      <c r="Q54" s="5">
        <f t="shared" si="49"/>
        <v>0</v>
      </c>
      <c r="R54" s="5">
        <f t="shared" si="49"/>
        <v>0</v>
      </c>
      <c r="S54" s="5">
        <f t="shared" si="49"/>
        <v>0</v>
      </c>
      <c r="T54" s="5">
        <f t="shared" si="49"/>
        <v>0</v>
      </c>
      <c r="U54" s="5">
        <f t="shared" si="49"/>
        <v>0</v>
      </c>
      <c r="V54" s="5">
        <f t="shared" si="49"/>
        <v>0</v>
      </c>
      <c r="W54" s="5">
        <f t="shared" si="49"/>
        <v>0</v>
      </c>
      <c r="X54" s="5">
        <f t="shared" si="49"/>
        <v>0</v>
      </c>
      <c r="Y54" s="5">
        <f t="shared" si="49"/>
        <v>0</v>
      </c>
      <c r="Z54" s="5">
        <f t="shared" si="49"/>
        <v>0</v>
      </c>
      <c r="AA54" s="5">
        <f t="shared" si="49"/>
        <v>0</v>
      </c>
      <c r="AB54" s="5">
        <f t="shared" si="49"/>
        <v>0</v>
      </c>
      <c r="AC54" s="5">
        <f t="shared" si="49"/>
        <v>0</v>
      </c>
      <c r="AD54" s="5">
        <f t="shared" si="49"/>
        <v>0</v>
      </c>
      <c r="AE54" s="5">
        <f t="shared" si="49"/>
        <v>0</v>
      </c>
      <c r="AF54" s="5">
        <f t="shared" si="49"/>
        <v>0</v>
      </c>
      <c r="AG54" s="5">
        <f t="shared" si="49"/>
        <v>0</v>
      </c>
      <c r="AH54" s="5">
        <f t="shared" si="49"/>
        <v>0</v>
      </c>
      <c r="AI54" s="5">
        <f t="shared" si="49"/>
        <v>0</v>
      </c>
      <c r="AJ54" s="5">
        <f t="shared" si="49"/>
        <v>0</v>
      </c>
      <c r="AK54" s="5">
        <f t="shared" si="49"/>
        <v>0</v>
      </c>
      <c r="AL54" s="5">
        <f t="shared" si="49"/>
        <v>0</v>
      </c>
      <c r="AM54" s="5">
        <f t="shared" si="49"/>
        <v>1</v>
      </c>
      <c r="AN54" s="5">
        <f t="shared" si="49"/>
        <v>0</v>
      </c>
      <c r="AO54" s="5">
        <f t="shared" si="49"/>
        <v>0</v>
      </c>
      <c r="AP54" s="5">
        <f t="shared" si="49"/>
        <v>0</v>
      </c>
      <c r="AQ54" s="5">
        <f t="shared" si="49"/>
        <v>0</v>
      </c>
      <c r="AR54" s="5">
        <f t="shared" si="49"/>
        <v>0</v>
      </c>
      <c r="AS54" s="5">
        <f t="shared" si="49"/>
        <v>0</v>
      </c>
      <c r="AT54" s="5">
        <f t="shared" si="49"/>
        <v>0</v>
      </c>
    </row>
    <row r="55" spans="1:46" hidden="1">
      <c r="A55" s="117" t="s">
        <v>1311</v>
      </c>
      <c r="B55" s="118" t="s">
        <v>509</v>
      </c>
      <c r="C55" s="5">
        <f t="shared" si="1"/>
        <v>2</v>
      </c>
      <c r="D55" s="5">
        <v>1</v>
      </c>
      <c r="E55" s="5">
        <f t="shared" si="47"/>
        <v>0</v>
      </c>
      <c r="F55" s="5">
        <f t="shared" si="49"/>
        <v>0</v>
      </c>
      <c r="G55" s="5">
        <f t="shared" si="49"/>
        <v>0</v>
      </c>
      <c r="H55" s="5">
        <f t="shared" si="49"/>
        <v>0</v>
      </c>
      <c r="I55" s="5">
        <f t="shared" si="49"/>
        <v>0</v>
      </c>
      <c r="J55" s="5">
        <f t="shared" si="49"/>
        <v>0</v>
      </c>
      <c r="K55" s="5">
        <f t="shared" si="49"/>
        <v>0</v>
      </c>
      <c r="L55" s="5">
        <f t="shared" si="49"/>
        <v>0</v>
      </c>
      <c r="M55" s="5">
        <f t="shared" si="49"/>
        <v>0</v>
      </c>
      <c r="N55" s="5">
        <f t="shared" si="49"/>
        <v>0</v>
      </c>
      <c r="O55" s="5">
        <f t="shared" si="49"/>
        <v>0</v>
      </c>
      <c r="P55" s="5">
        <f t="shared" si="49"/>
        <v>0</v>
      </c>
      <c r="Q55" s="5">
        <f t="shared" si="49"/>
        <v>0</v>
      </c>
      <c r="R55" s="5">
        <f t="shared" si="49"/>
        <v>0</v>
      </c>
      <c r="S55" s="5">
        <f t="shared" si="49"/>
        <v>0</v>
      </c>
      <c r="T55" s="5">
        <f t="shared" si="49"/>
        <v>0</v>
      </c>
      <c r="U55" s="5">
        <f t="shared" si="49"/>
        <v>1</v>
      </c>
      <c r="V55" s="5">
        <f t="shared" si="49"/>
        <v>0</v>
      </c>
      <c r="W55" s="5">
        <f t="shared" si="49"/>
        <v>0</v>
      </c>
      <c r="X55" s="5">
        <f t="shared" si="49"/>
        <v>0</v>
      </c>
      <c r="Y55" s="5">
        <f t="shared" si="49"/>
        <v>0</v>
      </c>
      <c r="Z55" s="5">
        <f t="shared" si="49"/>
        <v>0</v>
      </c>
      <c r="AA55" s="5">
        <f t="shared" si="49"/>
        <v>0</v>
      </c>
      <c r="AB55" s="5">
        <f t="shared" si="49"/>
        <v>0</v>
      </c>
      <c r="AC55" s="5">
        <f t="shared" si="49"/>
        <v>0</v>
      </c>
      <c r="AD55" s="5">
        <f t="shared" si="49"/>
        <v>0</v>
      </c>
      <c r="AE55" s="5">
        <f t="shared" si="49"/>
        <v>0</v>
      </c>
      <c r="AF55" s="5">
        <f t="shared" si="49"/>
        <v>0</v>
      </c>
      <c r="AG55" s="5">
        <f t="shared" si="49"/>
        <v>0</v>
      </c>
      <c r="AH55" s="5">
        <f t="shared" si="49"/>
        <v>0</v>
      </c>
      <c r="AI55" s="5">
        <f t="shared" si="49"/>
        <v>0</v>
      </c>
      <c r="AJ55" s="5">
        <f t="shared" si="49"/>
        <v>0</v>
      </c>
      <c r="AK55" s="5">
        <f t="shared" si="49"/>
        <v>0</v>
      </c>
      <c r="AL55" s="5">
        <f t="shared" si="49"/>
        <v>0</v>
      </c>
      <c r="AM55" s="5">
        <f t="shared" si="49"/>
        <v>0</v>
      </c>
      <c r="AN55" s="5">
        <f t="shared" si="49"/>
        <v>1</v>
      </c>
      <c r="AO55" s="5">
        <f t="shared" si="49"/>
        <v>0</v>
      </c>
      <c r="AP55" s="5">
        <f t="shared" si="49"/>
        <v>0</v>
      </c>
      <c r="AQ55" s="5">
        <f t="shared" si="49"/>
        <v>0</v>
      </c>
      <c r="AR55" s="5">
        <f t="shared" si="49"/>
        <v>0</v>
      </c>
      <c r="AS55" s="5">
        <f t="shared" si="49"/>
        <v>0</v>
      </c>
      <c r="AT55" s="5">
        <f t="shared" si="49"/>
        <v>0</v>
      </c>
    </row>
    <row r="56" spans="1:46" hidden="1">
      <c r="A56" s="117" t="s">
        <v>1308</v>
      </c>
      <c r="B56" s="118" t="s">
        <v>653</v>
      </c>
      <c r="C56" s="5">
        <f t="shared" si="1"/>
        <v>4</v>
      </c>
      <c r="D56" s="5">
        <v>1</v>
      </c>
      <c r="E56" s="5">
        <f t="shared" si="47"/>
        <v>0</v>
      </c>
      <c r="F56" s="5">
        <f t="shared" si="49"/>
        <v>0</v>
      </c>
      <c r="G56" s="5">
        <f t="shared" si="49"/>
        <v>0</v>
      </c>
      <c r="H56" s="5">
        <f t="shared" si="49"/>
        <v>0</v>
      </c>
      <c r="I56" s="5">
        <f t="shared" si="49"/>
        <v>0</v>
      </c>
      <c r="J56" s="5">
        <f t="shared" si="49"/>
        <v>0</v>
      </c>
      <c r="K56" s="5">
        <f t="shared" si="49"/>
        <v>0</v>
      </c>
      <c r="L56" s="5">
        <f t="shared" si="49"/>
        <v>0</v>
      </c>
      <c r="M56" s="5">
        <f t="shared" si="49"/>
        <v>0</v>
      </c>
      <c r="N56" s="5">
        <f t="shared" si="49"/>
        <v>0</v>
      </c>
      <c r="O56" s="5">
        <f t="shared" si="49"/>
        <v>0</v>
      </c>
      <c r="P56" s="5">
        <f t="shared" si="49"/>
        <v>0</v>
      </c>
      <c r="Q56" s="5">
        <f t="shared" si="49"/>
        <v>0</v>
      </c>
      <c r="R56" s="5">
        <f t="shared" si="49"/>
        <v>0</v>
      </c>
      <c r="S56" s="5">
        <f t="shared" si="49"/>
        <v>0</v>
      </c>
      <c r="T56" s="5">
        <f t="shared" si="49"/>
        <v>0</v>
      </c>
      <c r="U56" s="5">
        <f t="shared" si="49"/>
        <v>0</v>
      </c>
      <c r="V56" s="5">
        <f t="shared" si="49"/>
        <v>1</v>
      </c>
      <c r="W56" s="5">
        <f t="shared" si="49"/>
        <v>1</v>
      </c>
      <c r="X56" s="5">
        <f t="shared" si="49"/>
        <v>0</v>
      </c>
      <c r="Y56" s="5">
        <f t="shared" si="49"/>
        <v>0</v>
      </c>
      <c r="Z56" s="5">
        <f t="shared" si="49"/>
        <v>0</v>
      </c>
      <c r="AA56" s="5">
        <f t="shared" si="49"/>
        <v>0</v>
      </c>
      <c r="AB56" s="5">
        <f t="shared" si="49"/>
        <v>0</v>
      </c>
      <c r="AC56" s="5">
        <f t="shared" si="49"/>
        <v>0</v>
      </c>
      <c r="AD56" s="5">
        <f t="shared" si="49"/>
        <v>0</v>
      </c>
      <c r="AE56" s="5">
        <f t="shared" si="49"/>
        <v>0</v>
      </c>
      <c r="AF56" s="5">
        <f t="shared" si="49"/>
        <v>0</v>
      </c>
      <c r="AG56" s="5">
        <f t="shared" si="49"/>
        <v>0</v>
      </c>
      <c r="AH56" s="5">
        <f t="shared" si="49"/>
        <v>0</v>
      </c>
      <c r="AI56" s="5">
        <f t="shared" si="49"/>
        <v>0</v>
      </c>
      <c r="AJ56" s="5">
        <f t="shared" si="49"/>
        <v>0</v>
      </c>
      <c r="AK56" s="5">
        <f t="shared" si="49"/>
        <v>0</v>
      </c>
      <c r="AL56" s="5">
        <f t="shared" si="49"/>
        <v>0</v>
      </c>
      <c r="AM56" s="5">
        <f t="shared" si="49"/>
        <v>0</v>
      </c>
      <c r="AN56" s="5">
        <f t="shared" si="49"/>
        <v>0</v>
      </c>
      <c r="AO56" s="5">
        <f t="shared" si="49"/>
        <v>1</v>
      </c>
      <c r="AP56" s="5">
        <f t="shared" si="49"/>
        <v>1</v>
      </c>
      <c r="AQ56" s="5">
        <f t="shared" si="49"/>
        <v>0</v>
      </c>
      <c r="AR56" s="5">
        <f t="shared" si="49"/>
        <v>0</v>
      </c>
      <c r="AS56" s="5">
        <f t="shared" si="49"/>
        <v>0</v>
      </c>
      <c r="AT56" s="5">
        <f t="shared" si="49"/>
        <v>0</v>
      </c>
    </row>
    <row r="57" spans="1:46" hidden="1">
      <c r="A57" s="117" t="s">
        <v>1335</v>
      </c>
      <c r="B57" s="118" t="s">
        <v>633</v>
      </c>
      <c r="C57" s="5">
        <f t="shared" si="1"/>
        <v>5</v>
      </c>
      <c r="D57" s="5">
        <v>1</v>
      </c>
      <c r="E57" s="5">
        <f>IF(AND(COUNTA(E27)&gt;0,E$32&gt;0),0,COUNTA(E27))</f>
        <v>0</v>
      </c>
      <c r="F57" s="5">
        <f t="shared" ref="F57:AT60" si="50">IF(AND(COUNTA(F27)&gt;0,F$32&gt;0),0,COUNTA(F27))</f>
        <v>0</v>
      </c>
      <c r="G57" s="5">
        <f t="shared" si="50"/>
        <v>0</v>
      </c>
      <c r="H57" s="5">
        <f t="shared" si="50"/>
        <v>0</v>
      </c>
      <c r="I57" s="5">
        <f t="shared" si="50"/>
        <v>0</v>
      </c>
      <c r="J57" s="5">
        <f t="shared" si="50"/>
        <v>0</v>
      </c>
      <c r="K57" s="5">
        <f t="shared" si="50"/>
        <v>0</v>
      </c>
      <c r="L57" s="5">
        <f t="shared" si="50"/>
        <v>0</v>
      </c>
      <c r="M57" s="5">
        <f t="shared" si="50"/>
        <v>0</v>
      </c>
      <c r="N57" s="5">
        <f t="shared" si="50"/>
        <v>1</v>
      </c>
      <c r="O57" s="5">
        <f t="shared" si="50"/>
        <v>0</v>
      </c>
      <c r="P57" s="5">
        <f t="shared" si="50"/>
        <v>0</v>
      </c>
      <c r="Q57" s="5">
        <f t="shared" si="50"/>
        <v>0</v>
      </c>
      <c r="R57" s="5">
        <f t="shared" si="50"/>
        <v>0</v>
      </c>
      <c r="S57" s="5">
        <f t="shared" si="50"/>
        <v>1</v>
      </c>
      <c r="T57" s="5">
        <f t="shared" si="50"/>
        <v>0</v>
      </c>
      <c r="U57" s="5">
        <f t="shared" si="50"/>
        <v>0</v>
      </c>
      <c r="V57" s="5">
        <f t="shared" si="50"/>
        <v>0</v>
      </c>
      <c r="W57" s="5">
        <f t="shared" si="50"/>
        <v>0</v>
      </c>
      <c r="X57" s="5">
        <f t="shared" si="50"/>
        <v>0</v>
      </c>
      <c r="Y57" s="5">
        <f t="shared" si="50"/>
        <v>0</v>
      </c>
      <c r="Z57" s="5">
        <f t="shared" si="50"/>
        <v>0</v>
      </c>
      <c r="AA57" s="5">
        <f t="shared" si="50"/>
        <v>0</v>
      </c>
      <c r="AB57" s="5">
        <f t="shared" si="50"/>
        <v>0</v>
      </c>
      <c r="AC57" s="5">
        <f t="shared" si="50"/>
        <v>0</v>
      </c>
      <c r="AD57" s="5">
        <f t="shared" si="50"/>
        <v>0</v>
      </c>
      <c r="AE57" s="5">
        <f t="shared" si="50"/>
        <v>0</v>
      </c>
      <c r="AF57" s="5">
        <f t="shared" si="50"/>
        <v>0</v>
      </c>
      <c r="AG57" s="5">
        <f t="shared" si="50"/>
        <v>0</v>
      </c>
      <c r="AH57" s="5">
        <f t="shared" si="50"/>
        <v>0</v>
      </c>
      <c r="AI57" s="5">
        <f t="shared" si="50"/>
        <v>0</v>
      </c>
      <c r="AJ57" s="5">
        <f t="shared" si="50"/>
        <v>0</v>
      </c>
      <c r="AK57" s="5">
        <f t="shared" si="50"/>
        <v>0</v>
      </c>
      <c r="AL57" s="5">
        <f t="shared" si="50"/>
        <v>0</v>
      </c>
      <c r="AM57" s="5">
        <f t="shared" si="50"/>
        <v>0</v>
      </c>
      <c r="AN57" s="5">
        <f t="shared" si="50"/>
        <v>0</v>
      </c>
      <c r="AO57" s="5">
        <f t="shared" si="50"/>
        <v>0</v>
      </c>
      <c r="AP57" s="5">
        <f t="shared" si="50"/>
        <v>0</v>
      </c>
      <c r="AQ57" s="5">
        <f t="shared" si="50"/>
        <v>1</v>
      </c>
      <c r="AR57" s="5">
        <f t="shared" si="50"/>
        <v>1</v>
      </c>
      <c r="AS57" s="5">
        <f t="shared" si="50"/>
        <v>1</v>
      </c>
      <c r="AT57" s="5">
        <f t="shared" si="50"/>
        <v>0</v>
      </c>
    </row>
    <row r="58" spans="1:46" hidden="1">
      <c r="A58" s="117" t="s">
        <v>1313</v>
      </c>
      <c r="B58" s="118" t="s">
        <v>617</v>
      </c>
      <c r="C58" s="5">
        <f t="shared" si="1"/>
        <v>0</v>
      </c>
      <c r="D58" s="5">
        <v>0</v>
      </c>
      <c r="E58" s="5">
        <f t="shared" ref="E58:T60" si="51">IF(AND(COUNTA(E28)&gt;0,E$32&gt;0),0,COUNTA(E28))</f>
        <v>0</v>
      </c>
      <c r="F58" s="5">
        <f t="shared" si="51"/>
        <v>0</v>
      </c>
      <c r="G58" s="5">
        <f t="shared" si="51"/>
        <v>0</v>
      </c>
      <c r="H58" s="5">
        <f t="shared" si="51"/>
        <v>0</v>
      </c>
      <c r="I58" s="5">
        <f t="shared" si="51"/>
        <v>0</v>
      </c>
      <c r="J58" s="5">
        <f t="shared" si="51"/>
        <v>0</v>
      </c>
      <c r="K58" s="5">
        <f t="shared" si="51"/>
        <v>0</v>
      </c>
      <c r="L58" s="5">
        <f t="shared" si="51"/>
        <v>0</v>
      </c>
      <c r="M58" s="5">
        <f t="shared" si="51"/>
        <v>0</v>
      </c>
      <c r="N58" s="5">
        <f t="shared" si="51"/>
        <v>0</v>
      </c>
      <c r="O58" s="5">
        <f t="shared" si="51"/>
        <v>0</v>
      </c>
      <c r="P58" s="5">
        <f t="shared" si="51"/>
        <v>0</v>
      </c>
      <c r="Q58" s="5">
        <f t="shared" si="51"/>
        <v>0</v>
      </c>
      <c r="R58" s="5">
        <f t="shared" si="51"/>
        <v>0</v>
      </c>
      <c r="S58" s="5">
        <f t="shared" si="51"/>
        <v>0</v>
      </c>
      <c r="T58" s="5">
        <f t="shared" si="51"/>
        <v>0</v>
      </c>
      <c r="U58" s="5">
        <f t="shared" si="50"/>
        <v>0</v>
      </c>
      <c r="V58" s="5">
        <f t="shared" si="50"/>
        <v>0</v>
      </c>
      <c r="W58" s="5">
        <f t="shared" si="50"/>
        <v>0</v>
      </c>
      <c r="X58" s="5">
        <f t="shared" si="50"/>
        <v>0</v>
      </c>
      <c r="Y58" s="5">
        <f t="shared" si="50"/>
        <v>0</v>
      </c>
      <c r="Z58" s="5">
        <f t="shared" si="50"/>
        <v>0</v>
      </c>
      <c r="AA58" s="5">
        <f t="shared" si="50"/>
        <v>0</v>
      </c>
      <c r="AB58" s="5">
        <f t="shared" si="50"/>
        <v>0</v>
      </c>
      <c r="AC58" s="5">
        <f t="shared" si="50"/>
        <v>0</v>
      </c>
      <c r="AD58" s="5">
        <f t="shared" si="50"/>
        <v>0</v>
      </c>
      <c r="AE58" s="5">
        <f t="shared" si="50"/>
        <v>0</v>
      </c>
      <c r="AF58" s="5">
        <f t="shared" si="50"/>
        <v>0</v>
      </c>
      <c r="AG58" s="5">
        <f t="shared" si="50"/>
        <v>0</v>
      </c>
      <c r="AH58" s="5">
        <f t="shared" si="50"/>
        <v>0</v>
      </c>
      <c r="AI58" s="5">
        <f t="shared" si="50"/>
        <v>0</v>
      </c>
      <c r="AJ58" s="5">
        <f t="shared" si="50"/>
        <v>0</v>
      </c>
      <c r="AK58" s="5">
        <f t="shared" si="50"/>
        <v>0</v>
      </c>
      <c r="AL58" s="5">
        <f t="shared" si="50"/>
        <v>0</v>
      </c>
      <c r="AM58" s="5">
        <f t="shared" si="50"/>
        <v>0</v>
      </c>
      <c r="AN58" s="5">
        <f t="shared" si="50"/>
        <v>0</v>
      </c>
      <c r="AO58" s="5">
        <f t="shared" si="50"/>
        <v>0</v>
      </c>
      <c r="AP58" s="5">
        <f t="shared" si="50"/>
        <v>0</v>
      </c>
      <c r="AQ58" s="5">
        <f t="shared" si="50"/>
        <v>0</v>
      </c>
      <c r="AR58" s="5">
        <f t="shared" si="50"/>
        <v>0</v>
      </c>
      <c r="AS58" s="5">
        <f t="shared" si="50"/>
        <v>0</v>
      </c>
      <c r="AT58" s="5">
        <f t="shared" si="50"/>
        <v>0</v>
      </c>
    </row>
    <row r="59" spans="1:46" hidden="1">
      <c r="A59" s="117" t="s">
        <v>1318</v>
      </c>
      <c r="B59" s="118" t="s">
        <v>485</v>
      </c>
      <c r="C59" s="5">
        <f t="shared" si="1"/>
        <v>1</v>
      </c>
      <c r="D59" s="5">
        <v>0</v>
      </c>
      <c r="E59" s="5">
        <f t="shared" si="51"/>
        <v>0</v>
      </c>
      <c r="F59" s="5">
        <f t="shared" si="50"/>
        <v>0</v>
      </c>
      <c r="G59" s="5">
        <f t="shared" si="50"/>
        <v>0</v>
      </c>
      <c r="H59" s="5">
        <f t="shared" si="50"/>
        <v>0</v>
      </c>
      <c r="I59" s="5">
        <f t="shared" si="50"/>
        <v>0</v>
      </c>
      <c r="J59" s="5">
        <f t="shared" si="50"/>
        <v>0</v>
      </c>
      <c r="K59" s="5">
        <f t="shared" si="50"/>
        <v>0</v>
      </c>
      <c r="L59" s="5">
        <f t="shared" si="50"/>
        <v>0</v>
      </c>
      <c r="M59" s="5">
        <f t="shared" si="50"/>
        <v>0</v>
      </c>
      <c r="N59" s="5">
        <f t="shared" si="50"/>
        <v>0</v>
      </c>
      <c r="O59" s="5">
        <f t="shared" si="50"/>
        <v>0</v>
      </c>
      <c r="P59" s="5">
        <f t="shared" si="50"/>
        <v>0</v>
      </c>
      <c r="Q59" s="5">
        <f t="shared" si="50"/>
        <v>0</v>
      </c>
      <c r="R59" s="5">
        <f t="shared" si="50"/>
        <v>0</v>
      </c>
      <c r="S59" s="5">
        <f t="shared" si="50"/>
        <v>0</v>
      </c>
      <c r="T59" s="5">
        <f t="shared" si="50"/>
        <v>0</v>
      </c>
      <c r="U59" s="5">
        <f t="shared" si="50"/>
        <v>0</v>
      </c>
      <c r="V59" s="5">
        <f t="shared" si="50"/>
        <v>0</v>
      </c>
      <c r="W59" s="5">
        <f t="shared" si="50"/>
        <v>0</v>
      </c>
      <c r="X59" s="5">
        <f t="shared" si="50"/>
        <v>0</v>
      </c>
      <c r="Y59" s="5">
        <f t="shared" si="50"/>
        <v>0</v>
      </c>
      <c r="Z59" s="5">
        <f t="shared" si="50"/>
        <v>0</v>
      </c>
      <c r="AA59" s="5">
        <f t="shared" si="50"/>
        <v>0</v>
      </c>
      <c r="AB59" s="5">
        <f t="shared" si="50"/>
        <v>0</v>
      </c>
      <c r="AC59" s="5">
        <f t="shared" si="50"/>
        <v>0</v>
      </c>
      <c r="AD59" s="5">
        <f t="shared" si="50"/>
        <v>0</v>
      </c>
      <c r="AE59" s="5">
        <f t="shared" si="50"/>
        <v>0</v>
      </c>
      <c r="AF59" s="5">
        <f t="shared" si="50"/>
        <v>0</v>
      </c>
      <c r="AG59" s="5">
        <f t="shared" si="50"/>
        <v>0</v>
      </c>
      <c r="AH59" s="5">
        <f t="shared" si="50"/>
        <v>0</v>
      </c>
      <c r="AI59" s="5">
        <f t="shared" si="50"/>
        <v>0</v>
      </c>
      <c r="AJ59" s="5">
        <f t="shared" si="50"/>
        <v>0</v>
      </c>
      <c r="AK59" s="5">
        <f t="shared" si="50"/>
        <v>0</v>
      </c>
      <c r="AL59" s="5">
        <f t="shared" si="50"/>
        <v>0</v>
      </c>
      <c r="AM59" s="5">
        <f t="shared" si="50"/>
        <v>0</v>
      </c>
      <c r="AN59" s="5">
        <f t="shared" si="50"/>
        <v>0</v>
      </c>
      <c r="AO59" s="5">
        <f t="shared" si="50"/>
        <v>0</v>
      </c>
      <c r="AP59" s="5">
        <f t="shared" si="50"/>
        <v>0</v>
      </c>
      <c r="AQ59" s="5">
        <f t="shared" si="50"/>
        <v>0</v>
      </c>
      <c r="AR59" s="5">
        <f t="shared" si="50"/>
        <v>0</v>
      </c>
      <c r="AS59" s="5">
        <f t="shared" si="50"/>
        <v>0</v>
      </c>
      <c r="AT59" s="5">
        <f t="shared" si="50"/>
        <v>1</v>
      </c>
    </row>
    <row r="60" spans="1:46" hidden="1">
      <c r="A60" s="117" t="s">
        <v>1319</v>
      </c>
      <c r="B60" s="118" t="s">
        <v>1286</v>
      </c>
      <c r="C60" s="5">
        <f t="shared" si="1"/>
        <v>0</v>
      </c>
      <c r="D60" s="5">
        <v>0</v>
      </c>
      <c r="E60" s="5">
        <f t="shared" si="51"/>
        <v>0</v>
      </c>
      <c r="F60" s="5">
        <f t="shared" si="50"/>
        <v>0</v>
      </c>
      <c r="G60" s="5">
        <f t="shared" si="50"/>
        <v>0</v>
      </c>
      <c r="H60" s="5">
        <f t="shared" si="50"/>
        <v>0</v>
      </c>
      <c r="I60" s="5">
        <f t="shared" si="50"/>
        <v>0</v>
      </c>
      <c r="J60" s="5">
        <f t="shared" si="50"/>
        <v>0</v>
      </c>
      <c r="K60" s="5">
        <f t="shared" si="50"/>
        <v>0</v>
      </c>
      <c r="L60" s="5">
        <f t="shared" si="50"/>
        <v>0</v>
      </c>
      <c r="M60" s="5">
        <f t="shared" si="50"/>
        <v>0</v>
      </c>
      <c r="N60" s="5">
        <f t="shared" si="50"/>
        <v>0</v>
      </c>
      <c r="O60" s="5">
        <f t="shared" si="50"/>
        <v>0</v>
      </c>
      <c r="P60" s="5">
        <f t="shared" si="50"/>
        <v>0</v>
      </c>
      <c r="Q60" s="5">
        <f t="shared" si="50"/>
        <v>0</v>
      </c>
      <c r="R60" s="5">
        <f t="shared" si="50"/>
        <v>0</v>
      </c>
      <c r="S60" s="5">
        <f t="shared" si="50"/>
        <v>0</v>
      </c>
      <c r="T60" s="5">
        <f t="shared" si="50"/>
        <v>0</v>
      </c>
      <c r="U60" s="5">
        <f t="shared" si="50"/>
        <v>0</v>
      </c>
      <c r="V60" s="5">
        <f t="shared" si="50"/>
        <v>0</v>
      </c>
      <c r="W60" s="5">
        <f t="shared" si="50"/>
        <v>0</v>
      </c>
      <c r="X60" s="5">
        <f t="shared" si="50"/>
        <v>0</v>
      </c>
      <c r="Y60" s="5">
        <f t="shared" si="50"/>
        <v>0</v>
      </c>
      <c r="Z60" s="5">
        <f t="shared" si="50"/>
        <v>0</v>
      </c>
      <c r="AA60" s="5">
        <f t="shared" si="50"/>
        <v>0</v>
      </c>
      <c r="AB60" s="5">
        <f t="shared" si="50"/>
        <v>0</v>
      </c>
      <c r="AC60" s="5">
        <f t="shared" si="50"/>
        <v>0</v>
      </c>
      <c r="AD60" s="5">
        <f t="shared" si="50"/>
        <v>0</v>
      </c>
      <c r="AE60" s="5">
        <f t="shared" si="50"/>
        <v>0</v>
      </c>
      <c r="AF60" s="5">
        <f t="shared" si="50"/>
        <v>0</v>
      </c>
      <c r="AG60" s="5">
        <f t="shared" si="50"/>
        <v>0</v>
      </c>
      <c r="AH60" s="5">
        <f t="shared" si="50"/>
        <v>0</v>
      </c>
      <c r="AI60" s="5">
        <f t="shared" si="50"/>
        <v>0</v>
      </c>
      <c r="AJ60" s="5">
        <f t="shared" si="50"/>
        <v>0</v>
      </c>
      <c r="AK60" s="5">
        <f t="shared" si="50"/>
        <v>0</v>
      </c>
      <c r="AL60" s="5">
        <f t="shared" si="50"/>
        <v>0</v>
      </c>
      <c r="AM60" s="5">
        <f t="shared" si="50"/>
        <v>0</v>
      </c>
      <c r="AN60" s="5">
        <f t="shared" si="50"/>
        <v>0</v>
      </c>
      <c r="AO60" s="5">
        <f t="shared" si="50"/>
        <v>0</v>
      </c>
      <c r="AP60" s="5">
        <f t="shared" si="50"/>
        <v>0</v>
      </c>
      <c r="AQ60" s="5">
        <f t="shared" si="50"/>
        <v>0</v>
      </c>
      <c r="AR60" s="5">
        <f t="shared" si="50"/>
        <v>0</v>
      </c>
      <c r="AS60" s="5">
        <f t="shared" si="50"/>
        <v>0</v>
      </c>
      <c r="AT60" s="5">
        <f t="shared" si="50"/>
        <v>0</v>
      </c>
    </row>
    <row r="61" spans="1:46" hidden="1"/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E0187-33AC-42BC-BD0E-C234FDC1E7D6}">
  <dimension ref="A1:A40"/>
  <sheetViews>
    <sheetView workbookViewId="0">
      <selection activeCell="H32" sqref="H32"/>
    </sheetView>
  </sheetViews>
  <sheetFormatPr defaultRowHeight="15"/>
  <cols>
    <col min="1" max="1" width="79.140625" style="10" bestFit="1" customWidth="1"/>
    <col min="10" max="10" width="33.5703125" bestFit="1" customWidth="1"/>
    <col min="11" max="11" width="20" bestFit="1" customWidth="1"/>
    <col min="12" max="12" width="21.140625" bestFit="1" customWidth="1"/>
    <col min="13" max="13" width="31.85546875" bestFit="1" customWidth="1"/>
  </cols>
  <sheetData>
    <row r="1" spans="1:1" ht="15.75">
      <c r="A1" s="171" t="s">
        <v>1391</v>
      </c>
    </row>
    <row r="2" spans="1:1" ht="15.75">
      <c r="A2" s="172" t="s">
        <v>1392</v>
      </c>
    </row>
    <row r="3" spans="1:1" ht="15.75">
      <c r="A3" s="172" t="s">
        <v>1393</v>
      </c>
    </row>
    <row r="4" spans="1:1" ht="15.75">
      <c r="A4" s="172" t="s">
        <v>1394</v>
      </c>
    </row>
    <row r="5" spans="1:1" ht="15.75">
      <c r="A5" s="172" t="s">
        <v>1395</v>
      </c>
    </row>
    <row r="6" spans="1:1" ht="15.75">
      <c r="A6" s="172" t="s">
        <v>1396</v>
      </c>
    </row>
    <row r="7" spans="1:1" ht="15.75">
      <c r="A7" s="172" t="s">
        <v>1397</v>
      </c>
    </row>
    <row r="8" spans="1:1" ht="15.75">
      <c r="A8" s="172" t="s">
        <v>1398</v>
      </c>
    </row>
    <row r="9" spans="1:1" ht="15.75">
      <c r="A9" s="172" t="s">
        <v>1399</v>
      </c>
    </row>
    <row r="10" spans="1:1" ht="15.75">
      <c r="A10" s="172" t="s">
        <v>1400</v>
      </c>
    </row>
    <row r="11" spans="1:1" ht="15.75">
      <c r="A11" s="172"/>
    </row>
    <row r="12" spans="1:1" ht="15.75">
      <c r="A12" s="172"/>
    </row>
    <row r="13" spans="1:1" ht="15.75">
      <c r="A13" s="171" t="s">
        <v>1401</v>
      </c>
    </row>
    <row r="14" spans="1:1" ht="15.75">
      <c r="A14" s="172" t="s">
        <v>1402</v>
      </c>
    </row>
    <row r="15" spans="1:1" ht="15.75">
      <c r="A15" s="172" t="s">
        <v>1403</v>
      </c>
    </row>
    <row r="16" spans="1:1" ht="15.75">
      <c r="A16" s="172" t="s">
        <v>1404</v>
      </c>
    </row>
    <row r="17" spans="1:1" ht="15.75">
      <c r="A17" s="172" t="s">
        <v>1405</v>
      </c>
    </row>
    <row r="18" spans="1:1" ht="15.75">
      <c r="A18" s="172" t="s">
        <v>1406</v>
      </c>
    </row>
    <row r="19" spans="1:1" ht="15.75">
      <c r="A19" s="172" t="s">
        <v>1407</v>
      </c>
    </row>
    <row r="20" spans="1:1" ht="15.75">
      <c r="A20" s="172" t="s">
        <v>1408</v>
      </c>
    </row>
    <row r="21" spans="1:1" ht="15.75">
      <c r="A21" s="172" t="s">
        <v>1409</v>
      </c>
    </row>
    <row r="22" spans="1:1" ht="15.75">
      <c r="A22" s="172" t="s">
        <v>1410</v>
      </c>
    </row>
    <row r="23" spans="1:1" ht="15.75">
      <c r="A23" s="172"/>
    </row>
    <row r="24" spans="1:1" ht="15.75">
      <c r="A24" s="171" t="s">
        <v>1411</v>
      </c>
    </row>
    <row r="25" spans="1:1" ht="15.75">
      <c r="A25" s="172" t="s">
        <v>1412</v>
      </c>
    </row>
    <row r="26" spans="1:1" ht="15.75">
      <c r="A26" s="172" t="s">
        <v>1413</v>
      </c>
    </row>
    <row r="27" spans="1:1" ht="15.75">
      <c r="A27" s="172" t="s">
        <v>1414</v>
      </c>
    </row>
    <row r="28" spans="1:1" ht="15.75">
      <c r="A28" s="172" t="s">
        <v>1415</v>
      </c>
    </row>
    <row r="29" spans="1:1" ht="15.75">
      <c r="A29" s="172"/>
    </row>
    <row r="30" spans="1:1" ht="15.75">
      <c r="A30" s="171" t="s">
        <v>1416</v>
      </c>
    </row>
    <row r="31" spans="1:1" ht="15.75">
      <c r="A31" s="172" t="s">
        <v>1417</v>
      </c>
    </row>
    <row r="32" spans="1:1" ht="15.75">
      <c r="A32" s="172"/>
    </row>
    <row r="33" spans="1:1" ht="15.75">
      <c r="A33" s="171" t="s">
        <v>1418</v>
      </c>
    </row>
    <row r="34" spans="1:1" ht="15.75">
      <c r="A34" s="172" t="s">
        <v>1419</v>
      </c>
    </row>
    <row r="35" spans="1:1" ht="15.75">
      <c r="A35" s="172" t="s">
        <v>1420</v>
      </c>
    </row>
    <row r="36" spans="1:1" ht="15.75">
      <c r="A36" s="172" t="s">
        <v>1421</v>
      </c>
    </row>
    <row r="37" spans="1:1" ht="15.75">
      <c r="A37" s="172" t="s">
        <v>1422</v>
      </c>
    </row>
    <row r="38" spans="1:1" ht="15.75">
      <c r="A38" s="172" t="s">
        <v>1423</v>
      </c>
    </row>
    <row r="39" spans="1:1" ht="15.75">
      <c r="A39" s="172" t="s">
        <v>1424</v>
      </c>
    </row>
    <row r="40" spans="1:1" ht="15.75">
      <c r="A40" s="172" t="s">
        <v>1425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E3BE-0583-4D71-BDB8-CDEC93E2CFBA}">
  <sheetPr>
    <tabColor theme="6" tint="-0.249977111117893"/>
  </sheetPr>
  <dimension ref="A1:AH148"/>
  <sheetViews>
    <sheetView topLeftCell="Q1" workbookViewId="0">
      <pane ySplit="2" topLeftCell="G3" activePane="bottomLeft" state="frozen"/>
      <selection pane="bottomLeft" activeCell="X30" sqref="X30"/>
      <selection activeCell="F1" sqref="F1"/>
    </sheetView>
  </sheetViews>
  <sheetFormatPr defaultColWidth="10.5703125" defaultRowHeight="15"/>
  <cols>
    <col min="1" max="1" width="21.28515625" bestFit="1" customWidth="1"/>
    <col min="2" max="2" width="54.140625" bestFit="1" customWidth="1"/>
    <col min="3" max="3" width="113.7109375" bestFit="1" customWidth="1"/>
    <col min="4" max="4" width="77.42578125" bestFit="1" customWidth="1"/>
    <col min="5" max="5" width="24.28515625" style="205" bestFit="1" customWidth="1"/>
    <col min="6" max="6" width="11.7109375" style="205" customWidth="1"/>
    <col min="7" max="7" width="151" style="205" bestFit="1" customWidth="1"/>
    <col min="8" max="8" width="11.7109375" style="205" customWidth="1"/>
    <col min="9" max="12" width="11.7109375" style="205" bestFit="1" customWidth="1"/>
    <col min="13" max="13" width="27" style="205" bestFit="1" customWidth="1"/>
    <col min="14" max="15" width="11.7109375" style="205" bestFit="1" customWidth="1"/>
    <col min="16" max="16" width="255.7109375" style="205" bestFit="1" customWidth="1"/>
    <col min="17" max="17" width="15.140625" style="205" bestFit="1" customWidth="1"/>
    <col min="18" max="18" width="50.28515625" style="205" bestFit="1" customWidth="1"/>
    <col min="19" max="21" width="17" style="205" bestFit="1" customWidth="1"/>
    <col min="22" max="23" width="11.7109375" style="205" bestFit="1" customWidth="1"/>
    <col min="24" max="24" width="56" style="205" bestFit="1" customWidth="1"/>
    <col min="25" max="25" width="11.7109375" style="205" bestFit="1" customWidth="1"/>
    <col min="26" max="26" width="11.7109375" style="205" customWidth="1"/>
    <col min="27" max="27" width="44" style="205" bestFit="1" customWidth="1"/>
    <col min="28" max="28" width="11.7109375" style="205" bestFit="1" customWidth="1"/>
    <col min="29" max="29" width="18" style="205" bestFit="1" customWidth="1"/>
    <col min="30" max="30" width="18" style="205" customWidth="1"/>
  </cols>
  <sheetData>
    <row r="1" spans="1:34" ht="47.25">
      <c r="A1" s="184" t="s">
        <v>1426</v>
      </c>
      <c r="B1" s="185" t="s">
        <v>1427</v>
      </c>
      <c r="C1" s="51"/>
      <c r="D1" s="51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</row>
    <row r="2" spans="1:34" ht="45">
      <c r="A2" s="173" t="s">
        <v>1428</v>
      </c>
      <c r="B2" s="173" t="s">
        <v>859</v>
      </c>
      <c r="C2" s="173" t="s">
        <v>1429</v>
      </c>
      <c r="D2" s="173" t="s">
        <v>1430</v>
      </c>
      <c r="E2" s="192" t="s">
        <v>1431</v>
      </c>
      <c r="F2" s="192" t="s">
        <v>1432</v>
      </c>
      <c r="G2" s="192" t="s">
        <v>1433</v>
      </c>
      <c r="H2" s="192" t="s">
        <v>1434</v>
      </c>
      <c r="I2" s="192" t="s">
        <v>1435</v>
      </c>
      <c r="J2" s="192" t="s">
        <v>1436</v>
      </c>
      <c r="K2" s="192" t="s">
        <v>1437</v>
      </c>
      <c r="L2" s="192" t="s">
        <v>1438</v>
      </c>
      <c r="M2" s="192" t="s">
        <v>1439</v>
      </c>
      <c r="N2" s="192" t="s">
        <v>1440</v>
      </c>
      <c r="O2" s="192" t="s">
        <v>1441</v>
      </c>
      <c r="P2" s="192" t="s">
        <v>1442</v>
      </c>
      <c r="Q2" s="192" t="s">
        <v>1443</v>
      </c>
      <c r="R2" s="192" t="s">
        <v>1444</v>
      </c>
      <c r="S2" s="192" t="s">
        <v>1445</v>
      </c>
      <c r="T2" s="192" t="s">
        <v>1446</v>
      </c>
      <c r="U2" s="192" t="s">
        <v>1447</v>
      </c>
      <c r="V2" s="192" t="s">
        <v>1448</v>
      </c>
      <c r="W2" s="192" t="s">
        <v>1449</v>
      </c>
      <c r="X2" s="192" t="s">
        <v>1450</v>
      </c>
      <c r="Y2" s="192" t="s">
        <v>1451</v>
      </c>
      <c r="Z2" s="192" t="s">
        <v>1452</v>
      </c>
      <c r="AA2" s="192" t="s">
        <v>1453</v>
      </c>
      <c r="AB2" s="192" t="s">
        <v>1454</v>
      </c>
      <c r="AC2" s="192" t="s">
        <v>1455</v>
      </c>
      <c r="AD2" s="215" t="s">
        <v>1456</v>
      </c>
      <c r="AE2" s="215" t="s">
        <v>1457</v>
      </c>
      <c r="AF2" s="215" t="s">
        <v>1458</v>
      </c>
      <c r="AG2" s="215" t="s">
        <v>1459</v>
      </c>
      <c r="AH2" s="193" t="s">
        <v>1460</v>
      </c>
    </row>
    <row r="3" spans="1:34">
      <c r="A3" s="173"/>
      <c r="B3" s="183"/>
      <c r="C3" s="181"/>
      <c r="D3" s="181" t="s">
        <v>1461</v>
      </c>
      <c r="E3" s="193" t="s">
        <v>1462</v>
      </c>
      <c r="F3" s="193"/>
      <c r="G3" s="193" t="s">
        <v>1463</v>
      </c>
      <c r="H3" s="193"/>
      <c r="I3" s="193" t="s">
        <v>1464</v>
      </c>
      <c r="J3" s="193" t="s">
        <v>1465</v>
      </c>
      <c r="K3" s="193" t="s">
        <v>1466</v>
      </c>
      <c r="L3" s="193" t="s">
        <v>1467</v>
      </c>
      <c r="M3" s="193" t="s">
        <v>1468</v>
      </c>
      <c r="N3" s="193" t="s">
        <v>1469</v>
      </c>
      <c r="O3" s="193" t="s">
        <v>1470</v>
      </c>
      <c r="P3" s="193" t="s">
        <v>1471</v>
      </c>
      <c r="Q3" s="193" t="s">
        <v>1472</v>
      </c>
      <c r="R3" s="193" t="s">
        <v>1473</v>
      </c>
      <c r="S3" s="193" t="s">
        <v>1474</v>
      </c>
      <c r="T3" s="193" t="s">
        <v>1475</v>
      </c>
      <c r="U3" s="193" t="s">
        <v>1476</v>
      </c>
      <c r="V3" s="193" t="s">
        <v>1477</v>
      </c>
      <c r="W3" s="193" t="s">
        <v>1478</v>
      </c>
      <c r="X3" s="193" t="s">
        <v>1479</v>
      </c>
      <c r="Y3" s="193" t="s">
        <v>1480</v>
      </c>
      <c r="Z3" s="193" t="s">
        <v>1481</v>
      </c>
      <c r="AA3" s="193" t="s">
        <v>1482</v>
      </c>
      <c r="AB3" s="193" t="s">
        <v>1483</v>
      </c>
      <c r="AC3" s="193" t="s">
        <v>1484</v>
      </c>
      <c r="AD3" s="193"/>
      <c r="AE3" s="193" t="s">
        <v>1485</v>
      </c>
      <c r="AF3" s="193" t="s">
        <v>1486</v>
      </c>
      <c r="AG3" s="193" t="s">
        <v>1487</v>
      </c>
      <c r="AH3" s="193" t="s">
        <v>1488</v>
      </c>
    </row>
    <row r="4" spans="1:34" ht="21">
      <c r="A4" s="180" t="s">
        <v>1489</v>
      </c>
      <c r="B4" s="180" t="s">
        <v>986</v>
      </c>
      <c r="C4" s="182"/>
      <c r="D4" s="182" t="s">
        <v>1490</v>
      </c>
      <c r="E4" s="204" t="s">
        <v>1491</v>
      </c>
      <c r="F4" s="204" t="s">
        <v>1491</v>
      </c>
      <c r="G4" s="204" t="s">
        <v>1491</v>
      </c>
      <c r="H4" s="204" t="s">
        <v>1491</v>
      </c>
      <c r="I4" s="204" t="s">
        <v>1491</v>
      </c>
      <c r="J4" s="204" t="s">
        <v>1491</v>
      </c>
      <c r="K4" s="204" t="s">
        <v>1492</v>
      </c>
      <c r="L4" s="204" t="s">
        <v>1491</v>
      </c>
      <c r="M4" s="204" t="s">
        <v>1491</v>
      </c>
      <c r="N4" s="204" t="s">
        <v>1491</v>
      </c>
      <c r="O4" s="204" t="s">
        <v>1493</v>
      </c>
      <c r="P4" s="204" t="s">
        <v>1491</v>
      </c>
      <c r="Q4" s="204" t="s">
        <v>1491</v>
      </c>
      <c r="R4" s="204" t="s">
        <v>1494</v>
      </c>
      <c r="S4" s="204" t="s">
        <v>1491</v>
      </c>
      <c r="T4" s="204" t="s">
        <v>1491</v>
      </c>
      <c r="U4" s="204" t="s">
        <v>1491</v>
      </c>
      <c r="V4" s="204" t="s">
        <v>1491</v>
      </c>
      <c r="W4" s="204" t="s">
        <v>1491</v>
      </c>
      <c r="X4" s="204" t="s">
        <v>1491</v>
      </c>
      <c r="Y4" s="204" t="s">
        <v>1491</v>
      </c>
      <c r="Z4" s="204" t="s">
        <v>1491</v>
      </c>
      <c r="AA4" s="204" t="s">
        <v>1491</v>
      </c>
      <c r="AB4" s="204" t="s">
        <v>1491</v>
      </c>
      <c r="AC4" s="204" t="s">
        <v>1495</v>
      </c>
      <c r="AD4" s="204" t="s">
        <v>1472</v>
      </c>
      <c r="AE4" s="204" t="s">
        <v>1491</v>
      </c>
      <c r="AF4" s="204" t="s">
        <v>1491</v>
      </c>
      <c r="AG4" s="204" t="s">
        <v>1491</v>
      </c>
      <c r="AH4" s="204" t="s">
        <v>1491</v>
      </c>
    </row>
    <row r="5" spans="1:34">
      <c r="A5" s="177">
        <v>1</v>
      </c>
      <c r="B5" s="176" t="s">
        <v>53</v>
      </c>
      <c r="C5" s="176" t="s">
        <v>1233</v>
      </c>
      <c r="D5" t="s">
        <v>1496</v>
      </c>
      <c r="E5" s="194" t="s">
        <v>1491</v>
      </c>
      <c r="F5" s="194" t="s">
        <v>1491</v>
      </c>
      <c r="G5" s="194" t="s">
        <v>1491</v>
      </c>
      <c r="H5" s="194" t="s">
        <v>1491</v>
      </c>
      <c r="I5" s="194" t="s">
        <v>1491</v>
      </c>
      <c r="J5" s="194" t="s">
        <v>1497</v>
      </c>
      <c r="K5" s="194" t="s">
        <v>1491</v>
      </c>
      <c r="L5" s="194" t="s">
        <v>1491</v>
      </c>
      <c r="M5" s="194" t="s">
        <v>1491</v>
      </c>
      <c r="N5" s="194" t="s">
        <v>1491</v>
      </c>
      <c r="O5" s="194" t="s">
        <v>1491</v>
      </c>
      <c r="P5" s="194" t="s">
        <v>1491</v>
      </c>
      <c r="Q5" s="194" t="s">
        <v>1491</v>
      </c>
      <c r="R5" s="194" t="s">
        <v>1491</v>
      </c>
      <c r="S5" s="194" t="s">
        <v>1498</v>
      </c>
      <c r="T5" s="194" t="s">
        <v>1491</v>
      </c>
      <c r="U5" s="194" t="s">
        <v>1491</v>
      </c>
      <c r="V5" s="194" t="s">
        <v>1491</v>
      </c>
      <c r="W5" s="194" t="s">
        <v>1491</v>
      </c>
      <c r="X5" s="194" t="s">
        <v>1491</v>
      </c>
      <c r="Y5" s="194" t="s">
        <v>1491</v>
      </c>
      <c r="Z5" s="194" t="s">
        <v>1491</v>
      </c>
      <c r="AA5" s="194" t="s">
        <v>1491</v>
      </c>
      <c r="AB5" s="194" t="s">
        <v>1491</v>
      </c>
      <c r="AC5" s="194" t="s">
        <v>1491</v>
      </c>
      <c r="AD5" s="194" t="s">
        <v>1491</v>
      </c>
      <c r="AE5" s="194" t="s">
        <v>1491</v>
      </c>
      <c r="AF5" s="194" t="s">
        <v>1491</v>
      </c>
      <c r="AG5" s="194" t="s">
        <v>1491</v>
      </c>
      <c r="AH5" s="194" t="s">
        <v>1491</v>
      </c>
    </row>
    <row r="6" spans="1:34">
      <c r="A6" s="177">
        <v>2</v>
      </c>
      <c r="B6" s="176" t="s">
        <v>1499</v>
      </c>
      <c r="C6" s="176" t="s">
        <v>1233</v>
      </c>
      <c r="D6" t="s">
        <v>1496</v>
      </c>
      <c r="E6" s="194" t="s">
        <v>1491</v>
      </c>
      <c r="F6" s="194" t="s">
        <v>1491</v>
      </c>
      <c r="G6" s="194" t="s">
        <v>1491</v>
      </c>
      <c r="H6" s="194" t="s">
        <v>1491</v>
      </c>
      <c r="I6" s="194" t="s">
        <v>1491</v>
      </c>
      <c r="J6" s="194" t="s">
        <v>1491</v>
      </c>
      <c r="K6" s="194" t="s">
        <v>1492</v>
      </c>
      <c r="L6" s="194" t="s">
        <v>1491</v>
      </c>
      <c r="M6" s="194" t="s">
        <v>1491</v>
      </c>
      <c r="N6" s="194" t="s">
        <v>1491</v>
      </c>
      <c r="O6" s="194" t="s">
        <v>1493</v>
      </c>
      <c r="P6" s="194" t="s">
        <v>1491</v>
      </c>
      <c r="Q6" s="194" t="s">
        <v>1491</v>
      </c>
      <c r="R6" s="194" t="s">
        <v>1494</v>
      </c>
      <c r="S6" s="194" t="s">
        <v>1491</v>
      </c>
      <c r="T6" s="194" t="s">
        <v>1491</v>
      </c>
      <c r="U6" s="194" t="s">
        <v>1491</v>
      </c>
      <c r="V6" s="194" t="s">
        <v>1491</v>
      </c>
      <c r="W6" s="194" t="s">
        <v>1491</v>
      </c>
      <c r="X6" s="194" t="s">
        <v>1491</v>
      </c>
      <c r="Y6" s="194" t="s">
        <v>1491</v>
      </c>
      <c r="Z6" s="194" t="s">
        <v>1491</v>
      </c>
      <c r="AA6" s="194" t="s">
        <v>1491</v>
      </c>
      <c r="AB6" s="194" t="s">
        <v>1491</v>
      </c>
      <c r="AC6" s="194" t="s">
        <v>1495</v>
      </c>
      <c r="AD6" s="194" t="s">
        <v>1491</v>
      </c>
      <c r="AE6" s="194" t="s">
        <v>1491</v>
      </c>
      <c r="AF6" s="194" t="s">
        <v>1491</v>
      </c>
      <c r="AG6" s="194" t="s">
        <v>1491</v>
      </c>
      <c r="AH6" s="194" t="s">
        <v>1491</v>
      </c>
    </row>
    <row r="7" spans="1:34">
      <c r="A7" s="177">
        <v>3</v>
      </c>
      <c r="B7" s="176" t="s">
        <v>195</v>
      </c>
      <c r="C7" s="176" t="s">
        <v>1024</v>
      </c>
      <c r="D7" t="s">
        <v>1496</v>
      </c>
      <c r="E7" s="194" t="s">
        <v>1491</v>
      </c>
      <c r="F7" s="194" t="s">
        <v>1491</v>
      </c>
      <c r="G7" s="194" t="s">
        <v>1491</v>
      </c>
      <c r="H7" s="194" t="s">
        <v>1491</v>
      </c>
      <c r="I7" s="194" t="s">
        <v>1491</v>
      </c>
      <c r="J7" s="194" t="s">
        <v>1500</v>
      </c>
      <c r="K7" s="194" t="s">
        <v>1492</v>
      </c>
      <c r="L7" s="194" t="s">
        <v>1491</v>
      </c>
      <c r="M7" s="194" t="s">
        <v>1491</v>
      </c>
      <c r="N7" s="194" t="s">
        <v>1501</v>
      </c>
      <c r="O7" s="194" t="s">
        <v>1491</v>
      </c>
      <c r="P7" s="194" t="s">
        <v>1491</v>
      </c>
      <c r="Q7" s="194" t="s">
        <v>1491</v>
      </c>
      <c r="R7" s="194" t="s">
        <v>1491</v>
      </c>
      <c r="S7" s="194" t="s">
        <v>1498</v>
      </c>
      <c r="T7" s="194" t="s">
        <v>1491</v>
      </c>
      <c r="U7" s="194" t="s">
        <v>1491</v>
      </c>
      <c r="V7" s="194" t="s">
        <v>1491</v>
      </c>
      <c r="W7" s="194" t="s">
        <v>1491</v>
      </c>
      <c r="X7" s="194" t="s">
        <v>1491</v>
      </c>
      <c r="Y7" s="194" t="s">
        <v>1491</v>
      </c>
      <c r="Z7" s="194" t="s">
        <v>1491</v>
      </c>
      <c r="AA7" s="194" t="s">
        <v>1491</v>
      </c>
      <c r="AB7" s="194" t="s">
        <v>1491</v>
      </c>
      <c r="AC7" s="194" t="s">
        <v>1491</v>
      </c>
      <c r="AD7" s="194" t="s">
        <v>1491</v>
      </c>
      <c r="AE7" s="194" t="s">
        <v>1491</v>
      </c>
      <c r="AF7" s="194" t="s">
        <v>1491</v>
      </c>
      <c r="AG7" s="194" t="s">
        <v>1491</v>
      </c>
      <c r="AH7" s="194" t="s">
        <v>1491</v>
      </c>
    </row>
    <row r="8" spans="1:34">
      <c r="A8" s="177">
        <v>4</v>
      </c>
      <c r="B8" s="176" t="s">
        <v>221</v>
      </c>
      <c r="C8" s="176" t="s">
        <v>1024</v>
      </c>
      <c r="D8" t="s">
        <v>1496</v>
      </c>
      <c r="E8" s="194" t="s">
        <v>1491</v>
      </c>
      <c r="F8" s="194" t="s">
        <v>1491</v>
      </c>
      <c r="G8" s="194" t="s">
        <v>1491</v>
      </c>
      <c r="H8" s="194" t="s">
        <v>1491</v>
      </c>
      <c r="I8" s="194" t="s">
        <v>1491</v>
      </c>
      <c r="J8" s="194" t="s">
        <v>1500</v>
      </c>
      <c r="K8" s="194" t="s">
        <v>1492</v>
      </c>
      <c r="L8" s="194" t="s">
        <v>1491</v>
      </c>
      <c r="M8" s="194" t="s">
        <v>1491</v>
      </c>
      <c r="N8" s="194" t="s">
        <v>1501</v>
      </c>
      <c r="O8" s="194" t="s">
        <v>1491</v>
      </c>
      <c r="P8" s="194" t="s">
        <v>1491</v>
      </c>
      <c r="Q8" s="194" t="s">
        <v>1491</v>
      </c>
      <c r="R8" s="194" t="s">
        <v>1491</v>
      </c>
      <c r="S8" s="194" t="s">
        <v>1498</v>
      </c>
      <c r="T8" s="194" t="s">
        <v>1491</v>
      </c>
      <c r="U8" s="194" t="s">
        <v>1491</v>
      </c>
      <c r="V8" s="194" t="s">
        <v>1491</v>
      </c>
      <c r="W8" s="194" t="s">
        <v>1491</v>
      </c>
      <c r="X8" s="194" t="s">
        <v>1491</v>
      </c>
      <c r="Y8" s="194" t="s">
        <v>1491</v>
      </c>
      <c r="Z8" s="194" t="s">
        <v>1491</v>
      </c>
      <c r="AA8" s="194" t="s">
        <v>1491</v>
      </c>
      <c r="AB8" s="194" t="s">
        <v>1491</v>
      </c>
      <c r="AC8" s="194" t="s">
        <v>1491</v>
      </c>
      <c r="AD8" s="194" t="s">
        <v>1491</v>
      </c>
      <c r="AE8" s="194" t="s">
        <v>1491</v>
      </c>
      <c r="AF8" s="194" t="s">
        <v>1491</v>
      </c>
      <c r="AG8" s="194" t="s">
        <v>1491</v>
      </c>
      <c r="AH8" s="194" t="s">
        <v>1491</v>
      </c>
    </row>
    <row r="9" spans="1:34">
      <c r="A9" s="177">
        <v>5</v>
      </c>
      <c r="B9" s="176" t="s">
        <v>172</v>
      </c>
      <c r="C9" s="176" t="s">
        <v>1024</v>
      </c>
      <c r="D9" t="s">
        <v>1496</v>
      </c>
      <c r="E9" s="194" t="s">
        <v>1491</v>
      </c>
      <c r="F9" s="194" t="s">
        <v>1491</v>
      </c>
      <c r="G9" s="194" t="s">
        <v>1491</v>
      </c>
      <c r="H9" s="194" t="s">
        <v>1491</v>
      </c>
      <c r="I9" s="194" t="s">
        <v>1491</v>
      </c>
      <c r="J9" s="194" t="s">
        <v>1500</v>
      </c>
      <c r="K9" s="194" t="s">
        <v>1492</v>
      </c>
      <c r="L9" s="194" t="s">
        <v>1491</v>
      </c>
      <c r="M9" s="194" t="s">
        <v>1502</v>
      </c>
      <c r="N9" s="194" t="s">
        <v>1491</v>
      </c>
      <c r="O9" s="194" t="s">
        <v>1491</v>
      </c>
      <c r="P9" s="194" t="s">
        <v>1491</v>
      </c>
      <c r="Q9" s="194" t="s">
        <v>1491</v>
      </c>
      <c r="R9" s="194" t="s">
        <v>1491</v>
      </c>
      <c r="S9" s="194" t="s">
        <v>1491</v>
      </c>
      <c r="T9" s="194" t="s">
        <v>1491</v>
      </c>
      <c r="U9" s="194" t="s">
        <v>1491</v>
      </c>
      <c r="V9" s="194" t="s">
        <v>1491</v>
      </c>
      <c r="W9" s="194" t="s">
        <v>1491</v>
      </c>
      <c r="X9" s="194" t="s">
        <v>1491</v>
      </c>
      <c r="Y9" s="194" t="s">
        <v>1491</v>
      </c>
      <c r="Z9" s="194" t="s">
        <v>1491</v>
      </c>
      <c r="AA9" s="194" t="s">
        <v>1491</v>
      </c>
      <c r="AB9" s="194" t="s">
        <v>1491</v>
      </c>
      <c r="AC9" s="194" t="s">
        <v>1503</v>
      </c>
      <c r="AD9" s="194" t="s">
        <v>1491</v>
      </c>
      <c r="AE9" s="194" t="s">
        <v>1491</v>
      </c>
      <c r="AF9" s="194" t="s">
        <v>1491</v>
      </c>
      <c r="AG9" s="194" t="s">
        <v>1491</v>
      </c>
      <c r="AH9" s="194" t="s">
        <v>1491</v>
      </c>
    </row>
    <row r="10" spans="1:34">
      <c r="A10" s="177">
        <v>6</v>
      </c>
      <c r="B10" s="176" t="s">
        <v>224</v>
      </c>
      <c r="C10" s="176" t="s">
        <v>1024</v>
      </c>
      <c r="D10" t="s">
        <v>1496</v>
      </c>
      <c r="E10" s="194" t="s">
        <v>1491</v>
      </c>
      <c r="F10" s="194" t="s">
        <v>1491</v>
      </c>
      <c r="G10" s="194" t="s">
        <v>1491</v>
      </c>
      <c r="H10" s="194" t="s">
        <v>1491</v>
      </c>
      <c r="I10" s="194" t="s">
        <v>1491</v>
      </c>
      <c r="J10" s="194" t="s">
        <v>1497</v>
      </c>
      <c r="K10" s="194" t="s">
        <v>1504</v>
      </c>
      <c r="L10" s="194" t="s">
        <v>1491</v>
      </c>
      <c r="M10" s="194" t="s">
        <v>1491</v>
      </c>
      <c r="N10" s="194" t="s">
        <v>1505</v>
      </c>
      <c r="O10" s="194" t="s">
        <v>1493</v>
      </c>
      <c r="P10" s="194" t="s">
        <v>1491</v>
      </c>
      <c r="Q10" s="194" t="s">
        <v>1491</v>
      </c>
      <c r="R10" s="194" t="s">
        <v>1491</v>
      </c>
      <c r="S10" s="194" t="s">
        <v>1491</v>
      </c>
      <c r="T10" s="194" t="s">
        <v>1498</v>
      </c>
      <c r="U10" s="194" t="s">
        <v>1491</v>
      </c>
      <c r="V10" s="194" t="s">
        <v>1491</v>
      </c>
      <c r="W10" s="194" t="s">
        <v>1491</v>
      </c>
      <c r="X10" s="194" t="s">
        <v>1491</v>
      </c>
      <c r="Y10" s="194" t="s">
        <v>1491</v>
      </c>
      <c r="Z10" s="194" t="s">
        <v>1491</v>
      </c>
      <c r="AA10" s="194" t="s">
        <v>1506</v>
      </c>
      <c r="AB10" s="194" t="s">
        <v>1491</v>
      </c>
      <c r="AC10" s="194" t="s">
        <v>1507</v>
      </c>
      <c r="AD10" s="194" t="s">
        <v>1491</v>
      </c>
      <c r="AE10" s="194" t="s">
        <v>1491</v>
      </c>
      <c r="AF10" s="194" t="s">
        <v>1491</v>
      </c>
      <c r="AG10" s="194" t="s">
        <v>1491</v>
      </c>
      <c r="AH10" s="194" t="s">
        <v>1491</v>
      </c>
    </row>
    <row r="11" spans="1:34">
      <c r="A11" s="177">
        <v>7</v>
      </c>
      <c r="B11" s="176" t="s">
        <v>222</v>
      </c>
      <c r="C11" s="176" t="s">
        <v>1508</v>
      </c>
      <c r="D11" t="s">
        <v>1496</v>
      </c>
      <c r="E11" s="194" t="s">
        <v>1491</v>
      </c>
      <c r="F11" s="194" t="s">
        <v>1491</v>
      </c>
      <c r="G11" s="194" t="s">
        <v>1491</v>
      </c>
      <c r="H11" s="194" t="s">
        <v>1491</v>
      </c>
      <c r="I11" s="194" t="s">
        <v>1491</v>
      </c>
      <c r="J11" s="194" t="s">
        <v>1491</v>
      </c>
      <c r="K11" s="194" t="s">
        <v>1491</v>
      </c>
      <c r="L11" s="194" t="s">
        <v>1491</v>
      </c>
      <c r="M11" s="194" t="s">
        <v>1491</v>
      </c>
      <c r="N11" s="194" t="s">
        <v>1491</v>
      </c>
      <c r="O11" s="194" t="s">
        <v>1491</v>
      </c>
      <c r="P11" s="194" t="s">
        <v>1491</v>
      </c>
      <c r="Q11" s="194" t="s">
        <v>1491</v>
      </c>
      <c r="R11" s="194" t="s">
        <v>1491</v>
      </c>
      <c r="S11" s="194" t="s">
        <v>1491</v>
      </c>
      <c r="T11" s="194" t="s">
        <v>1491</v>
      </c>
      <c r="U11" s="194" t="s">
        <v>1491</v>
      </c>
      <c r="V11" s="194" t="s">
        <v>1491</v>
      </c>
      <c r="W11" s="194" t="s">
        <v>1491</v>
      </c>
      <c r="X11" s="194" t="s">
        <v>1491</v>
      </c>
      <c r="Y11" s="194" t="s">
        <v>1491</v>
      </c>
      <c r="Z11" s="194" t="s">
        <v>1491</v>
      </c>
      <c r="AA11" s="194" t="s">
        <v>1491</v>
      </c>
      <c r="AB11" s="194" t="s">
        <v>1491</v>
      </c>
      <c r="AC11" s="194" t="s">
        <v>1491</v>
      </c>
      <c r="AD11" s="194" t="s">
        <v>1491</v>
      </c>
      <c r="AE11" s="194" t="s">
        <v>1491</v>
      </c>
      <c r="AF11" s="194" t="s">
        <v>1491</v>
      </c>
      <c r="AG11" s="194" t="s">
        <v>1491</v>
      </c>
      <c r="AH11" s="194" t="s">
        <v>1491</v>
      </c>
    </row>
    <row r="12" spans="1:34">
      <c r="A12" s="177">
        <v>8</v>
      </c>
      <c r="B12" s="176" t="s">
        <v>214</v>
      </c>
      <c r="C12" s="176" t="s">
        <v>1024</v>
      </c>
      <c r="D12" t="s">
        <v>1496</v>
      </c>
      <c r="E12" s="194" t="s">
        <v>1491</v>
      </c>
      <c r="F12" s="194" t="s">
        <v>1491</v>
      </c>
      <c r="G12" s="194" t="s">
        <v>1491</v>
      </c>
      <c r="H12" s="194" t="s">
        <v>1491</v>
      </c>
      <c r="I12" s="194" t="s">
        <v>1491</v>
      </c>
      <c r="J12" s="194" t="s">
        <v>1497</v>
      </c>
      <c r="K12" s="194" t="s">
        <v>1491</v>
      </c>
      <c r="L12" s="194" t="s">
        <v>1491</v>
      </c>
      <c r="M12" s="194" t="s">
        <v>1491</v>
      </c>
      <c r="N12" s="194" t="s">
        <v>1509</v>
      </c>
      <c r="O12" s="194" t="s">
        <v>1510</v>
      </c>
      <c r="P12" s="194" t="s">
        <v>1491</v>
      </c>
      <c r="Q12" s="194" t="s">
        <v>1491</v>
      </c>
      <c r="R12" s="194" t="s">
        <v>1491</v>
      </c>
      <c r="S12" s="194" t="s">
        <v>1511</v>
      </c>
      <c r="T12" s="194" t="s">
        <v>1491</v>
      </c>
      <c r="U12" s="194" t="s">
        <v>1491</v>
      </c>
      <c r="V12" s="194" t="s">
        <v>1491</v>
      </c>
      <c r="W12" s="194" t="s">
        <v>1491</v>
      </c>
      <c r="X12" s="194" t="s">
        <v>1491</v>
      </c>
      <c r="Y12" s="194" t="s">
        <v>1491</v>
      </c>
      <c r="Z12" s="194" t="s">
        <v>1491</v>
      </c>
      <c r="AA12" s="194" t="s">
        <v>1491</v>
      </c>
      <c r="AB12" s="194" t="s">
        <v>1491</v>
      </c>
      <c r="AC12" s="194" t="s">
        <v>1491</v>
      </c>
      <c r="AD12" s="194" t="s">
        <v>1491</v>
      </c>
      <c r="AE12" s="194" t="s">
        <v>1491</v>
      </c>
      <c r="AF12" s="194" t="s">
        <v>1491</v>
      </c>
      <c r="AG12" s="194" t="s">
        <v>1491</v>
      </c>
      <c r="AH12" s="194" t="s">
        <v>1491</v>
      </c>
    </row>
    <row r="13" spans="1:34">
      <c r="A13" s="177">
        <v>9</v>
      </c>
      <c r="B13" s="176" t="s">
        <v>223</v>
      </c>
      <c r="C13" s="176" t="s">
        <v>1294</v>
      </c>
      <c r="D13" t="s">
        <v>1496</v>
      </c>
      <c r="E13" s="194" t="s">
        <v>1512</v>
      </c>
      <c r="F13" s="194" t="s">
        <v>1491</v>
      </c>
      <c r="G13" s="194" t="s">
        <v>1491</v>
      </c>
      <c r="H13" s="194" t="s">
        <v>1491</v>
      </c>
      <c r="I13" s="194" t="s">
        <v>1491</v>
      </c>
      <c r="J13" s="194" t="s">
        <v>1497</v>
      </c>
      <c r="K13" s="194" t="s">
        <v>1504</v>
      </c>
      <c r="L13" s="194" t="s">
        <v>1491</v>
      </c>
      <c r="M13" s="194" t="s">
        <v>1491</v>
      </c>
      <c r="N13" s="194" t="s">
        <v>1505</v>
      </c>
      <c r="O13" s="194" t="s">
        <v>1510</v>
      </c>
      <c r="P13" s="194" t="s">
        <v>1491</v>
      </c>
      <c r="Q13" s="194" t="s">
        <v>1491</v>
      </c>
      <c r="R13" s="194" t="s">
        <v>1491</v>
      </c>
      <c r="S13" s="194" t="s">
        <v>1491</v>
      </c>
      <c r="T13" s="194" t="s">
        <v>1498</v>
      </c>
      <c r="U13" s="194" t="s">
        <v>1491</v>
      </c>
      <c r="V13" s="194" t="s">
        <v>1491</v>
      </c>
      <c r="W13" s="194" t="s">
        <v>1491</v>
      </c>
      <c r="X13" s="194" t="s">
        <v>1491</v>
      </c>
      <c r="Y13" s="194" t="s">
        <v>1491</v>
      </c>
      <c r="Z13" s="194" t="s">
        <v>1491</v>
      </c>
      <c r="AA13" s="194" t="s">
        <v>1491</v>
      </c>
      <c r="AB13" s="194" t="s">
        <v>1491</v>
      </c>
      <c r="AC13" s="194" t="s">
        <v>1491</v>
      </c>
      <c r="AD13" s="194" t="s">
        <v>1491</v>
      </c>
      <c r="AE13" s="194" t="s">
        <v>1491</v>
      </c>
      <c r="AF13" s="194" t="s">
        <v>1491</v>
      </c>
      <c r="AG13" s="194" t="s">
        <v>1491</v>
      </c>
      <c r="AH13" s="217" t="s">
        <v>1513</v>
      </c>
    </row>
    <row r="14" spans="1:34">
      <c r="A14" s="177">
        <v>10</v>
      </c>
      <c r="B14" s="176" t="s">
        <v>217</v>
      </c>
      <c r="C14" s="176" t="s">
        <v>1514</v>
      </c>
      <c r="D14" t="s">
        <v>1496</v>
      </c>
      <c r="E14" s="194" t="s">
        <v>1515</v>
      </c>
      <c r="F14" s="194" t="s">
        <v>1491</v>
      </c>
      <c r="G14" s="194" t="s">
        <v>1491</v>
      </c>
      <c r="H14" s="194" t="s">
        <v>1491</v>
      </c>
      <c r="I14" s="194" t="s">
        <v>1491</v>
      </c>
      <c r="J14" s="194" t="s">
        <v>1497</v>
      </c>
      <c r="K14" s="194" t="s">
        <v>1491</v>
      </c>
      <c r="L14" s="194" t="s">
        <v>1491</v>
      </c>
      <c r="M14" s="194" t="s">
        <v>1516</v>
      </c>
      <c r="N14" s="194" t="s">
        <v>1505</v>
      </c>
      <c r="O14" s="194" t="s">
        <v>1493</v>
      </c>
      <c r="P14" s="194" t="s">
        <v>1491</v>
      </c>
      <c r="Q14" s="194" t="s">
        <v>1491</v>
      </c>
      <c r="R14" s="194" t="s">
        <v>1491</v>
      </c>
      <c r="S14" s="194" t="s">
        <v>1491</v>
      </c>
      <c r="T14" s="194" t="s">
        <v>1498</v>
      </c>
      <c r="U14" s="194" t="s">
        <v>1491</v>
      </c>
      <c r="V14" s="194" t="s">
        <v>1491</v>
      </c>
      <c r="W14" s="194" t="s">
        <v>1491</v>
      </c>
      <c r="X14" s="194" t="s">
        <v>1491</v>
      </c>
      <c r="Y14" s="194" t="s">
        <v>1491</v>
      </c>
      <c r="Z14" s="194" t="s">
        <v>1491</v>
      </c>
      <c r="AA14" s="194" t="s">
        <v>1491</v>
      </c>
      <c r="AB14" s="194" t="s">
        <v>1491</v>
      </c>
      <c r="AC14" s="194" t="s">
        <v>1491</v>
      </c>
      <c r="AD14" s="194" t="s">
        <v>1491</v>
      </c>
      <c r="AE14" s="194" t="s">
        <v>1491</v>
      </c>
      <c r="AF14" s="194" t="s">
        <v>1491</v>
      </c>
      <c r="AG14" s="194" t="s">
        <v>1491</v>
      </c>
      <c r="AH14" s="194" t="s">
        <v>1491</v>
      </c>
    </row>
    <row r="15" spans="1:34">
      <c r="A15" s="177">
        <v>11</v>
      </c>
      <c r="B15" s="176" t="s">
        <v>216</v>
      </c>
      <c r="C15" s="176" t="s">
        <v>1517</v>
      </c>
      <c r="D15" t="s">
        <v>1496</v>
      </c>
      <c r="E15" s="194" t="s">
        <v>1491</v>
      </c>
      <c r="F15" s="194" t="s">
        <v>1491</v>
      </c>
      <c r="G15" s="194" t="s">
        <v>1491</v>
      </c>
      <c r="H15" s="194" t="s">
        <v>1491</v>
      </c>
      <c r="I15" s="194" t="s">
        <v>1491</v>
      </c>
      <c r="J15" s="194" t="s">
        <v>1518</v>
      </c>
      <c r="K15" s="194" t="s">
        <v>1519</v>
      </c>
      <c r="L15" s="194" t="s">
        <v>1491</v>
      </c>
      <c r="M15" s="194" t="s">
        <v>1491</v>
      </c>
      <c r="N15" s="194" t="s">
        <v>1505</v>
      </c>
      <c r="O15" s="194" t="s">
        <v>1493</v>
      </c>
      <c r="P15" s="194" t="s">
        <v>1491</v>
      </c>
      <c r="Q15" s="194" t="s">
        <v>1491</v>
      </c>
      <c r="R15" s="194" t="s">
        <v>1520</v>
      </c>
      <c r="S15" s="194" t="s">
        <v>1498</v>
      </c>
      <c r="T15" s="194" t="s">
        <v>1491</v>
      </c>
      <c r="U15" s="194" t="s">
        <v>1491</v>
      </c>
      <c r="V15" s="194" t="s">
        <v>1491</v>
      </c>
      <c r="W15" s="194" t="s">
        <v>1491</v>
      </c>
      <c r="X15" s="194" t="s">
        <v>1491</v>
      </c>
      <c r="Y15" s="194" t="s">
        <v>1491</v>
      </c>
      <c r="Z15" s="194" t="s">
        <v>1491</v>
      </c>
      <c r="AA15" s="194" t="s">
        <v>1491</v>
      </c>
      <c r="AB15" s="194" t="s">
        <v>1491</v>
      </c>
      <c r="AC15" s="194" t="s">
        <v>1491</v>
      </c>
      <c r="AD15" s="194" t="s">
        <v>1491</v>
      </c>
      <c r="AE15" s="194" t="s">
        <v>1491</v>
      </c>
      <c r="AF15" s="194" t="s">
        <v>1491</v>
      </c>
      <c r="AG15" s="194" t="s">
        <v>1521</v>
      </c>
      <c r="AH15" s="194" t="s">
        <v>1491</v>
      </c>
    </row>
    <row r="16" spans="1:34">
      <c r="A16" s="177">
        <v>12</v>
      </c>
      <c r="B16" s="176" t="s">
        <v>212</v>
      </c>
      <c r="C16" s="176" t="s">
        <v>1210</v>
      </c>
      <c r="D16" t="s">
        <v>1496</v>
      </c>
      <c r="E16" s="194" t="s">
        <v>1491</v>
      </c>
      <c r="F16" s="194" t="s">
        <v>1491</v>
      </c>
      <c r="G16" s="194" t="s">
        <v>1491</v>
      </c>
      <c r="H16" s="194" t="s">
        <v>1491</v>
      </c>
      <c r="I16" s="194" t="s">
        <v>1491</v>
      </c>
      <c r="J16" s="194" t="s">
        <v>1522</v>
      </c>
      <c r="K16" s="194" t="s">
        <v>1491</v>
      </c>
      <c r="L16" s="194" t="s">
        <v>1491</v>
      </c>
      <c r="M16" s="194" t="s">
        <v>1491</v>
      </c>
      <c r="N16" s="194" t="s">
        <v>1523</v>
      </c>
      <c r="O16" s="194" t="s">
        <v>1491</v>
      </c>
      <c r="P16" s="194" t="s">
        <v>1491</v>
      </c>
      <c r="Q16" s="194" t="s">
        <v>1491</v>
      </c>
      <c r="R16" s="194" t="s">
        <v>1491</v>
      </c>
      <c r="S16" s="194" t="s">
        <v>1491</v>
      </c>
      <c r="T16" s="194" t="s">
        <v>1491</v>
      </c>
      <c r="U16" s="194" t="s">
        <v>1491</v>
      </c>
      <c r="V16" s="194" t="s">
        <v>1491</v>
      </c>
      <c r="W16" s="194" t="s">
        <v>1491</v>
      </c>
      <c r="X16" s="194" t="s">
        <v>1491</v>
      </c>
      <c r="Y16" s="194" t="s">
        <v>1491</v>
      </c>
      <c r="Z16" s="194" t="s">
        <v>1491</v>
      </c>
      <c r="AA16" s="194" t="s">
        <v>1491</v>
      </c>
      <c r="AB16" s="194" t="s">
        <v>1491</v>
      </c>
      <c r="AC16" s="194" t="s">
        <v>1524</v>
      </c>
      <c r="AD16" s="194" t="s">
        <v>1491</v>
      </c>
      <c r="AE16" s="194" t="s">
        <v>1491</v>
      </c>
      <c r="AF16" s="194" t="s">
        <v>1491</v>
      </c>
      <c r="AG16" s="194" t="s">
        <v>1491</v>
      </c>
      <c r="AH16" s="194" t="s">
        <v>1491</v>
      </c>
    </row>
    <row r="17" spans="1:34">
      <c r="A17" s="177">
        <v>13</v>
      </c>
      <c r="B17" s="176" t="s">
        <v>61</v>
      </c>
      <c r="C17" s="176" t="s">
        <v>1525</v>
      </c>
      <c r="D17" t="s">
        <v>1496</v>
      </c>
      <c r="E17" s="194" t="s">
        <v>1526</v>
      </c>
      <c r="F17" s="194" t="s">
        <v>1491</v>
      </c>
      <c r="G17" s="194" t="s">
        <v>1491</v>
      </c>
      <c r="H17" s="194" t="s">
        <v>1491</v>
      </c>
      <c r="I17" s="194" t="s">
        <v>1491</v>
      </c>
      <c r="J17" s="194" t="s">
        <v>1500</v>
      </c>
      <c r="K17" s="194" t="s">
        <v>1491</v>
      </c>
      <c r="L17" s="194" t="s">
        <v>1491</v>
      </c>
      <c r="M17" s="194" t="s">
        <v>1527</v>
      </c>
      <c r="N17" s="194" t="s">
        <v>1491</v>
      </c>
      <c r="O17" s="194" t="s">
        <v>1491</v>
      </c>
      <c r="P17" s="194" t="s">
        <v>1491</v>
      </c>
      <c r="Q17" s="194" t="s">
        <v>1491</v>
      </c>
      <c r="R17" s="194" t="s">
        <v>1491</v>
      </c>
      <c r="S17" s="194" t="s">
        <v>1491</v>
      </c>
      <c r="T17" s="194" t="s">
        <v>1491</v>
      </c>
      <c r="U17" s="194" t="s">
        <v>1491</v>
      </c>
      <c r="V17" s="194" t="s">
        <v>1491</v>
      </c>
      <c r="W17" s="194" t="s">
        <v>1491</v>
      </c>
      <c r="X17" s="194" t="s">
        <v>1491</v>
      </c>
      <c r="Y17" s="194" t="s">
        <v>1491</v>
      </c>
      <c r="Z17" s="194" t="s">
        <v>1491</v>
      </c>
      <c r="AA17" s="194" t="s">
        <v>1528</v>
      </c>
      <c r="AB17" s="194" t="s">
        <v>1491</v>
      </c>
      <c r="AC17" s="194" t="s">
        <v>1491</v>
      </c>
      <c r="AD17" s="194" t="s">
        <v>1491</v>
      </c>
      <c r="AE17" s="194" t="s">
        <v>1491</v>
      </c>
      <c r="AF17" s="194" t="s">
        <v>1491</v>
      </c>
      <c r="AG17" s="194" t="s">
        <v>1491</v>
      </c>
      <c r="AH17" s="194" t="s">
        <v>1491</v>
      </c>
    </row>
    <row r="18" spans="1:34">
      <c r="A18" s="177">
        <v>14</v>
      </c>
      <c r="B18" s="176" t="s">
        <v>1032</v>
      </c>
      <c r="C18" s="176" t="s">
        <v>1024</v>
      </c>
      <c r="D18" t="s">
        <v>1496</v>
      </c>
      <c r="E18" s="194" t="s">
        <v>1529</v>
      </c>
      <c r="F18" s="194" t="s">
        <v>1491</v>
      </c>
      <c r="G18" s="194" t="s">
        <v>1491</v>
      </c>
      <c r="H18" s="194" t="s">
        <v>1491</v>
      </c>
      <c r="I18" s="194" t="s">
        <v>1491</v>
      </c>
      <c r="J18" s="194" t="s">
        <v>1491</v>
      </c>
      <c r="K18" s="194" t="s">
        <v>1491</v>
      </c>
      <c r="L18" s="194" t="s">
        <v>1491</v>
      </c>
      <c r="M18" s="194" t="s">
        <v>1491</v>
      </c>
      <c r="N18" s="194" t="s">
        <v>1501</v>
      </c>
      <c r="O18" s="194" t="s">
        <v>1491</v>
      </c>
      <c r="P18" s="194" t="s">
        <v>1491</v>
      </c>
      <c r="Q18" s="194" t="s">
        <v>1491</v>
      </c>
      <c r="R18" s="194" t="s">
        <v>1491</v>
      </c>
      <c r="S18" s="194" t="s">
        <v>1491</v>
      </c>
      <c r="T18" s="194" t="s">
        <v>1491</v>
      </c>
      <c r="U18" s="194" t="s">
        <v>1491</v>
      </c>
      <c r="V18" s="194" t="s">
        <v>1491</v>
      </c>
      <c r="W18" s="194" t="s">
        <v>1491</v>
      </c>
      <c r="X18" s="194" t="s">
        <v>1491</v>
      </c>
      <c r="Y18" s="194" t="s">
        <v>1491</v>
      </c>
      <c r="Z18" s="194" t="s">
        <v>1491</v>
      </c>
      <c r="AA18" s="194" t="s">
        <v>1491</v>
      </c>
      <c r="AB18" s="194" t="s">
        <v>1491</v>
      </c>
      <c r="AC18" s="194" t="s">
        <v>1491</v>
      </c>
      <c r="AD18" s="194" t="s">
        <v>1491</v>
      </c>
      <c r="AE18" s="194" t="s">
        <v>1491</v>
      </c>
      <c r="AF18" s="194" t="s">
        <v>1491</v>
      </c>
      <c r="AG18" s="194" t="s">
        <v>1491</v>
      </c>
      <c r="AH18" s="194" t="s">
        <v>1491</v>
      </c>
    </row>
    <row r="19" spans="1:34">
      <c r="A19" s="177">
        <v>15</v>
      </c>
      <c r="B19" s="176" t="s">
        <v>1033</v>
      </c>
      <c r="C19" s="176" t="s">
        <v>1024</v>
      </c>
      <c r="D19" t="s">
        <v>1496</v>
      </c>
      <c r="E19" s="194" t="s">
        <v>1491</v>
      </c>
      <c r="F19" s="194" t="s">
        <v>1491</v>
      </c>
      <c r="G19" s="194" t="s">
        <v>1491</v>
      </c>
      <c r="H19" s="194" t="s">
        <v>1491</v>
      </c>
      <c r="I19" s="194" t="s">
        <v>1491</v>
      </c>
      <c r="J19" s="194" t="s">
        <v>1491</v>
      </c>
      <c r="K19" s="194" t="s">
        <v>1491</v>
      </c>
      <c r="L19" s="194" t="s">
        <v>1491</v>
      </c>
      <c r="M19" s="194" t="s">
        <v>1491</v>
      </c>
      <c r="N19" s="194" t="s">
        <v>1530</v>
      </c>
      <c r="O19" s="194" t="s">
        <v>1491</v>
      </c>
      <c r="P19" s="194" t="s">
        <v>1491</v>
      </c>
      <c r="Q19" s="194" t="s">
        <v>1491</v>
      </c>
      <c r="R19" s="194" t="s">
        <v>1491</v>
      </c>
      <c r="S19" s="194" t="s">
        <v>1491</v>
      </c>
      <c r="T19" s="194" t="s">
        <v>1491</v>
      </c>
      <c r="U19" s="194" t="s">
        <v>1491</v>
      </c>
      <c r="V19" s="194" t="s">
        <v>1491</v>
      </c>
      <c r="W19" s="194" t="s">
        <v>1491</v>
      </c>
      <c r="X19" s="194" t="s">
        <v>1491</v>
      </c>
      <c r="Y19" s="194" t="s">
        <v>1491</v>
      </c>
      <c r="Z19" s="194" t="s">
        <v>1491</v>
      </c>
      <c r="AA19" s="194" t="s">
        <v>1491</v>
      </c>
      <c r="AB19" s="194" t="s">
        <v>1491</v>
      </c>
      <c r="AC19" s="194" t="s">
        <v>1491</v>
      </c>
      <c r="AD19" s="194" t="s">
        <v>1491</v>
      </c>
      <c r="AE19" s="194" t="s">
        <v>1531</v>
      </c>
      <c r="AF19" s="194" t="s">
        <v>1491</v>
      </c>
      <c r="AG19" s="194" t="s">
        <v>1491</v>
      </c>
      <c r="AH19" s="194" t="s">
        <v>1491</v>
      </c>
    </row>
    <row r="20" spans="1:34">
      <c r="A20" s="177">
        <v>16</v>
      </c>
      <c r="B20" s="176" t="s">
        <v>1035</v>
      </c>
      <c r="C20" s="176" t="s">
        <v>1024</v>
      </c>
      <c r="D20" t="s">
        <v>1496</v>
      </c>
      <c r="E20" s="194" t="s">
        <v>1532</v>
      </c>
      <c r="F20" s="194" t="s">
        <v>1491</v>
      </c>
      <c r="G20" s="194" t="s">
        <v>1491</v>
      </c>
      <c r="H20" s="194" t="s">
        <v>1491</v>
      </c>
      <c r="I20" s="194" t="s">
        <v>1491</v>
      </c>
      <c r="J20" s="194" t="s">
        <v>1491</v>
      </c>
      <c r="K20" s="194" t="s">
        <v>1491</v>
      </c>
      <c r="L20" s="194" t="s">
        <v>1491</v>
      </c>
      <c r="M20" s="194" t="s">
        <v>1491</v>
      </c>
      <c r="N20" s="194" t="s">
        <v>1501</v>
      </c>
      <c r="O20" s="194" t="s">
        <v>1491</v>
      </c>
      <c r="P20" s="194" t="s">
        <v>1491</v>
      </c>
      <c r="Q20" s="194" t="s">
        <v>1491</v>
      </c>
      <c r="R20" s="194" t="s">
        <v>1491</v>
      </c>
      <c r="S20" s="194" t="s">
        <v>1491</v>
      </c>
      <c r="T20" s="194" t="s">
        <v>1491</v>
      </c>
      <c r="U20" s="194" t="s">
        <v>1491</v>
      </c>
      <c r="V20" s="194" t="s">
        <v>1491</v>
      </c>
      <c r="W20" s="194" t="s">
        <v>1491</v>
      </c>
      <c r="X20" s="194" t="s">
        <v>1491</v>
      </c>
      <c r="Y20" s="194" t="s">
        <v>1491</v>
      </c>
      <c r="Z20" s="194" t="s">
        <v>1491</v>
      </c>
      <c r="AA20" s="194" t="s">
        <v>1491</v>
      </c>
      <c r="AB20" s="194" t="s">
        <v>1491</v>
      </c>
      <c r="AC20" s="194" t="s">
        <v>1491</v>
      </c>
      <c r="AD20" s="194" t="s">
        <v>1491</v>
      </c>
      <c r="AE20" s="194" t="s">
        <v>1491</v>
      </c>
      <c r="AF20" s="194" t="s">
        <v>1491</v>
      </c>
      <c r="AG20" s="194" t="s">
        <v>1491</v>
      </c>
      <c r="AH20" s="194" t="s">
        <v>1491</v>
      </c>
    </row>
    <row r="21" spans="1:34">
      <c r="A21" s="177">
        <v>17</v>
      </c>
      <c r="B21" s="176" t="s">
        <v>1035</v>
      </c>
      <c r="C21" s="176" t="s">
        <v>1024</v>
      </c>
      <c r="D21" t="s">
        <v>1496</v>
      </c>
      <c r="E21" s="194" t="s">
        <v>1532</v>
      </c>
      <c r="F21" s="194" t="s">
        <v>1491</v>
      </c>
      <c r="G21" s="194" t="s">
        <v>1491</v>
      </c>
      <c r="H21" s="194" t="s">
        <v>1491</v>
      </c>
      <c r="I21" s="194" t="s">
        <v>1491</v>
      </c>
      <c r="J21" s="194" t="s">
        <v>1491</v>
      </c>
      <c r="K21" s="194" t="s">
        <v>1491</v>
      </c>
      <c r="L21" s="194" t="s">
        <v>1491</v>
      </c>
      <c r="M21" s="194" t="s">
        <v>1491</v>
      </c>
      <c r="N21" s="194" t="s">
        <v>1501</v>
      </c>
      <c r="O21" s="194" t="s">
        <v>1491</v>
      </c>
      <c r="P21" s="194" t="s">
        <v>1491</v>
      </c>
      <c r="Q21" s="194" t="s">
        <v>1491</v>
      </c>
      <c r="R21" s="194" t="s">
        <v>1491</v>
      </c>
      <c r="S21" s="194" t="s">
        <v>1491</v>
      </c>
      <c r="T21" s="194" t="s">
        <v>1491</v>
      </c>
      <c r="U21" s="194" t="s">
        <v>1491</v>
      </c>
      <c r="V21" s="194" t="s">
        <v>1491</v>
      </c>
      <c r="W21" s="194" t="s">
        <v>1491</v>
      </c>
      <c r="X21" s="194" t="s">
        <v>1491</v>
      </c>
      <c r="Y21" s="194" t="s">
        <v>1491</v>
      </c>
      <c r="Z21" s="194" t="s">
        <v>1491</v>
      </c>
      <c r="AA21" s="194" t="s">
        <v>1491</v>
      </c>
      <c r="AB21" s="194" t="s">
        <v>1491</v>
      </c>
      <c r="AC21" s="194" t="s">
        <v>1491</v>
      </c>
      <c r="AD21" s="194" t="s">
        <v>1491</v>
      </c>
      <c r="AE21" s="194" t="s">
        <v>1491</v>
      </c>
      <c r="AF21" s="194" t="s">
        <v>1491</v>
      </c>
      <c r="AG21" s="194" t="s">
        <v>1491</v>
      </c>
      <c r="AH21" s="194" t="s">
        <v>1491</v>
      </c>
    </row>
    <row r="22" spans="1:34">
      <c r="A22" s="177">
        <v>18</v>
      </c>
      <c r="B22" s="176" t="s">
        <v>1037</v>
      </c>
      <c r="C22" s="176" t="s">
        <v>1024</v>
      </c>
      <c r="D22" t="s">
        <v>1496</v>
      </c>
      <c r="E22" s="194" t="s">
        <v>1532</v>
      </c>
      <c r="F22" s="194" t="s">
        <v>1491</v>
      </c>
      <c r="G22" s="194" t="s">
        <v>1491</v>
      </c>
      <c r="H22" s="194" t="s">
        <v>1491</v>
      </c>
      <c r="I22" s="194" t="s">
        <v>1491</v>
      </c>
      <c r="J22" s="194" t="s">
        <v>1491</v>
      </c>
      <c r="K22" s="194" t="s">
        <v>1491</v>
      </c>
      <c r="L22" s="194" t="s">
        <v>1491</v>
      </c>
      <c r="M22" s="194" t="s">
        <v>1491</v>
      </c>
      <c r="N22" s="194" t="s">
        <v>1501</v>
      </c>
      <c r="O22" s="194" t="s">
        <v>1491</v>
      </c>
      <c r="P22" s="194" t="s">
        <v>1491</v>
      </c>
      <c r="Q22" s="194" t="s">
        <v>1491</v>
      </c>
      <c r="R22" s="194" t="s">
        <v>1491</v>
      </c>
      <c r="S22" s="194" t="s">
        <v>1491</v>
      </c>
      <c r="T22" s="194" t="s">
        <v>1491</v>
      </c>
      <c r="U22" s="194" t="s">
        <v>1491</v>
      </c>
      <c r="V22" s="194" t="s">
        <v>1491</v>
      </c>
      <c r="W22" s="194" t="s">
        <v>1533</v>
      </c>
      <c r="X22" s="194" t="s">
        <v>1491</v>
      </c>
      <c r="Y22" s="194" t="s">
        <v>1491</v>
      </c>
      <c r="Z22" s="194" t="s">
        <v>1491</v>
      </c>
      <c r="AA22" s="194" t="s">
        <v>1491</v>
      </c>
      <c r="AB22" s="194" t="s">
        <v>1491</v>
      </c>
      <c r="AC22" s="194" t="s">
        <v>1491</v>
      </c>
      <c r="AD22" s="194" t="s">
        <v>1491</v>
      </c>
      <c r="AE22" s="194" t="s">
        <v>1491</v>
      </c>
      <c r="AF22" s="194" t="s">
        <v>1491</v>
      </c>
      <c r="AG22" s="194" t="s">
        <v>1491</v>
      </c>
      <c r="AH22" s="194" t="s">
        <v>1491</v>
      </c>
    </row>
    <row r="23" spans="1:34">
      <c r="A23" s="177">
        <v>19</v>
      </c>
      <c r="B23" s="176" t="s">
        <v>1039</v>
      </c>
      <c r="C23" s="176" t="s">
        <v>1024</v>
      </c>
      <c r="D23" t="s">
        <v>1496</v>
      </c>
      <c r="E23" s="194" t="s">
        <v>1534</v>
      </c>
      <c r="F23" s="194" t="s">
        <v>1491</v>
      </c>
      <c r="G23" s="194" t="s">
        <v>1491</v>
      </c>
      <c r="H23" s="194" t="s">
        <v>1491</v>
      </c>
      <c r="I23" s="194" t="s">
        <v>1491</v>
      </c>
      <c r="J23" s="194" t="s">
        <v>1491</v>
      </c>
      <c r="K23" s="194" t="s">
        <v>1491</v>
      </c>
      <c r="L23" s="194" t="s">
        <v>1491</v>
      </c>
      <c r="M23" s="194" t="s">
        <v>1535</v>
      </c>
      <c r="N23" s="194" t="s">
        <v>1491</v>
      </c>
      <c r="O23" s="194" t="s">
        <v>1491</v>
      </c>
      <c r="P23" s="194" t="s">
        <v>1491</v>
      </c>
      <c r="Q23" s="194" t="s">
        <v>1491</v>
      </c>
      <c r="R23" s="194" t="s">
        <v>1491</v>
      </c>
      <c r="S23" s="194" t="s">
        <v>1491</v>
      </c>
      <c r="T23" s="194" t="s">
        <v>1491</v>
      </c>
      <c r="U23" s="194" t="s">
        <v>1491</v>
      </c>
      <c r="V23" s="194" t="s">
        <v>1491</v>
      </c>
      <c r="W23" s="194" t="s">
        <v>1491</v>
      </c>
      <c r="X23" s="194" t="s">
        <v>1491</v>
      </c>
      <c r="Y23" s="194" t="s">
        <v>1491</v>
      </c>
      <c r="Z23" s="194" t="s">
        <v>1491</v>
      </c>
      <c r="AA23" s="194" t="s">
        <v>1491</v>
      </c>
      <c r="AB23" s="194" t="s">
        <v>1491</v>
      </c>
      <c r="AC23" s="194" t="s">
        <v>1491</v>
      </c>
      <c r="AD23" s="194" t="s">
        <v>1491</v>
      </c>
      <c r="AE23" s="194" t="s">
        <v>1491</v>
      </c>
      <c r="AF23" s="194" t="s">
        <v>1491</v>
      </c>
      <c r="AG23" s="194" t="s">
        <v>1491</v>
      </c>
      <c r="AH23" s="194" t="s">
        <v>1491</v>
      </c>
    </row>
    <row r="24" spans="1:34">
      <c r="A24" s="177">
        <v>20</v>
      </c>
      <c r="B24" s="176" t="s">
        <v>1041</v>
      </c>
      <c r="C24" s="176" t="s">
        <v>1024</v>
      </c>
      <c r="D24" t="s">
        <v>1496</v>
      </c>
      <c r="E24" s="194" t="s">
        <v>1536</v>
      </c>
      <c r="F24" s="194" t="s">
        <v>1491</v>
      </c>
      <c r="G24" s="194" t="s">
        <v>1491</v>
      </c>
      <c r="H24" s="194" t="s">
        <v>1491</v>
      </c>
      <c r="I24" s="194" t="s">
        <v>1491</v>
      </c>
      <c r="J24" s="194" t="s">
        <v>1500</v>
      </c>
      <c r="K24" s="194" t="s">
        <v>1491</v>
      </c>
      <c r="L24" s="194" t="s">
        <v>1491</v>
      </c>
      <c r="M24" s="194" t="s">
        <v>1537</v>
      </c>
      <c r="N24" s="194" t="s">
        <v>1491</v>
      </c>
      <c r="O24" s="194" t="s">
        <v>1491</v>
      </c>
      <c r="P24" s="194" t="s">
        <v>1491</v>
      </c>
      <c r="Q24" s="194" t="s">
        <v>1491</v>
      </c>
      <c r="R24" s="194" t="s">
        <v>1491</v>
      </c>
      <c r="S24" s="194" t="s">
        <v>1491</v>
      </c>
      <c r="T24" s="194" t="s">
        <v>1491</v>
      </c>
      <c r="U24" s="194" t="s">
        <v>1491</v>
      </c>
      <c r="V24" s="194" t="s">
        <v>1491</v>
      </c>
      <c r="W24" s="194" t="s">
        <v>1491</v>
      </c>
      <c r="X24" s="194" t="s">
        <v>1491</v>
      </c>
      <c r="Y24" s="194" t="s">
        <v>1491</v>
      </c>
      <c r="Z24" s="194" t="s">
        <v>1491</v>
      </c>
      <c r="AA24" s="194" t="s">
        <v>1491</v>
      </c>
      <c r="AB24" s="194" t="s">
        <v>1491</v>
      </c>
      <c r="AC24" s="194" t="s">
        <v>1491</v>
      </c>
      <c r="AD24" s="194" t="s">
        <v>1491</v>
      </c>
      <c r="AE24" s="194" t="s">
        <v>1491</v>
      </c>
      <c r="AF24" s="194" t="s">
        <v>1491</v>
      </c>
      <c r="AG24" s="194" t="s">
        <v>1491</v>
      </c>
      <c r="AH24" s="194" t="s">
        <v>1491</v>
      </c>
    </row>
    <row r="25" spans="1:34">
      <c r="A25" s="177">
        <v>21</v>
      </c>
      <c r="B25" s="176" t="s">
        <v>1043</v>
      </c>
      <c r="C25" s="176" t="s">
        <v>1024</v>
      </c>
      <c r="D25" t="s">
        <v>1496</v>
      </c>
      <c r="E25" s="194" t="s">
        <v>1536</v>
      </c>
      <c r="F25" s="194" t="s">
        <v>1491</v>
      </c>
      <c r="G25" s="194" t="s">
        <v>1491</v>
      </c>
      <c r="H25" s="194" t="s">
        <v>1491</v>
      </c>
      <c r="I25" s="194" t="s">
        <v>1491</v>
      </c>
      <c r="J25" s="194" t="s">
        <v>1500</v>
      </c>
      <c r="K25" s="194" t="s">
        <v>1491</v>
      </c>
      <c r="L25" s="194" t="s">
        <v>1491</v>
      </c>
      <c r="M25" s="194" t="s">
        <v>1537</v>
      </c>
      <c r="N25" s="194" t="s">
        <v>1491</v>
      </c>
      <c r="O25" s="194" t="s">
        <v>1491</v>
      </c>
      <c r="P25" s="194" t="s">
        <v>1491</v>
      </c>
      <c r="Q25" s="194" t="s">
        <v>1491</v>
      </c>
      <c r="R25" s="194" t="s">
        <v>1491</v>
      </c>
      <c r="S25" s="194" t="s">
        <v>1491</v>
      </c>
      <c r="T25" s="194" t="s">
        <v>1491</v>
      </c>
      <c r="U25" s="194" t="s">
        <v>1491</v>
      </c>
      <c r="V25" s="194" t="s">
        <v>1491</v>
      </c>
      <c r="W25" s="194" t="s">
        <v>1491</v>
      </c>
      <c r="X25" s="194" t="s">
        <v>1491</v>
      </c>
      <c r="Y25" s="194" t="s">
        <v>1491</v>
      </c>
      <c r="Z25" s="194" t="s">
        <v>1491</v>
      </c>
      <c r="AA25" s="194" t="s">
        <v>1491</v>
      </c>
      <c r="AB25" s="194" t="s">
        <v>1491</v>
      </c>
      <c r="AC25" s="194" t="s">
        <v>1491</v>
      </c>
      <c r="AD25" s="194" t="s">
        <v>1491</v>
      </c>
      <c r="AE25" s="194" t="s">
        <v>1491</v>
      </c>
      <c r="AF25" s="194" t="s">
        <v>1491</v>
      </c>
      <c r="AG25" s="194" t="s">
        <v>1491</v>
      </c>
      <c r="AH25" s="194" t="s">
        <v>1491</v>
      </c>
    </row>
    <row r="26" spans="1:34">
      <c r="A26" s="177">
        <v>22</v>
      </c>
      <c r="B26" s="176" t="s">
        <v>1043</v>
      </c>
      <c r="C26" s="176" t="s">
        <v>1024</v>
      </c>
      <c r="D26" t="s">
        <v>1496</v>
      </c>
      <c r="E26" s="194" t="s">
        <v>1536</v>
      </c>
      <c r="F26" s="194" t="s">
        <v>1491</v>
      </c>
      <c r="G26" s="194" t="s">
        <v>1491</v>
      </c>
      <c r="H26" s="194" t="s">
        <v>1491</v>
      </c>
      <c r="I26" s="194" t="s">
        <v>1491</v>
      </c>
      <c r="J26" s="194" t="s">
        <v>1500</v>
      </c>
      <c r="K26" s="194" t="s">
        <v>1491</v>
      </c>
      <c r="L26" s="194" t="s">
        <v>1491</v>
      </c>
      <c r="M26" s="194" t="s">
        <v>1537</v>
      </c>
      <c r="N26" s="194" t="s">
        <v>1491</v>
      </c>
      <c r="O26" s="194" t="s">
        <v>1491</v>
      </c>
      <c r="P26" s="194" t="s">
        <v>1491</v>
      </c>
      <c r="Q26" s="194" t="s">
        <v>1491</v>
      </c>
      <c r="R26" s="194" t="s">
        <v>1491</v>
      </c>
      <c r="S26" s="194" t="s">
        <v>1491</v>
      </c>
      <c r="T26" s="194" t="s">
        <v>1491</v>
      </c>
      <c r="U26" s="194" t="s">
        <v>1491</v>
      </c>
      <c r="V26" s="194" t="s">
        <v>1491</v>
      </c>
      <c r="W26" s="194" t="s">
        <v>1491</v>
      </c>
      <c r="X26" s="194" t="s">
        <v>1491</v>
      </c>
      <c r="Y26" s="194" t="s">
        <v>1491</v>
      </c>
      <c r="Z26" s="194" t="s">
        <v>1491</v>
      </c>
      <c r="AA26" s="194" t="s">
        <v>1491</v>
      </c>
      <c r="AB26" s="194" t="s">
        <v>1491</v>
      </c>
      <c r="AC26" s="194" t="s">
        <v>1491</v>
      </c>
      <c r="AD26" s="194" t="s">
        <v>1491</v>
      </c>
      <c r="AE26" s="194" t="s">
        <v>1491</v>
      </c>
      <c r="AF26" s="194" t="s">
        <v>1491</v>
      </c>
      <c r="AG26" s="194" t="s">
        <v>1491</v>
      </c>
      <c r="AH26" s="194" t="s">
        <v>1491</v>
      </c>
    </row>
    <row r="27" spans="1:34">
      <c r="A27" s="177">
        <v>23</v>
      </c>
      <c r="B27" s="176" t="s">
        <v>1046</v>
      </c>
      <c r="C27" s="176" t="s">
        <v>1024</v>
      </c>
      <c r="D27" t="s">
        <v>1496</v>
      </c>
      <c r="E27" s="194" t="s">
        <v>1538</v>
      </c>
      <c r="F27" s="194" t="s">
        <v>1491</v>
      </c>
      <c r="G27" s="194" t="s">
        <v>1491</v>
      </c>
      <c r="H27" s="194" t="s">
        <v>1491</v>
      </c>
      <c r="I27" s="194" t="s">
        <v>1491</v>
      </c>
      <c r="J27" s="194" t="s">
        <v>1491</v>
      </c>
      <c r="K27" s="194" t="s">
        <v>1491</v>
      </c>
      <c r="L27" s="194" t="s">
        <v>1491</v>
      </c>
      <c r="M27" s="194" t="s">
        <v>1491</v>
      </c>
      <c r="N27" s="194" t="s">
        <v>1501</v>
      </c>
      <c r="O27" s="194" t="s">
        <v>1491</v>
      </c>
      <c r="P27" s="194" t="s">
        <v>1491</v>
      </c>
      <c r="Q27" s="194" t="s">
        <v>1491</v>
      </c>
      <c r="R27" s="194" t="s">
        <v>1491</v>
      </c>
      <c r="S27" s="194" t="s">
        <v>1491</v>
      </c>
      <c r="T27" s="194" t="s">
        <v>1491</v>
      </c>
      <c r="U27" s="194" t="s">
        <v>1491</v>
      </c>
      <c r="V27" s="194" t="s">
        <v>1491</v>
      </c>
      <c r="W27" s="194" t="s">
        <v>1491</v>
      </c>
      <c r="X27" s="194" t="s">
        <v>1491</v>
      </c>
      <c r="Y27" s="194" t="s">
        <v>1491</v>
      </c>
      <c r="Z27" s="194" t="s">
        <v>1491</v>
      </c>
      <c r="AA27" s="194" t="s">
        <v>1491</v>
      </c>
      <c r="AB27" s="194" t="s">
        <v>1491</v>
      </c>
      <c r="AC27" s="194" t="s">
        <v>1491</v>
      </c>
      <c r="AD27" s="194" t="s">
        <v>1491</v>
      </c>
      <c r="AE27" s="194" t="s">
        <v>1491</v>
      </c>
      <c r="AF27" s="194" t="s">
        <v>1491</v>
      </c>
      <c r="AG27" s="194" t="s">
        <v>1491</v>
      </c>
      <c r="AH27" s="194" t="s">
        <v>1491</v>
      </c>
    </row>
    <row r="28" spans="1:34">
      <c r="A28" s="177">
        <v>24</v>
      </c>
      <c r="B28" s="176" t="s">
        <v>1048</v>
      </c>
      <c r="C28" s="176" t="s">
        <v>1539</v>
      </c>
      <c r="D28" t="s">
        <v>1496</v>
      </c>
      <c r="E28" s="194" t="s">
        <v>1540</v>
      </c>
      <c r="F28" s="194" t="s">
        <v>1491</v>
      </c>
      <c r="G28" s="194" t="s">
        <v>1491</v>
      </c>
      <c r="H28" s="194" t="s">
        <v>1491</v>
      </c>
      <c r="I28" s="194" t="s">
        <v>1491</v>
      </c>
      <c r="J28" s="194" t="s">
        <v>1491</v>
      </c>
      <c r="K28" s="194" t="s">
        <v>1491</v>
      </c>
      <c r="L28" s="194" t="s">
        <v>1491</v>
      </c>
      <c r="M28" s="194" t="s">
        <v>1491</v>
      </c>
      <c r="N28" s="194" t="s">
        <v>1541</v>
      </c>
      <c r="O28" s="194" t="s">
        <v>1491</v>
      </c>
      <c r="P28" s="194" t="s">
        <v>1491</v>
      </c>
      <c r="Q28" s="194" t="s">
        <v>1491</v>
      </c>
      <c r="R28" s="194" t="s">
        <v>1491</v>
      </c>
      <c r="S28" s="194" t="s">
        <v>1491</v>
      </c>
      <c r="T28" s="194" t="s">
        <v>1491</v>
      </c>
      <c r="U28" s="194" t="s">
        <v>1491</v>
      </c>
      <c r="V28" s="194" t="s">
        <v>1491</v>
      </c>
      <c r="W28" s="194" t="s">
        <v>1491</v>
      </c>
      <c r="X28" s="194" t="s">
        <v>1491</v>
      </c>
      <c r="Y28" s="194" t="s">
        <v>1491</v>
      </c>
      <c r="Z28" s="194" t="s">
        <v>1491</v>
      </c>
      <c r="AA28" s="194" t="s">
        <v>1491</v>
      </c>
      <c r="AB28" s="194" t="s">
        <v>1491</v>
      </c>
      <c r="AC28" s="194" t="s">
        <v>1491</v>
      </c>
      <c r="AD28" s="194" t="s">
        <v>1491</v>
      </c>
      <c r="AE28" s="194" t="s">
        <v>1491</v>
      </c>
      <c r="AF28" s="194" t="s">
        <v>1491</v>
      </c>
      <c r="AG28" s="194" t="s">
        <v>1491</v>
      </c>
      <c r="AH28" s="194" t="s">
        <v>1491</v>
      </c>
    </row>
    <row r="29" spans="1:34">
      <c r="A29" s="177">
        <v>25</v>
      </c>
      <c r="B29" s="176" t="s">
        <v>1051</v>
      </c>
      <c r="C29" s="176" t="s">
        <v>1024</v>
      </c>
      <c r="D29" t="s">
        <v>1496</v>
      </c>
      <c r="E29" s="194" t="s">
        <v>1542</v>
      </c>
      <c r="F29" s="194" t="s">
        <v>1491</v>
      </c>
      <c r="G29" s="194" t="s">
        <v>1491</v>
      </c>
      <c r="H29" s="194" t="s">
        <v>1491</v>
      </c>
      <c r="I29" s="194" t="s">
        <v>1491</v>
      </c>
      <c r="J29" s="194" t="s">
        <v>1491</v>
      </c>
      <c r="K29" s="194" t="s">
        <v>1491</v>
      </c>
      <c r="L29" s="194" t="s">
        <v>1491</v>
      </c>
      <c r="M29" s="194" t="s">
        <v>1491</v>
      </c>
      <c r="N29" s="194" t="s">
        <v>1501</v>
      </c>
      <c r="O29" s="194" t="s">
        <v>1491</v>
      </c>
      <c r="P29" s="194" t="s">
        <v>1491</v>
      </c>
      <c r="Q29" s="194" t="s">
        <v>1491</v>
      </c>
      <c r="R29" s="194" t="s">
        <v>1491</v>
      </c>
      <c r="S29" s="194" t="s">
        <v>1491</v>
      </c>
      <c r="T29" s="194" t="s">
        <v>1491</v>
      </c>
      <c r="U29" s="194" t="s">
        <v>1491</v>
      </c>
      <c r="V29" s="194" t="s">
        <v>1491</v>
      </c>
      <c r="W29" s="194" t="s">
        <v>1491</v>
      </c>
      <c r="X29" s="194" t="s">
        <v>1491</v>
      </c>
      <c r="Y29" s="194" t="s">
        <v>1491</v>
      </c>
      <c r="Z29" s="194" t="s">
        <v>1491</v>
      </c>
      <c r="AA29" s="194" t="s">
        <v>1491</v>
      </c>
      <c r="AB29" s="194" t="s">
        <v>1491</v>
      </c>
      <c r="AC29" s="194" t="s">
        <v>1491</v>
      </c>
      <c r="AD29" s="194" t="s">
        <v>1491</v>
      </c>
      <c r="AE29" s="194" t="s">
        <v>1491</v>
      </c>
      <c r="AF29" s="194" t="s">
        <v>1491</v>
      </c>
      <c r="AG29" s="194" t="s">
        <v>1491</v>
      </c>
      <c r="AH29" s="194" t="s">
        <v>1491</v>
      </c>
    </row>
    <row r="30" spans="1:34">
      <c r="A30" s="177">
        <v>26</v>
      </c>
      <c r="B30" s="176" t="s">
        <v>1051</v>
      </c>
      <c r="C30" s="176" t="s">
        <v>1024</v>
      </c>
      <c r="D30" t="s">
        <v>1496</v>
      </c>
      <c r="E30" s="194" t="s">
        <v>1542</v>
      </c>
      <c r="F30" s="194" t="s">
        <v>1491</v>
      </c>
      <c r="G30" s="194" t="s">
        <v>1491</v>
      </c>
      <c r="H30" s="194" t="s">
        <v>1491</v>
      </c>
      <c r="I30" s="194" t="s">
        <v>1491</v>
      </c>
      <c r="J30" s="194" t="s">
        <v>1491</v>
      </c>
      <c r="K30" s="194" t="s">
        <v>1491</v>
      </c>
      <c r="L30" s="194" t="s">
        <v>1491</v>
      </c>
      <c r="M30" s="194" t="s">
        <v>1491</v>
      </c>
      <c r="N30" s="194" t="s">
        <v>1501</v>
      </c>
      <c r="O30" s="194" t="s">
        <v>1491</v>
      </c>
      <c r="P30" s="194" t="s">
        <v>1491</v>
      </c>
      <c r="Q30" s="194" t="s">
        <v>1491</v>
      </c>
      <c r="R30" s="194" t="s">
        <v>1491</v>
      </c>
      <c r="S30" s="194" t="s">
        <v>1491</v>
      </c>
      <c r="T30" s="194" t="s">
        <v>1491</v>
      </c>
      <c r="U30" s="194" t="s">
        <v>1491</v>
      </c>
      <c r="V30" s="194" t="s">
        <v>1491</v>
      </c>
      <c r="W30" s="194" t="s">
        <v>1491</v>
      </c>
      <c r="X30" s="194" t="s">
        <v>1491</v>
      </c>
      <c r="Y30" s="194" t="s">
        <v>1491</v>
      </c>
      <c r="Z30" s="194" t="s">
        <v>1491</v>
      </c>
      <c r="AA30" s="194" t="s">
        <v>1491</v>
      </c>
      <c r="AB30" s="194" t="s">
        <v>1491</v>
      </c>
      <c r="AC30" s="194" t="s">
        <v>1491</v>
      </c>
      <c r="AD30" s="194" t="s">
        <v>1491</v>
      </c>
      <c r="AE30" s="194" t="s">
        <v>1491</v>
      </c>
      <c r="AF30" s="194" t="s">
        <v>1491</v>
      </c>
      <c r="AG30" s="194" t="s">
        <v>1491</v>
      </c>
      <c r="AH30" s="194" t="s">
        <v>1491</v>
      </c>
    </row>
    <row r="31" spans="1:34">
      <c r="A31" s="177">
        <v>27</v>
      </c>
      <c r="B31" s="176" t="s">
        <v>1051</v>
      </c>
      <c r="C31" s="176" t="s">
        <v>1024</v>
      </c>
      <c r="D31" t="s">
        <v>1496</v>
      </c>
      <c r="E31" s="194" t="s">
        <v>1542</v>
      </c>
      <c r="F31" s="194" t="s">
        <v>1491</v>
      </c>
      <c r="G31" s="194" t="s">
        <v>1491</v>
      </c>
      <c r="H31" s="194" t="s">
        <v>1491</v>
      </c>
      <c r="I31" s="194" t="s">
        <v>1491</v>
      </c>
      <c r="J31" s="194" t="s">
        <v>1491</v>
      </c>
      <c r="K31" s="194" t="s">
        <v>1491</v>
      </c>
      <c r="L31" s="194" t="s">
        <v>1491</v>
      </c>
      <c r="M31" s="194" t="s">
        <v>1491</v>
      </c>
      <c r="N31" s="194" t="s">
        <v>1501</v>
      </c>
      <c r="O31" s="194" t="s">
        <v>1491</v>
      </c>
      <c r="P31" s="194" t="s">
        <v>1491</v>
      </c>
      <c r="Q31" s="194" t="s">
        <v>1491</v>
      </c>
      <c r="R31" s="194" t="s">
        <v>1491</v>
      </c>
      <c r="S31" s="194" t="s">
        <v>1491</v>
      </c>
      <c r="T31" s="194" t="s">
        <v>1491</v>
      </c>
      <c r="U31" s="194" t="s">
        <v>1491</v>
      </c>
      <c r="V31" s="194" t="s">
        <v>1491</v>
      </c>
      <c r="W31" s="194" t="s">
        <v>1491</v>
      </c>
      <c r="X31" s="194" t="s">
        <v>1491</v>
      </c>
      <c r="Y31" s="194" t="s">
        <v>1491</v>
      </c>
      <c r="Z31" s="194" t="s">
        <v>1491</v>
      </c>
      <c r="AA31" s="194" t="s">
        <v>1491</v>
      </c>
      <c r="AB31" s="194" t="s">
        <v>1491</v>
      </c>
      <c r="AC31" s="194" t="s">
        <v>1491</v>
      </c>
      <c r="AD31" s="194" t="s">
        <v>1491</v>
      </c>
      <c r="AE31" s="194" t="s">
        <v>1491</v>
      </c>
      <c r="AF31" s="194" t="s">
        <v>1491</v>
      </c>
      <c r="AG31" s="194" t="s">
        <v>1491</v>
      </c>
      <c r="AH31" s="194" t="s">
        <v>1491</v>
      </c>
    </row>
    <row r="32" spans="1:34" s="212" customFormat="1">
      <c r="A32" s="177">
        <v>28</v>
      </c>
      <c r="B32" s="211" t="s">
        <v>1055</v>
      </c>
      <c r="C32" s="211" t="s">
        <v>1543</v>
      </c>
      <c r="D32" s="212" t="s">
        <v>1496</v>
      </c>
      <c r="E32" s="213" t="s">
        <v>1543</v>
      </c>
      <c r="F32" s="213" t="s">
        <v>1543</v>
      </c>
      <c r="G32" s="213" t="s">
        <v>1543</v>
      </c>
      <c r="H32" s="213" t="s">
        <v>1543</v>
      </c>
      <c r="I32" s="213" t="s">
        <v>1543</v>
      </c>
      <c r="J32" s="213" t="s">
        <v>1543</v>
      </c>
      <c r="K32" s="213" t="s">
        <v>1543</v>
      </c>
      <c r="L32" s="213" t="s">
        <v>1543</v>
      </c>
      <c r="M32" s="213" t="s">
        <v>1543</v>
      </c>
      <c r="N32" s="213" t="s">
        <v>1543</v>
      </c>
      <c r="O32" s="213" t="s">
        <v>1543</v>
      </c>
      <c r="P32" s="213" t="s">
        <v>1543</v>
      </c>
      <c r="Q32" s="213" t="s">
        <v>1543</v>
      </c>
      <c r="R32" s="213" t="s">
        <v>1543</v>
      </c>
      <c r="S32" s="213" t="s">
        <v>1543</v>
      </c>
      <c r="T32" s="213" t="s">
        <v>1543</v>
      </c>
      <c r="U32" s="213" t="s">
        <v>1543</v>
      </c>
      <c r="V32" s="213" t="s">
        <v>1543</v>
      </c>
      <c r="W32" s="213" t="s">
        <v>1543</v>
      </c>
      <c r="X32" s="213" t="s">
        <v>1543</v>
      </c>
      <c r="Y32" s="213" t="s">
        <v>1543</v>
      </c>
      <c r="Z32" s="213" t="s">
        <v>1543</v>
      </c>
      <c r="AA32" s="213" t="s">
        <v>1543</v>
      </c>
      <c r="AB32" s="213" t="s">
        <v>1543</v>
      </c>
      <c r="AC32" s="213" t="s">
        <v>1543</v>
      </c>
      <c r="AD32" s="213" t="s">
        <v>1543</v>
      </c>
      <c r="AE32" s="213" t="s">
        <v>1543</v>
      </c>
      <c r="AF32" s="213" t="s">
        <v>1543</v>
      </c>
      <c r="AG32" s="213" t="s">
        <v>1543</v>
      </c>
      <c r="AH32" s="213" t="s">
        <v>1543</v>
      </c>
    </row>
    <row r="33" spans="1:34" s="212" customFormat="1">
      <c r="A33" s="177">
        <v>29</v>
      </c>
      <c r="B33" s="211" t="s">
        <v>1055</v>
      </c>
      <c r="C33" s="211" t="s">
        <v>1543</v>
      </c>
      <c r="D33" s="212" t="s">
        <v>1496</v>
      </c>
      <c r="E33" s="213" t="s">
        <v>1543</v>
      </c>
      <c r="F33" s="213" t="s">
        <v>1543</v>
      </c>
      <c r="G33" s="213" t="s">
        <v>1543</v>
      </c>
      <c r="H33" s="213" t="s">
        <v>1543</v>
      </c>
      <c r="I33" s="213" t="s">
        <v>1543</v>
      </c>
      <c r="J33" s="213" t="s">
        <v>1543</v>
      </c>
      <c r="K33" s="213" t="s">
        <v>1543</v>
      </c>
      <c r="L33" s="213" t="s">
        <v>1543</v>
      </c>
      <c r="M33" s="213" t="s">
        <v>1543</v>
      </c>
      <c r="N33" s="213" t="s">
        <v>1543</v>
      </c>
      <c r="O33" s="213" t="s">
        <v>1543</v>
      </c>
      <c r="P33" s="213" t="s">
        <v>1543</v>
      </c>
      <c r="Q33" s="213" t="s">
        <v>1543</v>
      </c>
      <c r="R33" s="213" t="s">
        <v>1543</v>
      </c>
      <c r="S33" s="213" t="s">
        <v>1543</v>
      </c>
      <c r="T33" s="213" t="s">
        <v>1543</v>
      </c>
      <c r="U33" s="213" t="s">
        <v>1543</v>
      </c>
      <c r="V33" s="213" t="s">
        <v>1543</v>
      </c>
      <c r="W33" s="213" t="s">
        <v>1543</v>
      </c>
      <c r="X33" s="213" t="s">
        <v>1543</v>
      </c>
      <c r="Y33" s="213" t="s">
        <v>1543</v>
      </c>
      <c r="Z33" s="213" t="s">
        <v>1543</v>
      </c>
      <c r="AA33" s="213" t="s">
        <v>1543</v>
      </c>
      <c r="AB33" s="213" t="s">
        <v>1543</v>
      </c>
      <c r="AC33" s="213" t="s">
        <v>1543</v>
      </c>
      <c r="AD33" s="213" t="s">
        <v>1543</v>
      </c>
      <c r="AE33" s="213" t="s">
        <v>1543</v>
      </c>
      <c r="AF33" s="213" t="s">
        <v>1543</v>
      </c>
      <c r="AG33" s="213" t="s">
        <v>1543</v>
      </c>
      <c r="AH33" s="213" t="s">
        <v>1543</v>
      </c>
    </row>
    <row r="34" spans="1:34" s="212" customFormat="1">
      <c r="A34" s="177">
        <v>30</v>
      </c>
      <c r="B34" s="211" t="s">
        <v>1058</v>
      </c>
      <c r="C34" s="211" t="s">
        <v>1543</v>
      </c>
      <c r="D34" s="212" t="s">
        <v>1496</v>
      </c>
      <c r="E34" s="213" t="s">
        <v>1543</v>
      </c>
      <c r="F34" s="213" t="s">
        <v>1543</v>
      </c>
      <c r="G34" s="213" t="s">
        <v>1543</v>
      </c>
      <c r="H34" s="213" t="s">
        <v>1543</v>
      </c>
      <c r="I34" s="213" t="s">
        <v>1543</v>
      </c>
      <c r="J34" s="213" t="s">
        <v>1543</v>
      </c>
      <c r="K34" s="213" t="s">
        <v>1543</v>
      </c>
      <c r="L34" s="213" t="s">
        <v>1543</v>
      </c>
      <c r="M34" s="213" t="s">
        <v>1543</v>
      </c>
      <c r="N34" s="213" t="s">
        <v>1543</v>
      </c>
      <c r="O34" s="213" t="s">
        <v>1543</v>
      </c>
      <c r="P34" s="213" t="s">
        <v>1543</v>
      </c>
      <c r="Q34" s="213" t="s">
        <v>1543</v>
      </c>
      <c r="R34" s="213" t="s">
        <v>1543</v>
      </c>
      <c r="S34" s="213" t="s">
        <v>1543</v>
      </c>
      <c r="T34" s="213" t="s">
        <v>1543</v>
      </c>
      <c r="U34" s="213" t="s">
        <v>1543</v>
      </c>
      <c r="V34" s="213" t="s">
        <v>1543</v>
      </c>
      <c r="W34" s="213" t="s">
        <v>1543</v>
      </c>
      <c r="X34" s="213" t="s">
        <v>1543</v>
      </c>
      <c r="Y34" s="213" t="s">
        <v>1543</v>
      </c>
      <c r="Z34" s="213" t="s">
        <v>1543</v>
      </c>
      <c r="AA34" s="213" t="s">
        <v>1543</v>
      </c>
      <c r="AB34" s="213" t="s">
        <v>1543</v>
      </c>
      <c r="AC34" s="213" t="s">
        <v>1543</v>
      </c>
      <c r="AD34" s="213" t="s">
        <v>1543</v>
      </c>
      <c r="AE34" s="213" t="s">
        <v>1543</v>
      </c>
      <c r="AF34" s="213" t="s">
        <v>1543</v>
      </c>
      <c r="AG34" s="213" t="s">
        <v>1543</v>
      </c>
      <c r="AH34" s="213" t="s">
        <v>1543</v>
      </c>
    </row>
    <row r="35" spans="1:34" s="212" customFormat="1">
      <c r="A35" s="177">
        <v>31</v>
      </c>
      <c r="B35" s="211" t="s">
        <v>1058</v>
      </c>
      <c r="C35" s="211" t="s">
        <v>1543</v>
      </c>
      <c r="D35" s="212" t="s">
        <v>1496</v>
      </c>
      <c r="E35" s="213" t="s">
        <v>1543</v>
      </c>
      <c r="F35" s="213" t="s">
        <v>1543</v>
      </c>
      <c r="G35" s="213" t="s">
        <v>1543</v>
      </c>
      <c r="H35" s="213" t="s">
        <v>1543</v>
      </c>
      <c r="I35" s="213" t="s">
        <v>1543</v>
      </c>
      <c r="J35" s="213" t="s">
        <v>1543</v>
      </c>
      <c r="K35" s="213" t="s">
        <v>1543</v>
      </c>
      <c r="L35" s="213" t="s">
        <v>1543</v>
      </c>
      <c r="M35" s="213" t="s">
        <v>1543</v>
      </c>
      <c r="N35" s="213" t="s">
        <v>1543</v>
      </c>
      <c r="O35" s="213" t="s">
        <v>1543</v>
      </c>
      <c r="P35" s="213" t="s">
        <v>1543</v>
      </c>
      <c r="Q35" s="213" t="s">
        <v>1543</v>
      </c>
      <c r="R35" s="213" t="s">
        <v>1543</v>
      </c>
      <c r="S35" s="213" t="s">
        <v>1543</v>
      </c>
      <c r="T35" s="213" t="s">
        <v>1543</v>
      </c>
      <c r="U35" s="213" t="s">
        <v>1543</v>
      </c>
      <c r="V35" s="213" t="s">
        <v>1543</v>
      </c>
      <c r="W35" s="213" t="s">
        <v>1543</v>
      </c>
      <c r="X35" s="213" t="s">
        <v>1543</v>
      </c>
      <c r="Y35" s="213" t="s">
        <v>1543</v>
      </c>
      <c r="Z35" s="213" t="s">
        <v>1543</v>
      </c>
      <c r="AA35" s="213" t="s">
        <v>1543</v>
      </c>
      <c r="AB35" s="213" t="s">
        <v>1543</v>
      </c>
      <c r="AC35" s="213" t="s">
        <v>1543</v>
      </c>
      <c r="AD35" s="213" t="s">
        <v>1543</v>
      </c>
      <c r="AE35" s="213" t="s">
        <v>1543</v>
      </c>
      <c r="AF35" s="213" t="s">
        <v>1543</v>
      </c>
      <c r="AG35" s="213" t="s">
        <v>1543</v>
      </c>
      <c r="AH35" s="213" t="s">
        <v>1543</v>
      </c>
    </row>
    <row r="36" spans="1:34">
      <c r="A36" s="177">
        <v>32</v>
      </c>
      <c r="B36" s="176" t="s">
        <v>1061</v>
      </c>
      <c r="C36" s="176" t="s">
        <v>1024</v>
      </c>
      <c r="D36" t="s">
        <v>1496</v>
      </c>
      <c r="E36" s="194" t="s">
        <v>1491</v>
      </c>
      <c r="F36" s="194" t="s">
        <v>1491</v>
      </c>
      <c r="G36" s="194" t="s">
        <v>1491</v>
      </c>
      <c r="H36" s="194" t="s">
        <v>1491</v>
      </c>
      <c r="I36" s="194" t="s">
        <v>1491</v>
      </c>
      <c r="J36" s="194" t="s">
        <v>1491</v>
      </c>
      <c r="K36" s="194" t="s">
        <v>1500</v>
      </c>
      <c r="L36" s="194" t="s">
        <v>1491</v>
      </c>
      <c r="M36" s="194" t="s">
        <v>1491</v>
      </c>
      <c r="N36" s="194" t="s">
        <v>1530</v>
      </c>
      <c r="O36" s="194" t="s">
        <v>1491</v>
      </c>
      <c r="P36" s="194" t="s">
        <v>1491</v>
      </c>
      <c r="Q36" s="194" t="s">
        <v>1491</v>
      </c>
      <c r="R36" s="194" t="s">
        <v>1491</v>
      </c>
      <c r="S36" s="194" t="s">
        <v>1491</v>
      </c>
      <c r="T36" s="194" t="s">
        <v>1491</v>
      </c>
      <c r="U36" s="194" t="s">
        <v>1491</v>
      </c>
      <c r="V36" s="194" t="s">
        <v>1491</v>
      </c>
      <c r="W36" s="194" t="s">
        <v>1491</v>
      </c>
      <c r="X36" s="194" t="s">
        <v>1491</v>
      </c>
      <c r="Y36" s="194" t="s">
        <v>1544</v>
      </c>
      <c r="Z36" s="194" t="s">
        <v>1491</v>
      </c>
      <c r="AA36" s="194" t="s">
        <v>1491</v>
      </c>
      <c r="AB36" s="194" t="s">
        <v>1491</v>
      </c>
      <c r="AC36" s="194" t="s">
        <v>1491</v>
      </c>
      <c r="AD36" s="194" t="s">
        <v>1491</v>
      </c>
      <c r="AE36" s="194" t="s">
        <v>1491</v>
      </c>
      <c r="AF36" s="194" t="s">
        <v>1491</v>
      </c>
      <c r="AG36" s="194" t="s">
        <v>1491</v>
      </c>
      <c r="AH36" s="194" t="s">
        <v>1491</v>
      </c>
    </row>
    <row r="37" spans="1:34">
      <c r="A37" s="177">
        <v>33</v>
      </c>
      <c r="B37" s="176" t="s">
        <v>1061</v>
      </c>
      <c r="C37" s="176" t="s">
        <v>1024</v>
      </c>
      <c r="D37" t="s">
        <v>1496</v>
      </c>
      <c r="E37" s="194" t="s">
        <v>1491</v>
      </c>
      <c r="F37" s="194" t="s">
        <v>1491</v>
      </c>
      <c r="G37" s="194" t="s">
        <v>1491</v>
      </c>
      <c r="H37" s="194" t="s">
        <v>1491</v>
      </c>
      <c r="I37" s="194" t="s">
        <v>1491</v>
      </c>
      <c r="J37" s="194" t="s">
        <v>1491</v>
      </c>
      <c r="K37" s="194" t="s">
        <v>1500</v>
      </c>
      <c r="L37" s="194" t="s">
        <v>1491</v>
      </c>
      <c r="M37" s="194" t="s">
        <v>1491</v>
      </c>
      <c r="N37" s="194" t="s">
        <v>1530</v>
      </c>
      <c r="O37" s="194" t="s">
        <v>1491</v>
      </c>
      <c r="P37" s="194" t="s">
        <v>1491</v>
      </c>
      <c r="Q37" s="194" t="s">
        <v>1491</v>
      </c>
      <c r="R37" s="194" t="s">
        <v>1491</v>
      </c>
      <c r="S37" s="194" t="s">
        <v>1491</v>
      </c>
      <c r="T37" s="194" t="s">
        <v>1491</v>
      </c>
      <c r="U37" s="194" t="s">
        <v>1491</v>
      </c>
      <c r="V37" s="194" t="s">
        <v>1491</v>
      </c>
      <c r="W37" s="194" t="s">
        <v>1491</v>
      </c>
      <c r="X37" s="194" t="s">
        <v>1491</v>
      </c>
      <c r="Y37" s="194" t="s">
        <v>1544</v>
      </c>
      <c r="Z37" s="194" t="s">
        <v>1491</v>
      </c>
      <c r="AA37" s="194" t="s">
        <v>1491</v>
      </c>
      <c r="AB37" s="194" t="s">
        <v>1491</v>
      </c>
      <c r="AC37" s="194" t="s">
        <v>1491</v>
      </c>
      <c r="AD37" s="194" t="s">
        <v>1491</v>
      </c>
      <c r="AE37" s="194" t="s">
        <v>1491</v>
      </c>
      <c r="AF37" s="194" t="s">
        <v>1491</v>
      </c>
      <c r="AG37" s="194" t="s">
        <v>1491</v>
      </c>
      <c r="AH37" s="194" t="s">
        <v>1491</v>
      </c>
    </row>
    <row r="38" spans="1:34">
      <c r="A38" s="177">
        <v>34</v>
      </c>
      <c r="B38" s="211" t="s">
        <v>1064</v>
      </c>
      <c r="C38" s="211" t="s">
        <v>1543</v>
      </c>
      <c r="D38" t="s">
        <v>1496</v>
      </c>
      <c r="E38" s="213" t="s">
        <v>1543</v>
      </c>
      <c r="F38" s="213" t="s">
        <v>1543</v>
      </c>
      <c r="G38" s="213" t="s">
        <v>1543</v>
      </c>
      <c r="H38" s="213" t="s">
        <v>1543</v>
      </c>
      <c r="I38" s="213" t="s">
        <v>1543</v>
      </c>
      <c r="J38" s="213" t="s">
        <v>1543</v>
      </c>
      <c r="K38" s="213" t="s">
        <v>1543</v>
      </c>
      <c r="L38" s="213" t="s">
        <v>1543</v>
      </c>
      <c r="M38" s="213" t="s">
        <v>1543</v>
      </c>
      <c r="N38" s="213" t="s">
        <v>1543</v>
      </c>
      <c r="O38" s="213" t="s">
        <v>1543</v>
      </c>
      <c r="P38" s="213" t="s">
        <v>1543</v>
      </c>
      <c r="Q38" s="213" t="s">
        <v>1543</v>
      </c>
      <c r="R38" s="213" t="s">
        <v>1543</v>
      </c>
      <c r="S38" s="213" t="s">
        <v>1543</v>
      </c>
      <c r="T38" s="213" t="s">
        <v>1543</v>
      </c>
      <c r="U38" s="213" t="s">
        <v>1543</v>
      </c>
      <c r="V38" s="213" t="s">
        <v>1543</v>
      </c>
      <c r="W38" s="213" t="s">
        <v>1543</v>
      </c>
      <c r="X38" s="213" t="s">
        <v>1543</v>
      </c>
      <c r="Y38" s="213" t="s">
        <v>1543</v>
      </c>
      <c r="Z38" s="213" t="s">
        <v>1543</v>
      </c>
      <c r="AA38" s="213" t="s">
        <v>1543</v>
      </c>
      <c r="AB38" s="213" t="s">
        <v>1543</v>
      </c>
      <c r="AC38" s="213" t="s">
        <v>1543</v>
      </c>
      <c r="AD38" s="213" t="s">
        <v>1543</v>
      </c>
      <c r="AE38" s="213" t="s">
        <v>1543</v>
      </c>
      <c r="AF38" s="213" t="s">
        <v>1543</v>
      </c>
      <c r="AG38" s="213" t="s">
        <v>1543</v>
      </c>
      <c r="AH38" s="213" t="s">
        <v>1543</v>
      </c>
    </row>
    <row r="39" spans="1:34">
      <c r="A39" s="177">
        <v>35</v>
      </c>
      <c r="B39" s="211" t="s">
        <v>1064</v>
      </c>
      <c r="C39" s="211" t="s">
        <v>1543</v>
      </c>
      <c r="D39" t="s">
        <v>1496</v>
      </c>
      <c r="E39" s="213" t="s">
        <v>1543</v>
      </c>
      <c r="F39" s="213" t="s">
        <v>1543</v>
      </c>
      <c r="G39" s="213" t="s">
        <v>1543</v>
      </c>
      <c r="H39" s="213" t="s">
        <v>1543</v>
      </c>
      <c r="I39" s="213" t="s">
        <v>1543</v>
      </c>
      <c r="J39" s="213" t="s">
        <v>1543</v>
      </c>
      <c r="K39" s="213" t="s">
        <v>1543</v>
      </c>
      <c r="L39" s="213" t="s">
        <v>1543</v>
      </c>
      <c r="M39" s="213" t="s">
        <v>1543</v>
      </c>
      <c r="N39" s="213" t="s">
        <v>1543</v>
      </c>
      <c r="O39" s="213" t="s">
        <v>1543</v>
      </c>
      <c r="P39" s="213" t="s">
        <v>1543</v>
      </c>
      <c r="Q39" s="213" t="s">
        <v>1543</v>
      </c>
      <c r="R39" s="213" t="s">
        <v>1543</v>
      </c>
      <c r="S39" s="213" t="s">
        <v>1543</v>
      </c>
      <c r="T39" s="213" t="s">
        <v>1543</v>
      </c>
      <c r="U39" s="213" t="s">
        <v>1543</v>
      </c>
      <c r="V39" s="213" t="s">
        <v>1543</v>
      </c>
      <c r="W39" s="213" t="s">
        <v>1543</v>
      </c>
      <c r="X39" s="213" t="s">
        <v>1543</v>
      </c>
      <c r="Y39" s="213" t="s">
        <v>1543</v>
      </c>
      <c r="Z39" s="213" t="s">
        <v>1543</v>
      </c>
      <c r="AA39" s="213" t="s">
        <v>1543</v>
      </c>
      <c r="AB39" s="213" t="s">
        <v>1543</v>
      </c>
      <c r="AC39" s="213" t="s">
        <v>1543</v>
      </c>
      <c r="AD39" s="213" t="s">
        <v>1543</v>
      </c>
      <c r="AE39" s="213" t="s">
        <v>1543</v>
      </c>
      <c r="AF39" s="213" t="s">
        <v>1543</v>
      </c>
      <c r="AG39" s="213" t="s">
        <v>1543</v>
      </c>
      <c r="AH39" s="213" t="s">
        <v>1543</v>
      </c>
    </row>
    <row r="40" spans="1:34">
      <c r="A40" s="177">
        <v>36</v>
      </c>
      <c r="B40" s="176" t="s">
        <v>1067</v>
      </c>
      <c r="C40" s="176" t="s">
        <v>1024</v>
      </c>
      <c r="D40" t="s">
        <v>1496</v>
      </c>
      <c r="E40" s="194" t="s">
        <v>1545</v>
      </c>
      <c r="F40" s="194" t="s">
        <v>1491</v>
      </c>
      <c r="G40" s="194" t="s">
        <v>1491</v>
      </c>
      <c r="H40" s="194" t="s">
        <v>1491</v>
      </c>
      <c r="I40" s="194" t="s">
        <v>1491</v>
      </c>
      <c r="J40" s="194" t="s">
        <v>1491</v>
      </c>
      <c r="K40" s="194" t="s">
        <v>1500</v>
      </c>
      <c r="L40" s="194" t="s">
        <v>1491</v>
      </c>
      <c r="M40" s="194" t="s">
        <v>1491</v>
      </c>
      <c r="N40" s="194" t="s">
        <v>1501</v>
      </c>
      <c r="O40" s="194" t="s">
        <v>1491</v>
      </c>
      <c r="P40" s="194" t="s">
        <v>1491</v>
      </c>
      <c r="Q40" s="194" t="s">
        <v>1491</v>
      </c>
      <c r="R40" s="194" t="s">
        <v>1491</v>
      </c>
      <c r="S40" s="194" t="s">
        <v>1491</v>
      </c>
      <c r="T40" s="194" t="s">
        <v>1491</v>
      </c>
      <c r="U40" s="194" t="s">
        <v>1491</v>
      </c>
      <c r="V40" s="194" t="s">
        <v>1491</v>
      </c>
      <c r="W40" s="194" t="s">
        <v>1491</v>
      </c>
      <c r="X40" s="194" t="s">
        <v>1491</v>
      </c>
      <c r="Y40" s="194" t="s">
        <v>1491</v>
      </c>
      <c r="Z40" s="194" t="s">
        <v>1491</v>
      </c>
      <c r="AA40" s="194" t="s">
        <v>1491</v>
      </c>
      <c r="AB40" s="194" t="s">
        <v>1491</v>
      </c>
      <c r="AC40" s="194" t="s">
        <v>1491</v>
      </c>
      <c r="AD40" s="194" t="s">
        <v>1491</v>
      </c>
      <c r="AE40" s="194" t="s">
        <v>1491</v>
      </c>
      <c r="AF40" s="194" t="s">
        <v>1491</v>
      </c>
      <c r="AG40" s="194" t="s">
        <v>1491</v>
      </c>
      <c r="AH40" s="194" t="s">
        <v>1491</v>
      </c>
    </row>
    <row r="41" spans="1:34">
      <c r="A41" s="177">
        <v>37</v>
      </c>
      <c r="B41" s="176" t="s">
        <v>1069</v>
      </c>
      <c r="C41" s="176" t="s">
        <v>1027</v>
      </c>
      <c r="D41" t="s">
        <v>1496</v>
      </c>
      <c r="E41" s="194" t="s">
        <v>1491</v>
      </c>
      <c r="F41" s="194" t="s">
        <v>1491</v>
      </c>
      <c r="G41" s="194" t="s">
        <v>1491</v>
      </c>
      <c r="H41" s="194" t="s">
        <v>1491</v>
      </c>
      <c r="I41" s="194" t="s">
        <v>1491</v>
      </c>
      <c r="J41" s="194" t="s">
        <v>1491</v>
      </c>
      <c r="K41" s="194" t="s">
        <v>1491</v>
      </c>
      <c r="L41" s="194" t="s">
        <v>1491</v>
      </c>
      <c r="M41" s="194" t="s">
        <v>1546</v>
      </c>
      <c r="N41" s="194" t="s">
        <v>1491</v>
      </c>
      <c r="O41" s="194" t="s">
        <v>1491</v>
      </c>
      <c r="P41" s="194" t="s">
        <v>1491</v>
      </c>
      <c r="Q41" s="194" t="s">
        <v>1491</v>
      </c>
      <c r="R41" s="194" t="s">
        <v>1491</v>
      </c>
      <c r="S41" s="194" t="s">
        <v>1491</v>
      </c>
      <c r="T41" s="194" t="s">
        <v>1491</v>
      </c>
      <c r="U41" s="194" t="s">
        <v>1491</v>
      </c>
      <c r="V41" s="194" t="s">
        <v>1491</v>
      </c>
      <c r="W41" s="194" t="s">
        <v>1491</v>
      </c>
      <c r="X41" s="194" t="s">
        <v>1491</v>
      </c>
      <c r="Y41" s="194" t="s">
        <v>1491</v>
      </c>
      <c r="Z41" s="194" t="s">
        <v>1491</v>
      </c>
      <c r="AA41" s="194" t="s">
        <v>1528</v>
      </c>
      <c r="AB41" s="194" t="s">
        <v>1491</v>
      </c>
      <c r="AC41" s="194" t="s">
        <v>1491</v>
      </c>
      <c r="AD41" s="194" t="s">
        <v>1491</v>
      </c>
      <c r="AE41" s="194" t="s">
        <v>1491</v>
      </c>
      <c r="AF41" s="194" t="s">
        <v>1491</v>
      </c>
      <c r="AG41" s="194" t="s">
        <v>1491</v>
      </c>
      <c r="AH41" s="194" t="s">
        <v>1491</v>
      </c>
    </row>
    <row r="42" spans="1:34">
      <c r="A42" s="177">
        <v>38</v>
      </c>
      <c r="B42" s="176" t="s">
        <v>1547</v>
      </c>
      <c r="C42" s="176" t="s">
        <v>1548</v>
      </c>
      <c r="D42" t="s">
        <v>1496</v>
      </c>
      <c r="E42" s="194" t="s">
        <v>1549</v>
      </c>
      <c r="F42" s="194" t="s">
        <v>1491</v>
      </c>
      <c r="G42" s="194" t="s">
        <v>1491</v>
      </c>
      <c r="H42" s="194" t="s">
        <v>1491</v>
      </c>
      <c r="I42" s="194" t="s">
        <v>1491</v>
      </c>
      <c r="J42" s="194" t="s">
        <v>1550</v>
      </c>
      <c r="K42" s="194" t="s">
        <v>1492</v>
      </c>
      <c r="L42" s="194" t="s">
        <v>1491</v>
      </c>
      <c r="M42" s="194" t="s">
        <v>1491</v>
      </c>
      <c r="N42" s="194" t="s">
        <v>1551</v>
      </c>
      <c r="O42" s="194" t="s">
        <v>1491</v>
      </c>
      <c r="P42" s="194" t="s">
        <v>1491</v>
      </c>
      <c r="Q42" s="194" t="s">
        <v>1491</v>
      </c>
      <c r="R42" s="194" t="s">
        <v>1491</v>
      </c>
      <c r="S42" s="194" t="s">
        <v>1491</v>
      </c>
      <c r="T42" s="194" t="s">
        <v>1491</v>
      </c>
      <c r="U42" s="194" t="s">
        <v>1491</v>
      </c>
      <c r="V42" s="194" t="s">
        <v>1491</v>
      </c>
      <c r="W42" s="194" t="s">
        <v>1491</v>
      </c>
      <c r="X42" s="194" t="s">
        <v>1491</v>
      </c>
      <c r="Y42" s="194" t="s">
        <v>1491</v>
      </c>
      <c r="Z42" s="194" t="s">
        <v>1491</v>
      </c>
      <c r="AA42" s="194" t="s">
        <v>1491</v>
      </c>
      <c r="AB42" s="194" t="s">
        <v>1491</v>
      </c>
      <c r="AC42" s="194" t="s">
        <v>1552</v>
      </c>
      <c r="AD42" s="194" t="s">
        <v>1491</v>
      </c>
      <c r="AE42" s="194" t="s">
        <v>1491</v>
      </c>
      <c r="AF42" s="194" t="s">
        <v>1491</v>
      </c>
      <c r="AG42" s="194" t="s">
        <v>1491</v>
      </c>
      <c r="AH42" s="194" t="s">
        <v>1491</v>
      </c>
    </row>
    <row r="43" spans="1:34">
      <c r="A43" s="177">
        <v>39</v>
      </c>
      <c r="B43" s="176" t="s">
        <v>1074</v>
      </c>
      <c r="C43" s="176" t="s">
        <v>1024</v>
      </c>
      <c r="D43" t="s">
        <v>1496</v>
      </c>
      <c r="E43" s="194" t="s">
        <v>1553</v>
      </c>
      <c r="F43" s="194" t="s">
        <v>1491</v>
      </c>
      <c r="G43" s="194" t="s">
        <v>1491</v>
      </c>
      <c r="H43" s="194" t="s">
        <v>1491</v>
      </c>
      <c r="I43" s="194" t="s">
        <v>1491</v>
      </c>
      <c r="J43" s="194" t="s">
        <v>1491</v>
      </c>
      <c r="K43" s="194" t="s">
        <v>1491</v>
      </c>
      <c r="L43" s="194" t="s">
        <v>1491</v>
      </c>
      <c r="M43" s="194" t="s">
        <v>1491</v>
      </c>
      <c r="N43" s="194" t="s">
        <v>1501</v>
      </c>
      <c r="O43" s="194" t="s">
        <v>1491</v>
      </c>
      <c r="P43" s="194" t="s">
        <v>1491</v>
      </c>
      <c r="Q43" s="194" t="s">
        <v>1491</v>
      </c>
      <c r="R43" s="194" t="s">
        <v>1491</v>
      </c>
      <c r="S43" s="194" t="s">
        <v>1491</v>
      </c>
      <c r="T43" s="194" t="s">
        <v>1491</v>
      </c>
      <c r="U43" s="194" t="s">
        <v>1491</v>
      </c>
      <c r="V43" s="194" t="s">
        <v>1491</v>
      </c>
      <c r="W43" s="194" t="s">
        <v>1491</v>
      </c>
      <c r="X43" s="194" t="s">
        <v>1491</v>
      </c>
      <c r="Y43" s="194" t="s">
        <v>1491</v>
      </c>
      <c r="Z43" s="194" t="s">
        <v>1491</v>
      </c>
      <c r="AA43" s="194" t="s">
        <v>1491</v>
      </c>
      <c r="AB43" s="194" t="s">
        <v>1491</v>
      </c>
      <c r="AC43" s="194" t="s">
        <v>1491</v>
      </c>
      <c r="AD43" s="194" t="s">
        <v>1491</v>
      </c>
      <c r="AE43" s="194" t="s">
        <v>1491</v>
      </c>
      <c r="AF43" s="194" t="s">
        <v>1491</v>
      </c>
      <c r="AG43" s="194" t="s">
        <v>1491</v>
      </c>
      <c r="AH43" s="194" t="s">
        <v>1491</v>
      </c>
    </row>
    <row r="44" spans="1:34">
      <c r="A44" s="177">
        <v>40</v>
      </c>
      <c r="B44" s="176" t="s">
        <v>1074</v>
      </c>
      <c r="C44" s="176" t="s">
        <v>1024</v>
      </c>
      <c r="D44" t="s">
        <v>1496</v>
      </c>
      <c r="E44" s="194" t="s">
        <v>1553</v>
      </c>
      <c r="F44" s="194" t="s">
        <v>1491</v>
      </c>
      <c r="G44" s="194" t="s">
        <v>1491</v>
      </c>
      <c r="H44" s="194" t="s">
        <v>1491</v>
      </c>
      <c r="I44" s="194" t="s">
        <v>1491</v>
      </c>
      <c r="J44" s="194" t="s">
        <v>1491</v>
      </c>
      <c r="K44" s="194" t="s">
        <v>1491</v>
      </c>
      <c r="L44" s="194" t="s">
        <v>1491</v>
      </c>
      <c r="M44" s="194" t="s">
        <v>1491</v>
      </c>
      <c r="N44" s="194" t="s">
        <v>1501</v>
      </c>
      <c r="O44" s="194" t="s">
        <v>1491</v>
      </c>
      <c r="P44" s="194" t="s">
        <v>1491</v>
      </c>
      <c r="Q44" s="194" t="s">
        <v>1491</v>
      </c>
      <c r="R44" s="194" t="s">
        <v>1491</v>
      </c>
      <c r="S44" s="194" t="s">
        <v>1491</v>
      </c>
      <c r="T44" s="194" t="s">
        <v>1491</v>
      </c>
      <c r="U44" s="194" t="s">
        <v>1491</v>
      </c>
      <c r="V44" s="194" t="s">
        <v>1491</v>
      </c>
      <c r="W44" s="194" t="s">
        <v>1491</v>
      </c>
      <c r="X44" s="194" t="s">
        <v>1491</v>
      </c>
      <c r="Y44" s="194" t="s">
        <v>1491</v>
      </c>
      <c r="Z44" s="194" t="s">
        <v>1491</v>
      </c>
      <c r="AA44" s="194" t="s">
        <v>1491</v>
      </c>
      <c r="AB44" s="194" t="s">
        <v>1491</v>
      </c>
      <c r="AC44" s="194" t="s">
        <v>1491</v>
      </c>
      <c r="AD44" s="194" t="s">
        <v>1491</v>
      </c>
      <c r="AE44" s="194" t="s">
        <v>1491</v>
      </c>
      <c r="AF44" s="194" t="s">
        <v>1491</v>
      </c>
      <c r="AG44" s="194" t="s">
        <v>1491</v>
      </c>
      <c r="AH44" s="194" t="s">
        <v>1491</v>
      </c>
    </row>
    <row r="45" spans="1:34">
      <c r="A45" s="177">
        <v>41</v>
      </c>
      <c r="B45" s="176" t="s">
        <v>1077</v>
      </c>
      <c r="C45" s="176" t="s">
        <v>1024</v>
      </c>
      <c r="D45" t="s">
        <v>1496</v>
      </c>
      <c r="E45" s="194" t="s">
        <v>1554</v>
      </c>
      <c r="F45" s="194" t="s">
        <v>1491</v>
      </c>
      <c r="G45" s="194" t="s">
        <v>1491</v>
      </c>
      <c r="H45" s="194" t="s">
        <v>1491</v>
      </c>
      <c r="I45" s="194" t="s">
        <v>1491</v>
      </c>
      <c r="J45" s="194" t="s">
        <v>1491</v>
      </c>
      <c r="K45" s="194" t="s">
        <v>1491</v>
      </c>
      <c r="L45" s="194" t="s">
        <v>1491</v>
      </c>
      <c r="M45" s="194" t="s">
        <v>1491</v>
      </c>
      <c r="N45" s="194" t="s">
        <v>1530</v>
      </c>
      <c r="O45" s="194" t="s">
        <v>1491</v>
      </c>
      <c r="P45" s="194" t="s">
        <v>1491</v>
      </c>
      <c r="Q45" s="194" t="s">
        <v>1491</v>
      </c>
      <c r="R45" s="194" t="s">
        <v>1491</v>
      </c>
      <c r="S45" s="194" t="s">
        <v>1491</v>
      </c>
      <c r="T45" s="194" t="s">
        <v>1491</v>
      </c>
      <c r="U45" s="194" t="s">
        <v>1491</v>
      </c>
      <c r="V45" s="194" t="s">
        <v>1491</v>
      </c>
      <c r="W45" s="194" t="s">
        <v>1491</v>
      </c>
      <c r="X45" s="194" t="s">
        <v>1491</v>
      </c>
      <c r="Y45" s="194" t="s">
        <v>1491</v>
      </c>
      <c r="Z45" s="194" t="s">
        <v>1491</v>
      </c>
      <c r="AA45" s="194" t="s">
        <v>1491</v>
      </c>
      <c r="AB45" s="194" t="s">
        <v>1491</v>
      </c>
      <c r="AC45" s="194" t="s">
        <v>1491</v>
      </c>
      <c r="AD45" s="194" t="s">
        <v>1491</v>
      </c>
      <c r="AE45" s="194" t="s">
        <v>1491</v>
      </c>
      <c r="AF45" s="194" t="s">
        <v>1491</v>
      </c>
      <c r="AG45" s="194" t="s">
        <v>1491</v>
      </c>
      <c r="AH45" s="194" t="s">
        <v>1491</v>
      </c>
    </row>
    <row r="46" spans="1:34">
      <c r="A46" s="177">
        <v>42</v>
      </c>
      <c r="B46" s="176" t="s">
        <v>1079</v>
      </c>
      <c r="C46" s="176" t="s">
        <v>1024</v>
      </c>
      <c r="D46" t="s">
        <v>1496</v>
      </c>
      <c r="E46" s="194" t="s">
        <v>1555</v>
      </c>
      <c r="F46" s="194" t="s">
        <v>1491</v>
      </c>
      <c r="G46" s="194" t="s">
        <v>1491</v>
      </c>
      <c r="H46" s="194" t="s">
        <v>1491</v>
      </c>
      <c r="I46" s="194" t="s">
        <v>1491</v>
      </c>
      <c r="J46" s="194" t="s">
        <v>1491</v>
      </c>
      <c r="K46" s="194" t="s">
        <v>1491</v>
      </c>
      <c r="L46" s="194" t="s">
        <v>1491</v>
      </c>
      <c r="M46" s="194" t="s">
        <v>1491</v>
      </c>
      <c r="N46" s="194" t="s">
        <v>1530</v>
      </c>
      <c r="O46" s="194" t="s">
        <v>1491</v>
      </c>
      <c r="P46" s="194" t="s">
        <v>1491</v>
      </c>
      <c r="Q46" s="194" t="s">
        <v>1491</v>
      </c>
      <c r="R46" s="194" t="s">
        <v>1491</v>
      </c>
      <c r="S46" s="194" t="s">
        <v>1491</v>
      </c>
      <c r="T46" s="194" t="s">
        <v>1491</v>
      </c>
      <c r="U46" s="194" t="s">
        <v>1491</v>
      </c>
      <c r="V46" s="194" t="s">
        <v>1491</v>
      </c>
      <c r="W46" s="194" t="s">
        <v>1491</v>
      </c>
      <c r="X46" s="194" t="s">
        <v>1491</v>
      </c>
      <c r="Y46" s="194" t="s">
        <v>1491</v>
      </c>
      <c r="Z46" s="194" t="s">
        <v>1491</v>
      </c>
      <c r="AA46" s="194" t="s">
        <v>1491</v>
      </c>
      <c r="AB46" s="194" t="s">
        <v>1491</v>
      </c>
      <c r="AC46" s="194" t="s">
        <v>1491</v>
      </c>
      <c r="AD46" s="194" t="s">
        <v>1491</v>
      </c>
      <c r="AE46" s="194" t="s">
        <v>1491</v>
      </c>
      <c r="AF46" s="194" t="s">
        <v>1491</v>
      </c>
      <c r="AG46" s="194" t="s">
        <v>1491</v>
      </c>
      <c r="AH46" s="194" t="s">
        <v>1491</v>
      </c>
    </row>
    <row r="47" spans="1:34">
      <c r="A47" s="177">
        <v>43</v>
      </c>
      <c r="B47" s="176" t="s">
        <v>1079</v>
      </c>
      <c r="C47" s="176" t="s">
        <v>1024</v>
      </c>
      <c r="D47" t="s">
        <v>1496</v>
      </c>
      <c r="E47" s="194" t="s">
        <v>1555</v>
      </c>
      <c r="F47" s="194" t="s">
        <v>1491</v>
      </c>
      <c r="G47" s="194" t="s">
        <v>1491</v>
      </c>
      <c r="H47" s="194" t="s">
        <v>1491</v>
      </c>
      <c r="I47" s="194" t="s">
        <v>1491</v>
      </c>
      <c r="J47" s="194" t="s">
        <v>1491</v>
      </c>
      <c r="K47" s="194" t="s">
        <v>1491</v>
      </c>
      <c r="L47" s="194" t="s">
        <v>1491</v>
      </c>
      <c r="M47" s="194" t="s">
        <v>1491</v>
      </c>
      <c r="N47" s="194" t="s">
        <v>1530</v>
      </c>
      <c r="O47" s="194" t="s">
        <v>1491</v>
      </c>
      <c r="P47" s="194" t="s">
        <v>1491</v>
      </c>
      <c r="Q47" s="194" t="s">
        <v>1491</v>
      </c>
      <c r="R47" s="194" t="s">
        <v>1491</v>
      </c>
      <c r="S47" s="194" t="s">
        <v>1491</v>
      </c>
      <c r="T47" s="194" t="s">
        <v>1491</v>
      </c>
      <c r="U47" s="194" t="s">
        <v>1491</v>
      </c>
      <c r="V47" s="194" t="s">
        <v>1491</v>
      </c>
      <c r="W47" s="194" t="s">
        <v>1491</v>
      </c>
      <c r="X47" s="194" t="s">
        <v>1491</v>
      </c>
      <c r="Y47" s="194" t="s">
        <v>1491</v>
      </c>
      <c r="Z47" s="194" t="s">
        <v>1491</v>
      </c>
      <c r="AA47" s="194" t="s">
        <v>1491</v>
      </c>
      <c r="AB47" s="194" t="s">
        <v>1491</v>
      </c>
      <c r="AC47" s="194" t="s">
        <v>1491</v>
      </c>
      <c r="AD47" s="194" t="s">
        <v>1491</v>
      </c>
      <c r="AE47" s="194" t="s">
        <v>1491</v>
      </c>
      <c r="AF47" s="194" t="s">
        <v>1491</v>
      </c>
      <c r="AG47" s="194" t="s">
        <v>1491</v>
      </c>
      <c r="AH47" s="194" t="s">
        <v>1491</v>
      </c>
    </row>
    <row r="48" spans="1:34">
      <c r="A48" s="177">
        <v>44</v>
      </c>
      <c r="B48" s="176" t="s">
        <v>1082</v>
      </c>
      <c r="C48" s="176" t="s">
        <v>1024</v>
      </c>
      <c r="D48" t="s">
        <v>1496</v>
      </c>
      <c r="E48" s="194" t="s">
        <v>1556</v>
      </c>
      <c r="F48" s="194" t="s">
        <v>1491</v>
      </c>
      <c r="G48" s="194" t="s">
        <v>1491</v>
      </c>
      <c r="H48" s="194" t="s">
        <v>1491</v>
      </c>
      <c r="I48" s="194" t="s">
        <v>1491</v>
      </c>
      <c r="J48" s="194" t="s">
        <v>1491</v>
      </c>
      <c r="K48" s="194" t="s">
        <v>1491</v>
      </c>
      <c r="L48" s="194" t="s">
        <v>1491</v>
      </c>
      <c r="M48" s="194" t="s">
        <v>1491</v>
      </c>
      <c r="N48" s="194" t="s">
        <v>1501</v>
      </c>
      <c r="O48" s="194" t="s">
        <v>1491</v>
      </c>
      <c r="P48" s="194" t="s">
        <v>1491</v>
      </c>
      <c r="Q48" s="194" t="s">
        <v>1491</v>
      </c>
      <c r="R48" s="194" t="s">
        <v>1491</v>
      </c>
      <c r="S48" s="194" t="s">
        <v>1491</v>
      </c>
      <c r="T48" s="194" t="s">
        <v>1491</v>
      </c>
      <c r="U48" s="194" t="s">
        <v>1491</v>
      </c>
      <c r="V48" s="194" t="s">
        <v>1491</v>
      </c>
      <c r="W48" s="194" t="s">
        <v>1491</v>
      </c>
      <c r="X48" s="194" t="s">
        <v>1491</v>
      </c>
      <c r="Y48" s="194" t="s">
        <v>1491</v>
      </c>
      <c r="Z48" s="194" t="s">
        <v>1491</v>
      </c>
      <c r="AA48" s="194" t="s">
        <v>1491</v>
      </c>
      <c r="AB48" s="194" t="s">
        <v>1491</v>
      </c>
      <c r="AC48" s="194" t="s">
        <v>1491</v>
      </c>
      <c r="AD48" s="194" t="s">
        <v>1491</v>
      </c>
      <c r="AE48" s="194" t="s">
        <v>1491</v>
      </c>
      <c r="AF48" s="194" t="s">
        <v>1491</v>
      </c>
      <c r="AG48" s="194" t="s">
        <v>1491</v>
      </c>
      <c r="AH48" s="194" t="s">
        <v>1491</v>
      </c>
    </row>
    <row r="49" spans="1:34">
      <c r="A49" s="177">
        <v>45</v>
      </c>
      <c r="B49" s="176" t="s">
        <v>1085</v>
      </c>
      <c r="C49" s="176" t="s">
        <v>1024</v>
      </c>
      <c r="D49" t="s">
        <v>1496</v>
      </c>
      <c r="E49" s="194" t="s">
        <v>1491</v>
      </c>
      <c r="F49" s="194" t="s">
        <v>1491</v>
      </c>
      <c r="G49" s="194" t="s">
        <v>1491</v>
      </c>
      <c r="H49" s="194" t="s">
        <v>1491</v>
      </c>
      <c r="I49" s="194" t="s">
        <v>1491</v>
      </c>
      <c r="J49" s="194" t="s">
        <v>1491</v>
      </c>
      <c r="K49" s="194" t="s">
        <v>1491</v>
      </c>
      <c r="L49" s="194" t="s">
        <v>1491</v>
      </c>
      <c r="M49" s="194" t="s">
        <v>1491</v>
      </c>
      <c r="N49" s="194" t="s">
        <v>1501</v>
      </c>
      <c r="O49" s="194" t="s">
        <v>1491</v>
      </c>
      <c r="P49" s="194" t="s">
        <v>1491</v>
      </c>
      <c r="Q49" s="194" t="s">
        <v>1491</v>
      </c>
      <c r="R49" s="194" t="s">
        <v>1491</v>
      </c>
      <c r="S49" s="194" t="s">
        <v>1491</v>
      </c>
      <c r="T49" s="194" t="s">
        <v>1491</v>
      </c>
      <c r="U49" s="194" t="s">
        <v>1557</v>
      </c>
      <c r="V49" s="194" t="s">
        <v>1491</v>
      </c>
      <c r="W49" s="194" t="s">
        <v>1491</v>
      </c>
      <c r="X49" s="194" t="s">
        <v>1491</v>
      </c>
      <c r="Y49" s="194" t="s">
        <v>1491</v>
      </c>
      <c r="Z49" s="194" t="s">
        <v>1491</v>
      </c>
      <c r="AA49" s="194" t="s">
        <v>1491</v>
      </c>
      <c r="AB49" s="194" t="s">
        <v>1491</v>
      </c>
      <c r="AC49" s="194" t="s">
        <v>1491</v>
      </c>
      <c r="AD49" s="194" t="s">
        <v>1491</v>
      </c>
      <c r="AE49" s="194" t="s">
        <v>1491</v>
      </c>
      <c r="AF49" s="194" t="s">
        <v>1491</v>
      </c>
      <c r="AG49" s="194" t="s">
        <v>1491</v>
      </c>
      <c r="AH49" s="194" t="s">
        <v>1491</v>
      </c>
    </row>
    <row r="50" spans="1:34">
      <c r="A50" s="177">
        <v>46</v>
      </c>
      <c r="B50" s="176" t="s">
        <v>1085</v>
      </c>
      <c r="C50" s="176" t="s">
        <v>1024</v>
      </c>
      <c r="D50" t="s">
        <v>1496</v>
      </c>
      <c r="E50" s="194" t="s">
        <v>1491</v>
      </c>
      <c r="F50" s="194" t="s">
        <v>1491</v>
      </c>
      <c r="G50" s="194" t="s">
        <v>1491</v>
      </c>
      <c r="H50" s="194" t="s">
        <v>1491</v>
      </c>
      <c r="I50" s="194" t="s">
        <v>1491</v>
      </c>
      <c r="J50" s="194" t="s">
        <v>1491</v>
      </c>
      <c r="K50" s="194" t="s">
        <v>1491</v>
      </c>
      <c r="L50" s="194" t="s">
        <v>1491</v>
      </c>
      <c r="M50" s="194" t="s">
        <v>1491</v>
      </c>
      <c r="N50" s="194" t="s">
        <v>1501</v>
      </c>
      <c r="O50" s="194" t="s">
        <v>1491</v>
      </c>
      <c r="P50" s="194" t="s">
        <v>1491</v>
      </c>
      <c r="Q50" s="194" t="s">
        <v>1491</v>
      </c>
      <c r="R50" s="194" t="s">
        <v>1491</v>
      </c>
      <c r="S50" s="194" t="s">
        <v>1491</v>
      </c>
      <c r="T50" s="194" t="s">
        <v>1491</v>
      </c>
      <c r="U50" s="194" t="s">
        <v>1557</v>
      </c>
      <c r="V50" s="194" t="s">
        <v>1491</v>
      </c>
      <c r="W50" s="194" t="s">
        <v>1491</v>
      </c>
      <c r="X50" s="194" t="s">
        <v>1491</v>
      </c>
      <c r="Y50" s="194" t="s">
        <v>1491</v>
      </c>
      <c r="Z50" s="194" t="s">
        <v>1491</v>
      </c>
      <c r="AA50" s="194" t="s">
        <v>1491</v>
      </c>
      <c r="AB50" s="194" t="s">
        <v>1491</v>
      </c>
      <c r="AC50" s="194" t="s">
        <v>1491</v>
      </c>
      <c r="AD50" s="194" t="s">
        <v>1491</v>
      </c>
      <c r="AE50" s="194" t="s">
        <v>1491</v>
      </c>
      <c r="AF50" s="194" t="s">
        <v>1491</v>
      </c>
      <c r="AG50" s="194" t="s">
        <v>1491</v>
      </c>
      <c r="AH50" s="194" t="s">
        <v>1491</v>
      </c>
    </row>
    <row r="51" spans="1:34">
      <c r="A51" s="177">
        <v>47</v>
      </c>
      <c r="B51" s="211" t="s">
        <v>1088</v>
      </c>
      <c r="C51" s="211" t="s">
        <v>1543</v>
      </c>
      <c r="D51" s="212" t="s">
        <v>1496</v>
      </c>
      <c r="E51" s="213" t="s">
        <v>1543</v>
      </c>
      <c r="F51" s="213" t="s">
        <v>1543</v>
      </c>
      <c r="G51" s="213" t="s">
        <v>1543</v>
      </c>
      <c r="H51" s="213" t="s">
        <v>1543</v>
      </c>
      <c r="I51" s="213" t="s">
        <v>1543</v>
      </c>
      <c r="J51" s="213" t="s">
        <v>1543</v>
      </c>
      <c r="K51" s="213" t="s">
        <v>1543</v>
      </c>
      <c r="L51" s="213" t="s">
        <v>1543</v>
      </c>
      <c r="M51" s="213" t="s">
        <v>1543</v>
      </c>
      <c r="N51" s="213" t="s">
        <v>1543</v>
      </c>
      <c r="O51" s="213" t="s">
        <v>1543</v>
      </c>
      <c r="P51" s="213" t="s">
        <v>1543</v>
      </c>
      <c r="Q51" s="213" t="s">
        <v>1543</v>
      </c>
      <c r="R51" s="213" t="s">
        <v>1543</v>
      </c>
      <c r="S51" s="213" t="s">
        <v>1543</v>
      </c>
      <c r="T51" s="213" t="s">
        <v>1543</v>
      </c>
      <c r="U51" s="213" t="s">
        <v>1543</v>
      </c>
      <c r="V51" s="213" t="s">
        <v>1543</v>
      </c>
      <c r="W51" s="213" t="s">
        <v>1543</v>
      </c>
      <c r="X51" s="213" t="s">
        <v>1543</v>
      </c>
      <c r="Y51" s="213" t="s">
        <v>1543</v>
      </c>
      <c r="Z51" s="213" t="s">
        <v>1543</v>
      </c>
      <c r="AA51" s="213" t="s">
        <v>1543</v>
      </c>
      <c r="AB51" s="213" t="s">
        <v>1543</v>
      </c>
      <c r="AC51" s="213" t="s">
        <v>1543</v>
      </c>
      <c r="AD51" s="213" t="s">
        <v>1543</v>
      </c>
      <c r="AE51" s="213" t="s">
        <v>1543</v>
      </c>
      <c r="AF51" s="213" t="s">
        <v>1543</v>
      </c>
      <c r="AG51" s="213" t="s">
        <v>1543</v>
      </c>
      <c r="AH51" s="213" t="s">
        <v>1543</v>
      </c>
    </row>
    <row r="52" spans="1:34">
      <c r="A52" s="177">
        <v>48</v>
      </c>
      <c r="B52" s="176" t="s">
        <v>1090</v>
      </c>
      <c r="C52" s="176" t="s">
        <v>1024</v>
      </c>
      <c r="D52" t="s">
        <v>1496</v>
      </c>
      <c r="E52" s="194" t="s">
        <v>1558</v>
      </c>
      <c r="F52" s="194" t="s">
        <v>1491</v>
      </c>
      <c r="G52" s="194" t="s">
        <v>1491</v>
      </c>
      <c r="H52" s="194" t="s">
        <v>1491</v>
      </c>
      <c r="I52" s="194" t="s">
        <v>1491</v>
      </c>
      <c r="J52" s="194" t="s">
        <v>1491</v>
      </c>
      <c r="K52" s="194" t="s">
        <v>1559</v>
      </c>
      <c r="L52" s="194" t="s">
        <v>1491</v>
      </c>
      <c r="M52" s="194" t="s">
        <v>1491</v>
      </c>
      <c r="N52" s="194" t="s">
        <v>1530</v>
      </c>
      <c r="O52" s="194" t="s">
        <v>1491</v>
      </c>
      <c r="P52" s="194" t="s">
        <v>1491</v>
      </c>
      <c r="Q52" s="194" t="s">
        <v>1491</v>
      </c>
      <c r="R52" s="194" t="s">
        <v>1491</v>
      </c>
      <c r="S52" s="194" t="s">
        <v>1491</v>
      </c>
      <c r="T52" s="194" t="s">
        <v>1491</v>
      </c>
      <c r="U52" s="194" t="s">
        <v>1491</v>
      </c>
      <c r="V52" s="194" t="s">
        <v>1491</v>
      </c>
      <c r="W52" s="194" t="s">
        <v>1491</v>
      </c>
      <c r="X52" s="194" t="s">
        <v>1491</v>
      </c>
      <c r="Y52" s="194" t="s">
        <v>1491</v>
      </c>
      <c r="Z52" s="194" t="s">
        <v>1491</v>
      </c>
      <c r="AA52" s="194" t="s">
        <v>1491</v>
      </c>
      <c r="AB52" s="194" t="s">
        <v>1491</v>
      </c>
      <c r="AC52" s="194" t="s">
        <v>1491</v>
      </c>
      <c r="AD52" s="194" t="s">
        <v>1491</v>
      </c>
      <c r="AE52" s="194" t="s">
        <v>1491</v>
      </c>
      <c r="AF52" s="194" t="s">
        <v>1491</v>
      </c>
      <c r="AG52" s="194" t="s">
        <v>1491</v>
      </c>
      <c r="AH52" s="194" t="s">
        <v>1491</v>
      </c>
    </row>
    <row r="53" spans="1:34">
      <c r="A53" s="177">
        <v>49</v>
      </c>
      <c r="B53" s="176" t="s">
        <v>1091</v>
      </c>
      <c r="C53" s="176" t="s">
        <v>1024</v>
      </c>
      <c r="D53" t="s">
        <v>1496</v>
      </c>
      <c r="E53" s="194" t="s">
        <v>1560</v>
      </c>
      <c r="F53" s="194" t="s">
        <v>1491</v>
      </c>
      <c r="G53" s="194" t="s">
        <v>1491</v>
      </c>
      <c r="H53" s="194" t="s">
        <v>1491</v>
      </c>
      <c r="I53" s="194" t="s">
        <v>1491</v>
      </c>
      <c r="J53" s="194" t="s">
        <v>1500</v>
      </c>
      <c r="K53" s="194" t="s">
        <v>1491</v>
      </c>
      <c r="L53" s="194" t="s">
        <v>1491</v>
      </c>
      <c r="M53" s="194" t="s">
        <v>1561</v>
      </c>
      <c r="N53" s="194" t="s">
        <v>1491</v>
      </c>
      <c r="O53" s="194" t="s">
        <v>1491</v>
      </c>
      <c r="P53" s="194" t="s">
        <v>1491</v>
      </c>
      <c r="Q53" s="194" t="s">
        <v>1491</v>
      </c>
      <c r="R53" s="194" t="s">
        <v>1491</v>
      </c>
      <c r="S53" s="194" t="s">
        <v>1491</v>
      </c>
      <c r="T53" s="194" t="s">
        <v>1491</v>
      </c>
      <c r="U53" s="194" t="s">
        <v>1491</v>
      </c>
      <c r="V53" s="194" t="s">
        <v>1491</v>
      </c>
      <c r="W53" s="194" t="s">
        <v>1491</v>
      </c>
      <c r="X53" s="194" t="s">
        <v>1491</v>
      </c>
      <c r="Y53" s="194" t="s">
        <v>1491</v>
      </c>
      <c r="Z53" s="194" t="s">
        <v>1491</v>
      </c>
      <c r="AA53" s="194" t="s">
        <v>1491</v>
      </c>
      <c r="AB53" s="194" t="s">
        <v>1491</v>
      </c>
      <c r="AC53" s="194" t="s">
        <v>1503</v>
      </c>
      <c r="AD53" s="194" t="s">
        <v>1491</v>
      </c>
      <c r="AE53" s="194" t="s">
        <v>1491</v>
      </c>
      <c r="AF53" s="194" t="s">
        <v>1491</v>
      </c>
      <c r="AG53" s="194" t="s">
        <v>1491</v>
      </c>
      <c r="AH53" s="194" t="s">
        <v>1491</v>
      </c>
    </row>
    <row r="54" spans="1:34">
      <c r="A54" s="177">
        <v>50</v>
      </c>
      <c r="B54" s="176" t="s">
        <v>1093</v>
      </c>
      <c r="C54" s="176" t="s">
        <v>1024</v>
      </c>
      <c r="D54" t="s">
        <v>1496</v>
      </c>
      <c r="E54" s="194" t="s">
        <v>1491</v>
      </c>
      <c r="F54" s="194" t="s">
        <v>1491</v>
      </c>
      <c r="G54" s="194" t="s">
        <v>1491</v>
      </c>
      <c r="H54" s="194" t="s">
        <v>1491</v>
      </c>
      <c r="I54" s="194" t="s">
        <v>1491</v>
      </c>
      <c r="J54" s="194" t="s">
        <v>1491</v>
      </c>
      <c r="K54" s="194" t="s">
        <v>1491</v>
      </c>
      <c r="L54" s="194" t="s">
        <v>1491</v>
      </c>
      <c r="M54" s="194" t="s">
        <v>1561</v>
      </c>
      <c r="N54" s="194" t="s">
        <v>1491</v>
      </c>
      <c r="O54" s="194" t="s">
        <v>1491</v>
      </c>
      <c r="P54" s="194" t="s">
        <v>1491</v>
      </c>
      <c r="Q54" s="194" t="s">
        <v>1491</v>
      </c>
      <c r="R54" s="194" t="s">
        <v>1491</v>
      </c>
      <c r="S54" s="194" t="s">
        <v>1562</v>
      </c>
      <c r="T54" s="194" t="s">
        <v>1491</v>
      </c>
      <c r="U54" s="194" t="s">
        <v>1491</v>
      </c>
      <c r="V54" s="194" t="s">
        <v>1491</v>
      </c>
      <c r="W54" s="194" t="s">
        <v>1491</v>
      </c>
      <c r="X54" s="194" t="s">
        <v>1491</v>
      </c>
      <c r="Y54" s="194" t="s">
        <v>1491</v>
      </c>
      <c r="Z54" s="194" t="s">
        <v>1491</v>
      </c>
      <c r="AA54" s="194" t="s">
        <v>1528</v>
      </c>
      <c r="AB54" s="194" t="s">
        <v>1491</v>
      </c>
      <c r="AC54" s="194" t="s">
        <v>1491</v>
      </c>
      <c r="AD54" s="194" t="s">
        <v>1491</v>
      </c>
      <c r="AE54" s="194" t="s">
        <v>1491</v>
      </c>
      <c r="AF54" s="194" t="s">
        <v>1491</v>
      </c>
      <c r="AG54" s="194" t="s">
        <v>1491</v>
      </c>
      <c r="AH54" s="194" t="s">
        <v>1491</v>
      </c>
    </row>
    <row r="55" spans="1:34">
      <c r="A55" s="177">
        <v>51</v>
      </c>
      <c r="B55" s="176" t="s">
        <v>1095</v>
      </c>
      <c r="C55" s="176" t="s">
        <v>1024</v>
      </c>
      <c r="D55" t="s">
        <v>1496</v>
      </c>
      <c r="E55" s="194" t="s">
        <v>1563</v>
      </c>
      <c r="F55" s="194" t="s">
        <v>1491</v>
      </c>
      <c r="G55" s="194" t="s">
        <v>1491</v>
      </c>
      <c r="H55" s="194" t="s">
        <v>1491</v>
      </c>
      <c r="I55" s="194" t="s">
        <v>1491</v>
      </c>
      <c r="J55" s="194" t="s">
        <v>1491</v>
      </c>
      <c r="K55" s="194" t="s">
        <v>1491</v>
      </c>
      <c r="L55" s="194" t="s">
        <v>1491</v>
      </c>
      <c r="M55" s="194" t="s">
        <v>1491</v>
      </c>
      <c r="N55" s="194" t="s">
        <v>1564</v>
      </c>
      <c r="O55" s="194" t="s">
        <v>1491</v>
      </c>
      <c r="P55" s="194" t="s">
        <v>1491</v>
      </c>
      <c r="Q55" s="194" t="s">
        <v>1491</v>
      </c>
      <c r="R55" s="194" t="s">
        <v>1491</v>
      </c>
      <c r="S55" s="194" t="s">
        <v>1491</v>
      </c>
      <c r="T55" s="194" t="s">
        <v>1491</v>
      </c>
      <c r="U55" s="194" t="s">
        <v>1491</v>
      </c>
      <c r="V55" s="194" t="s">
        <v>1491</v>
      </c>
      <c r="W55" s="194" t="s">
        <v>1491</v>
      </c>
      <c r="X55" s="194" t="s">
        <v>1491</v>
      </c>
      <c r="Y55" s="194" t="s">
        <v>1491</v>
      </c>
      <c r="Z55" s="194" t="s">
        <v>1491</v>
      </c>
      <c r="AA55" s="194" t="s">
        <v>1491</v>
      </c>
      <c r="AB55" s="194" t="s">
        <v>1491</v>
      </c>
      <c r="AC55" s="194" t="s">
        <v>1491</v>
      </c>
      <c r="AD55" s="194" t="s">
        <v>1491</v>
      </c>
      <c r="AE55" s="194" t="s">
        <v>1491</v>
      </c>
      <c r="AF55" s="194" t="s">
        <v>1565</v>
      </c>
      <c r="AG55" s="194" t="s">
        <v>1491</v>
      </c>
      <c r="AH55" s="194" t="s">
        <v>1491</v>
      </c>
    </row>
    <row r="56" spans="1:34">
      <c r="A56" s="177">
        <v>52</v>
      </c>
      <c r="B56" s="176" t="s">
        <v>1095</v>
      </c>
      <c r="C56" s="176" t="s">
        <v>1024</v>
      </c>
      <c r="D56" t="s">
        <v>1496</v>
      </c>
      <c r="E56" s="194" t="s">
        <v>1563</v>
      </c>
      <c r="F56" s="194" t="s">
        <v>1491</v>
      </c>
      <c r="G56" s="194" t="s">
        <v>1491</v>
      </c>
      <c r="H56" s="194" t="s">
        <v>1491</v>
      </c>
      <c r="I56" s="194" t="s">
        <v>1491</v>
      </c>
      <c r="J56" s="194" t="s">
        <v>1491</v>
      </c>
      <c r="K56" s="194" t="s">
        <v>1491</v>
      </c>
      <c r="L56" s="194" t="s">
        <v>1491</v>
      </c>
      <c r="M56" s="194" t="s">
        <v>1491</v>
      </c>
      <c r="N56" s="194" t="s">
        <v>1564</v>
      </c>
      <c r="O56" s="194" t="s">
        <v>1491</v>
      </c>
      <c r="P56" s="194" t="s">
        <v>1491</v>
      </c>
      <c r="Q56" s="194" t="s">
        <v>1491</v>
      </c>
      <c r="R56" s="194" t="s">
        <v>1491</v>
      </c>
      <c r="S56" s="194" t="s">
        <v>1491</v>
      </c>
      <c r="T56" s="194" t="s">
        <v>1491</v>
      </c>
      <c r="U56" s="194" t="s">
        <v>1491</v>
      </c>
      <c r="V56" s="194" t="s">
        <v>1491</v>
      </c>
      <c r="W56" s="194" t="s">
        <v>1491</v>
      </c>
      <c r="X56" s="194" t="s">
        <v>1491</v>
      </c>
      <c r="Y56" s="194" t="s">
        <v>1491</v>
      </c>
      <c r="Z56" s="194" t="s">
        <v>1491</v>
      </c>
      <c r="AA56" s="194" t="s">
        <v>1491</v>
      </c>
      <c r="AB56" s="194" t="s">
        <v>1491</v>
      </c>
      <c r="AC56" s="194" t="s">
        <v>1503</v>
      </c>
      <c r="AD56" s="194" t="s">
        <v>1491</v>
      </c>
      <c r="AE56" s="194" t="s">
        <v>1491</v>
      </c>
      <c r="AF56" s="194" t="s">
        <v>1565</v>
      </c>
      <c r="AG56" s="194" t="s">
        <v>1491</v>
      </c>
      <c r="AH56" s="194" t="s">
        <v>1491</v>
      </c>
    </row>
    <row r="57" spans="1:34">
      <c r="A57" s="177">
        <v>53</v>
      </c>
      <c r="B57" s="176" t="s">
        <v>1098</v>
      </c>
      <c r="C57" s="176" t="s">
        <v>1024</v>
      </c>
      <c r="D57" t="s">
        <v>1496</v>
      </c>
      <c r="E57" s="194" t="s">
        <v>1563</v>
      </c>
      <c r="F57" s="194" t="s">
        <v>1491</v>
      </c>
      <c r="G57" s="194" t="s">
        <v>1491</v>
      </c>
      <c r="H57" s="194" t="s">
        <v>1491</v>
      </c>
      <c r="I57" s="194" t="s">
        <v>1491</v>
      </c>
      <c r="J57" s="194" t="s">
        <v>1491</v>
      </c>
      <c r="K57" s="194" t="s">
        <v>1491</v>
      </c>
      <c r="L57" s="194" t="s">
        <v>1491</v>
      </c>
      <c r="M57" s="194" t="s">
        <v>1491</v>
      </c>
      <c r="N57" s="194" t="s">
        <v>1564</v>
      </c>
      <c r="O57" s="194" t="s">
        <v>1491</v>
      </c>
      <c r="P57" s="194" t="s">
        <v>1491</v>
      </c>
      <c r="Q57" s="194" t="s">
        <v>1491</v>
      </c>
      <c r="R57" s="194" t="s">
        <v>1491</v>
      </c>
      <c r="S57" s="194" t="s">
        <v>1491</v>
      </c>
      <c r="T57" s="194" t="s">
        <v>1491</v>
      </c>
      <c r="U57" s="194" t="s">
        <v>1491</v>
      </c>
      <c r="V57" s="194" t="s">
        <v>1491</v>
      </c>
      <c r="W57" s="194" t="s">
        <v>1491</v>
      </c>
      <c r="X57" s="194" t="s">
        <v>1491</v>
      </c>
      <c r="Y57" s="194" t="s">
        <v>1491</v>
      </c>
      <c r="Z57" s="194" t="s">
        <v>1491</v>
      </c>
      <c r="AA57" s="194" t="s">
        <v>1491</v>
      </c>
      <c r="AB57" s="194" t="s">
        <v>1491</v>
      </c>
      <c r="AC57" s="194" t="s">
        <v>1491</v>
      </c>
      <c r="AD57" s="194" t="s">
        <v>1491</v>
      </c>
      <c r="AE57" s="194" t="s">
        <v>1491</v>
      </c>
      <c r="AF57" s="194" t="s">
        <v>1566</v>
      </c>
      <c r="AG57" s="194" t="s">
        <v>1491</v>
      </c>
      <c r="AH57" s="194" t="s">
        <v>1491</v>
      </c>
    </row>
    <row r="58" spans="1:34">
      <c r="A58" s="177">
        <v>54</v>
      </c>
      <c r="B58" s="176" t="s">
        <v>1098</v>
      </c>
      <c r="C58" s="176" t="s">
        <v>1024</v>
      </c>
      <c r="D58" t="s">
        <v>1496</v>
      </c>
      <c r="E58" s="194" t="s">
        <v>1563</v>
      </c>
      <c r="F58" s="194" t="s">
        <v>1491</v>
      </c>
      <c r="G58" s="194" t="s">
        <v>1491</v>
      </c>
      <c r="H58" s="194" t="s">
        <v>1491</v>
      </c>
      <c r="I58" s="194" t="s">
        <v>1491</v>
      </c>
      <c r="J58" s="194" t="s">
        <v>1491</v>
      </c>
      <c r="K58" s="194" t="s">
        <v>1491</v>
      </c>
      <c r="L58" s="194" t="s">
        <v>1491</v>
      </c>
      <c r="M58" s="194" t="s">
        <v>1491</v>
      </c>
      <c r="N58" s="194" t="s">
        <v>1564</v>
      </c>
      <c r="O58" s="194" t="s">
        <v>1491</v>
      </c>
      <c r="P58" s="194" t="s">
        <v>1491</v>
      </c>
      <c r="Q58" s="194" t="s">
        <v>1491</v>
      </c>
      <c r="R58" s="194" t="s">
        <v>1491</v>
      </c>
      <c r="S58" s="194" t="s">
        <v>1491</v>
      </c>
      <c r="T58" s="194" t="s">
        <v>1491</v>
      </c>
      <c r="U58" s="194" t="s">
        <v>1491</v>
      </c>
      <c r="V58" s="194" t="s">
        <v>1491</v>
      </c>
      <c r="W58" s="194" t="s">
        <v>1491</v>
      </c>
      <c r="X58" s="194" t="s">
        <v>1491</v>
      </c>
      <c r="Y58" s="194" t="s">
        <v>1491</v>
      </c>
      <c r="Z58" s="194" t="s">
        <v>1491</v>
      </c>
      <c r="AA58" s="194" t="s">
        <v>1491</v>
      </c>
      <c r="AB58" s="194" t="s">
        <v>1491</v>
      </c>
      <c r="AC58" s="194" t="s">
        <v>1503</v>
      </c>
      <c r="AD58" s="194" t="s">
        <v>1491</v>
      </c>
      <c r="AE58" s="194" t="s">
        <v>1491</v>
      </c>
      <c r="AF58" s="194" t="s">
        <v>1566</v>
      </c>
      <c r="AG58" s="194" t="s">
        <v>1491</v>
      </c>
      <c r="AH58" s="194" t="s">
        <v>1491</v>
      </c>
    </row>
    <row r="59" spans="1:34">
      <c r="A59" s="177">
        <v>55</v>
      </c>
      <c r="B59" s="176" t="s">
        <v>1101</v>
      </c>
      <c r="C59" s="176" t="s">
        <v>1024</v>
      </c>
      <c r="D59" t="s">
        <v>1496</v>
      </c>
      <c r="E59" s="194" t="s">
        <v>1563</v>
      </c>
      <c r="F59" s="194" t="s">
        <v>1491</v>
      </c>
      <c r="G59" s="194" t="s">
        <v>1491</v>
      </c>
      <c r="H59" s="194" t="s">
        <v>1491</v>
      </c>
      <c r="I59" s="194" t="s">
        <v>1491</v>
      </c>
      <c r="J59" s="194" t="s">
        <v>1491</v>
      </c>
      <c r="K59" s="194" t="s">
        <v>1491</v>
      </c>
      <c r="L59" s="194" t="s">
        <v>1491</v>
      </c>
      <c r="M59" s="194" t="s">
        <v>1491</v>
      </c>
      <c r="N59" s="194" t="s">
        <v>1501</v>
      </c>
      <c r="O59" s="194" t="s">
        <v>1491</v>
      </c>
      <c r="P59" s="194" t="s">
        <v>1491</v>
      </c>
      <c r="Q59" s="194" t="s">
        <v>1491</v>
      </c>
      <c r="R59" s="194" t="s">
        <v>1491</v>
      </c>
      <c r="S59" s="194" t="s">
        <v>1491</v>
      </c>
      <c r="T59" s="194" t="s">
        <v>1491</v>
      </c>
      <c r="U59" s="194" t="s">
        <v>1491</v>
      </c>
      <c r="V59" s="194" t="s">
        <v>1491</v>
      </c>
      <c r="W59" s="194" t="s">
        <v>1491</v>
      </c>
      <c r="X59" s="194" t="s">
        <v>1491</v>
      </c>
      <c r="Y59" s="194" t="s">
        <v>1491</v>
      </c>
      <c r="Z59" s="194" t="s">
        <v>1567</v>
      </c>
      <c r="AA59" s="194" t="s">
        <v>1491</v>
      </c>
      <c r="AB59" s="194" t="s">
        <v>1491</v>
      </c>
      <c r="AC59" s="194" t="s">
        <v>1491</v>
      </c>
      <c r="AD59" s="194" t="s">
        <v>1491</v>
      </c>
      <c r="AE59" s="194" t="s">
        <v>1491</v>
      </c>
      <c r="AF59" s="194" t="s">
        <v>1491</v>
      </c>
      <c r="AG59" s="194" t="s">
        <v>1491</v>
      </c>
      <c r="AH59" s="194" t="s">
        <v>1491</v>
      </c>
    </row>
    <row r="60" spans="1:34">
      <c r="A60" s="177">
        <v>56</v>
      </c>
      <c r="B60" s="176" t="s">
        <v>1101</v>
      </c>
      <c r="C60" s="176" t="s">
        <v>1024</v>
      </c>
      <c r="D60" t="s">
        <v>1496</v>
      </c>
      <c r="E60" s="194" t="s">
        <v>1563</v>
      </c>
      <c r="F60" s="194" t="s">
        <v>1491</v>
      </c>
      <c r="G60" s="194" t="s">
        <v>1491</v>
      </c>
      <c r="H60" s="194" t="s">
        <v>1491</v>
      </c>
      <c r="I60" s="194" t="s">
        <v>1491</v>
      </c>
      <c r="J60" s="194" t="s">
        <v>1491</v>
      </c>
      <c r="K60" s="194" t="s">
        <v>1491</v>
      </c>
      <c r="L60" s="194" t="s">
        <v>1491</v>
      </c>
      <c r="M60" s="194" t="s">
        <v>1491</v>
      </c>
      <c r="N60" s="194" t="s">
        <v>1501</v>
      </c>
      <c r="O60" s="194" t="s">
        <v>1491</v>
      </c>
      <c r="P60" s="194" t="s">
        <v>1491</v>
      </c>
      <c r="Q60" s="194" t="s">
        <v>1491</v>
      </c>
      <c r="R60" s="194" t="s">
        <v>1491</v>
      </c>
      <c r="S60" s="194" t="s">
        <v>1491</v>
      </c>
      <c r="T60" s="194" t="s">
        <v>1491</v>
      </c>
      <c r="U60" s="194" t="s">
        <v>1491</v>
      </c>
      <c r="V60" s="194" t="s">
        <v>1491</v>
      </c>
      <c r="W60" s="194" t="s">
        <v>1491</v>
      </c>
      <c r="X60" s="194" t="s">
        <v>1491</v>
      </c>
      <c r="Y60" s="194" t="s">
        <v>1491</v>
      </c>
      <c r="Z60" s="194" t="s">
        <v>1567</v>
      </c>
      <c r="AA60" s="194" t="s">
        <v>1491</v>
      </c>
      <c r="AB60" s="194" t="s">
        <v>1491</v>
      </c>
      <c r="AC60" s="194" t="s">
        <v>1491</v>
      </c>
      <c r="AD60" s="194" t="s">
        <v>1491</v>
      </c>
      <c r="AE60" s="194" t="s">
        <v>1491</v>
      </c>
      <c r="AF60" s="194" t="s">
        <v>1491</v>
      </c>
      <c r="AG60" s="194" t="s">
        <v>1491</v>
      </c>
      <c r="AH60" s="194" t="s">
        <v>1491</v>
      </c>
    </row>
    <row r="61" spans="1:34">
      <c r="A61" s="177">
        <v>57</v>
      </c>
      <c r="B61" s="176" t="s">
        <v>1107</v>
      </c>
      <c r="C61" s="176" t="s">
        <v>1024</v>
      </c>
      <c r="D61" t="s">
        <v>1496</v>
      </c>
      <c r="E61" s="194" t="s">
        <v>1536</v>
      </c>
      <c r="F61" s="194" t="s">
        <v>1491</v>
      </c>
      <c r="G61" s="194" t="s">
        <v>1568</v>
      </c>
      <c r="H61" s="194" t="s">
        <v>1491</v>
      </c>
      <c r="I61" s="194" t="s">
        <v>1491</v>
      </c>
      <c r="J61" s="194" t="s">
        <v>1500</v>
      </c>
      <c r="K61" s="194" t="s">
        <v>1491</v>
      </c>
      <c r="L61" s="194" t="s">
        <v>1491</v>
      </c>
      <c r="M61" s="194" t="s">
        <v>1569</v>
      </c>
      <c r="N61" s="194" t="s">
        <v>1491</v>
      </c>
      <c r="O61" s="194" t="s">
        <v>1491</v>
      </c>
      <c r="P61" s="194" t="s">
        <v>1491</v>
      </c>
      <c r="Q61" s="194" t="s">
        <v>1491</v>
      </c>
      <c r="R61" s="194" t="s">
        <v>1491</v>
      </c>
      <c r="S61" s="194" t="s">
        <v>1491</v>
      </c>
      <c r="T61" s="194" t="s">
        <v>1491</v>
      </c>
      <c r="U61" s="194" t="s">
        <v>1491</v>
      </c>
      <c r="V61" s="194" t="s">
        <v>1491</v>
      </c>
      <c r="W61" s="194" t="s">
        <v>1491</v>
      </c>
      <c r="X61" s="194" t="s">
        <v>1491</v>
      </c>
      <c r="Y61" s="194" t="s">
        <v>1491</v>
      </c>
      <c r="Z61" s="194" t="s">
        <v>1491</v>
      </c>
      <c r="AA61" s="194" t="s">
        <v>1528</v>
      </c>
      <c r="AB61" s="194" t="s">
        <v>1491</v>
      </c>
      <c r="AC61" s="194" t="s">
        <v>1491</v>
      </c>
      <c r="AD61" s="194" t="s">
        <v>1491</v>
      </c>
      <c r="AE61" s="194" t="s">
        <v>1491</v>
      </c>
      <c r="AF61" s="194" t="s">
        <v>1491</v>
      </c>
      <c r="AG61" s="194" t="s">
        <v>1491</v>
      </c>
      <c r="AH61" s="194" t="s">
        <v>1491</v>
      </c>
    </row>
    <row r="62" spans="1:34">
      <c r="A62" s="177">
        <v>58</v>
      </c>
      <c r="B62" s="176" t="s">
        <v>1109</v>
      </c>
      <c r="C62" s="176" t="s">
        <v>1024</v>
      </c>
      <c r="D62" t="s">
        <v>1496</v>
      </c>
      <c r="E62" s="194" t="s">
        <v>1570</v>
      </c>
      <c r="F62" s="194" t="s">
        <v>1491</v>
      </c>
      <c r="G62" s="194" t="s">
        <v>1491</v>
      </c>
      <c r="H62" s="194" t="s">
        <v>1491</v>
      </c>
      <c r="I62" s="194" t="s">
        <v>1491</v>
      </c>
      <c r="J62" s="194" t="s">
        <v>1500</v>
      </c>
      <c r="K62" s="194" t="s">
        <v>1491</v>
      </c>
      <c r="L62" s="194" t="s">
        <v>1491</v>
      </c>
      <c r="M62" s="194" t="s">
        <v>1491</v>
      </c>
      <c r="N62" s="194" t="s">
        <v>1491</v>
      </c>
      <c r="O62" s="194" t="s">
        <v>1491</v>
      </c>
      <c r="P62" s="194" t="s">
        <v>1491</v>
      </c>
      <c r="Q62" s="194" t="s">
        <v>1491</v>
      </c>
      <c r="R62" s="194" t="s">
        <v>1491</v>
      </c>
      <c r="S62" s="194" t="s">
        <v>1491</v>
      </c>
      <c r="T62" s="194" t="s">
        <v>1491</v>
      </c>
      <c r="U62" s="194" t="s">
        <v>1491</v>
      </c>
      <c r="V62" s="194" t="s">
        <v>1491</v>
      </c>
      <c r="W62" s="194" t="s">
        <v>1491</v>
      </c>
      <c r="X62" s="194" t="s">
        <v>1491</v>
      </c>
      <c r="Y62" s="194" t="s">
        <v>1491</v>
      </c>
      <c r="Z62" s="194" t="s">
        <v>1491</v>
      </c>
      <c r="AA62" s="194" t="s">
        <v>1528</v>
      </c>
      <c r="AB62" s="194" t="s">
        <v>1491</v>
      </c>
      <c r="AC62" s="194" t="s">
        <v>1491</v>
      </c>
      <c r="AD62" s="194" t="s">
        <v>1491</v>
      </c>
      <c r="AE62" s="194" t="s">
        <v>1491</v>
      </c>
      <c r="AF62" s="194" t="s">
        <v>1491</v>
      </c>
      <c r="AG62" s="194" t="s">
        <v>1491</v>
      </c>
      <c r="AH62" s="194" t="s">
        <v>1491</v>
      </c>
    </row>
    <row r="63" spans="1:34">
      <c r="A63" s="177">
        <v>59</v>
      </c>
      <c r="B63" s="176" t="s">
        <v>1110</v>
      </c>
      <c r="C63" s="176" t="s">
        <v>1024</v>
      </c>
      <c r="D63" t="s">
        <v>1496</v>
      </c>
      <c r="E63" s="194" t="s">
        <v>1491</v>
      </c>
      <c r="F63" s="194" t="s">
        <v>1491</v>
      </c>
      <c r="G63" s="194" t="s">
        <v>1491</v>
      </c>
      <c r="H63" s="194" t="s">
        <v>1491</v>
      </c>
      <c r="I63" s="194" t="s">
        <v>1491</v>
      </c>
      <c r="J63" s="194" t="s">
        <v>1491</v>
      </c>
      <c r="K63" s="194" t="s">
        <v>1491</v>
      </c>
      <c r="L63" s="194" t="s">
        <v>1491</v>
      </c>
      <c r="M63" s="194" t="s">
        <v>1491</v>
      </c>
      <c r="N63" s="194" t="s">
        <v>1505</v>
      </c>
      <c r="O63" s="194" t="s">
        <v>1491</v>
      </c>
      <c r="P63" s="194" t="s">
        <v>1491</v>
      </c>
      <c r="Q63" s="194" t="s">
        <v>1491</v>
      </c>
      <c r="R63" s="194" t="s">
        <v>1491</v>
      </c>
      <c r="S63" s="194" t="s">
        <v>1571</v>
      </c>
      <c r="T63" s="194" t="s">
        <v>1491</v>
      </c>
      <c r="U63" s="194" t="s">
        <v>1491</v>
      </c>
      <c r="V63" s="194" t="s">
        <v>1491</v>
      </c>
      <c r="W63" s="194" t="s">
        <v>1491</v>
      </c>
      <c r="X63" s="194" t="s">
        <v>1491</v>
      </c>
      <c r="Y63" s="194" t="s">
        <v>1491</v>
      </c>
      <c r="Z63" s="194" t="s">
        <v>1491</v>
      </c>
      <c r="AA63" s="194" t="s">
        <v>1572</v>
      </c>
      <c r="AB63" s="194" t="s">
        <v>1491</v>
      </c>
      <c r="AC63" s="194" t="s">
        <v>1491</v>
      </c>
      <c r="AD63" s="194" t="s">
        <v>1491</v>
      </c>
      <c r="AE63" s="194" t="s">
        <v>1491</v>
      </c>
      <c r="AF63" s="194" t="s">
        <v>1491</v>
      </c>
      <c r="AG63" s="194" t="s">
        <v>1573</v>
      </c>
      <c r="AH63" s="194" t="s">
        <v>1491</v>
      </c>
    </row>
    <row r="64" spans="1:34">
      <c r="A64" s="177">
        <v>60</v>
      </c>
      <c r="B64" s="176" t="s">
        <v>1112</v>
      </c>
      <c r="C64" s="176" t="s">
        <v>1024</v>
      </c>
      <c r="D64" t="s">
        <v>1496</v>
      </c>
      <c r="E64" s="194" t="s">
        <v>1574</v>
      </c>
      <c r="F64" s="194" t="s">
        <v>1491</v>
      </c>
      <c r="G64" s="194" t="s">
        <v>1491</v>
      </c>
      <c r="H64" s="194" t="s">
        <v>1491</v>
      </c>
      <c r="I64" s="194" t="s">
        <v>1491</v>
      </c>
      <c r="J64" s="194" t="s">
        <v>1491</v>
      </c>
      <c r="K64" s="194" t="s">
        <v>1491</v>
      </c>
      <c r="L64" s="194" t="s">
        <v>1491</v>
      </c>
      <c r="M64" s="194" t="s">
        <v>1491</v>
      </c>
      <c r="N64" s="194" t="s">
        <v>1501</v>
      </c>
      <c r="O64" s="194" t="s">
        <v>1491</v>
      </c>
      <c r="P64" s="194" t="s">
        <v>1491</v>
      </c>
      <c r="Q64" s="194" t="s">
        <v>1491</v>
      </c>
      <c r="R64" s="194" t="s">
        <v>1491</v>
      </c>
      <c r="S64" s="194" t="s">
        <v>1491</v>
      </c>
      <c r="T64" s="194" t="s">
        <v>1491</v>
      </c>
      <c r="U64" s="194" t="s">
        <v>1491</v>
      </c>
      <c r="V64" s="194" t="s">
        <v>1491</v>
      </c>
      <c r="W64" s="194" t="s">
        <v>1491</v>
      </c>
      <c r="X64" s="194" t="s">
        <v>1491</v>
      </c>
      <c r="Y64" s="194" t="s">
        <v>1491</v>
      </c>
      <c r="Z64" s="194" t="s">
        <v>1491</v>
      </c>
      <c r="AA64" s="194" t="s">
        <v>1491</v>
      </c>
      <c r="AB64" s="194" t="s">
        <v>1491</v>
      </c>
      <c r="AC64" s="194" t="s">
        <v>1491</v>
      </c>
      <c r="AD64" s="194" t="s">
        <v>1491</v>
      </c>
      <c r="AE64" s="194" t="s">
        <v>1491</v>
      </c>
      <c r="AF64" s="194" t="s">
        <v>1491</v>
      </c>
      <c r="AG64" s="194" t="s">
        <v>1491</v>
      </c>
      <c r="AH64" s="194" t="s">
        <v>1491</v>
      </c>
    </row>
    <row r="65" spans="1:34">
      <c r="A65" s="177">
        <v>61</v>
      </c>
      <c r="B65" s="176" t="s">
        <v>1113</v>
      </c>
      <c r="C65" s="176" t="s">
        <v>1024</v>
      </c>
      <c r="D65" t="s">
        <v>1496</v>
      </c>
      <c r="E65" s="194" t="s">
        <v>1491</v>
      </c>
      <c r="F65" s="194" t="s">
        <v>1491</v>
      </c>
      <c r="G65" s="194" t="s">
        <v>1575</v>
      </c>
      <c r="H65" s="194" t="s">
        <v>1491</v>
      </c>
      <c r="I65" s="194" t="s">
        <v>1491</v>
      </c>
      <c r="J65" s="194" t="s">
        <v>1576</v>
      </c>
      <c r="K65" s="194" t="s">
        <v>1491</v>
      </c>
      <c r="L65" s="194" t="s">
        <v>1491</v>
      </c>
      <c r="M65" s="194" t="s">
        <v>1491</v>
      </c>
      <c r="N65" s="194" t="s">
        <v>1577</v>
      </c>
      <c r="O65" s="194" t="s">
        <v>1491</v>
      </c>
      <c r="P65" s="194" t="s">
        <v>1491</v>
      </c>
      <c r="Q65" s="194" t="s">
        <v>1491</v>
      </c>
      <c r="R65" s="194" t="s">
        <v>1491</v>
      </c>
      <c r="S65" s="194" t="s">
        <v>1578</v>
      </c>
      <c r="T65" s="194" t="s">
        <v>1491</v>
      </c>
      <c r="U65" s="194" t="s">
        <v>1491</v>
      </c>
      <c r="V65" s="194" t="s">
        <v>1491</v>
      </c>
      <c r="W65" s="194" t="s">
        <v>1491</v>
      </c>
      <c r="X65" s="194" t="s">
        <v>1491</v>
      </c>
      <c r="Y65" s="194" t="s">
        <v>1491</v>
      </c>
      <c r="Z65" s="194" t="s">
        <v>1491</v>
      </c>
      <c r="AA65" s="194" t="s">
        <v>1491</v>
      </c>
      <c r="AB65" s="194" t="s">
        <v>1491</v>
      </c>
      <c r="AC65" s="194" t="s">
        <v>1491</v>
      </c>
      <c r="AD65" s="194" t="s">
        <v>1491</v>
      </c>
      <c r="AE65" s="194" t="s">
        <v>1491</v>
      </c>
      <c r="AF65" s="194" t="s">
        <v>1491</v>
      </c>
      <c r="AG65" s="194" t="s">
        <v>1491</v>
      </c>
      <c r="AH65" s="194" t="s">
        <v>1491</v>
      </c>
    </row>
    <row r="66" spans="1:34">
      <c r="A66" s="177">
        <v>62</v>
      </c>
      <c r="B66" s="176" t="s">
        <v>1115</v>
      </c>
      <c r="C66" s="176" t="s">
        <v>1024</v>
      </c>
      <c r="D66" t="s">
        <v>1496</v>
      </c>
      <c r="E66" s="194" t="s">
        <v>1491</v>
      </c>
      <c r="F66" s="194" t="s">
        <v>1491</v>
      </c>
      <c r="G66" s="194" t="s">
        <v>1491</v>
      </c>
      <c r="H66" s="194" t="s">
        <v>1491</v>
      </c>
      <c r="I66" s="194" t="s">
        <v>1491</v>
      </c>
      <c r="J66" s="194" t="s">
        <v>1491</v>
      </c>
      <c r="K66" s="194" t="s">
        <v>1491</v>
      </c>
      <c r="L66" s="194" t="s">
        <v>1491</v>
      </c>
      <c r="M66" s="194" t="s">
        <v>1491</v>
      </c>
      <c r="N66" s="194" t="s">
        <v>1530</v>
      </c>
      <c r="O66" s="194" t="s">
        <v>1491</v>
      </c>
      <c r="P66" s="194" t="s">
        <v>1491</v>
      </c>
      <c r="Q66" s="194" t="s">
        <v>1579</v>
      </c>
      <c r="R66" s="194" t="s">
        <v>1491</v>
      </c>
      <c r="S66" s="194" t="s">
        <v>1491</v>
      </c>
      <c r="T66" s="194" t="s">
        <v>1491</v>
      </c>
      <c r="U66" s="194" t="s">
        <v>1491</v>
      </c>
      <c r="V66" s="194" t="s">
        <v>1491</v>
      </c>
      <c r="W66" s="194" t="s">
        <v>1491</v>
      </c>
      <c r="X66" s="194" t="s">
        <v>1491</v>
      </c>
      <c r="Y66" s="194" t="s">
        <v>1491</v>
      </c>
      <c r="Z66" s="194" t="s">
        <v>1491</v>
      </c>
      <c r="AA66" s="194" t="s">
        <v>1491</v>
      </c>
      <c r="AB66" s="194" t="s">
        <v>1491</v>
      </c>
      <c r="AC66" s="194" t="s">
        <v>1491</v>
      </c>
      <c r="AD66" s="194" t="s">
        <v>1491</v>
      </c>
      <c r="AE66" s="194" t="s">
        <v>1491</v>
      </c>
      <c r="AF66" s="194" t="s">
        <v>1491</v>
      </c>
      <c r="AG66" s="194" t="s">
        <v>1491</v>
      </c>
      <c r="AH66" s="194" t="s">
        <v>1491</v>
      </c>
    </row>
    <row r="67" spans="1:34">
      <c r="A67" s="177">
        <v>63</v>
      </c>
      <c r="B67" s="176" t="s">
        <v>1115</v>
      </c>
      <c r="C67" s="176" t="s">
        <v>1024</v>
      </c>
      <c r="D67" t="s">
        <v>1496</v>
      </c>
      <c r="E67" s="194" t="s">
        <v>1491</v>
      </c>
      <c r="F67" s="194" t="s">
        <v>1491</v>
      </c>
      <c r="G67" s="194" t="s">
        <v>1491</v>
      </c>
      <c r="H67" s="194" t="s">
        <v>1491</v>
      </c>
      <c r="I67" s="194" t="s">
        <v>1491</v>
      </c>
      <c r="J67" s="194" t="s">
        <v>1491</v>
      </c>
      <c r="K67" s="194" t="s">
        <v>1491</v>
      </c>
      <c r="L67" s="194" t="s">
        <v>1491</v>
      </c>
      <c r="M67" s="194" t="s">
        <v>1491</v>
      </c>
      <c r="N67" s="194" t="s">
        <v>1530</v>
      </c>
      <c r="O67" s="194" t="s">
        <v>1491</v>
      </c>
      <c r="P67" s="194" t="s">
        <v>1491</v>
      </c>
      <c r="Q67" s="194" t="s">
        <v>1579</v>
      </c>
      <c r="R67" s="194" t="s">
        <v>1491</v>
      </c>
      <c r="S67" s="194" t="s">
        <v>1491</v>
      </c>
      <c r="T67" s="194" t="s">
        <v>1491</v>
      </c>
      <c r="U67" s="194" t="s">
        <v>1491</v>
      </c>
      <c r="V67" s="194" t="s">
        <v>1491</v>
      </c>
      <c r="W67" s="194" t="s">
        <v>1491</v>
      </c>
      <c r="X67" s="194" t="s">
        <v>1491</v>
      </c>
      <c r="Y67" s="194" t="s">
        <v>1491</v>
      </c>
      <c r="Z67" s="194" t="s">
        <v>1491</v>
      </c>
      <c r="AA67" s="194" t="s">
        <v>1491</v>
      </c>
      <c r="AB67" s="194" t="s">
        <v>1491</v>
      </c>
      <c r="AC67" s="194" t="s">
        <v>1491</v>
      </c>
      <c r="AD67" s="194" t="s">
        <v>1491</v>
      </c>
      <c r="AE67" s="194" t="s">
        <v>1491</v>
      </c>
      <c r="AF67" s="194" t="s">
        <v>1491</v>
      </c>
      <c r="AG67" s="194" t="s">
        <v>1491</v>
      </c>
      <c r="AH67" s="194" t="s">
        <v>1491</v>
      </c>
    </row>
    <row r="68" spans="1:34">
      <c r="A68" s="177">
        <v>64</v>
      </c>
      <c r="B68" s="176" t="s">
        <v>1115</v>
      </c>
      <c r="C68" s="176" t="s">
        <v>1024</v>
      </c>
      <c r="D68" t="s">
        <v>1496</v>
      </c>
      <c r="E68" s="194" t="s">
        <v>1491</v>
      </c>
      <c r="F68" s="194" t="s">
        <v>1491</v>
      </c>
      <c r="G68" s="194" t="s">
        <v>1491</v>
      </c>
      <c r="H68" s="194" t="s">
        <v>1491</v>
      </c>
      <c r="I68" s="194" t="s">
        <v>1491</v>
      </c>
      <c r="J68" s="194" t="s">
        <v>1491</v>
      </c>
      <c r="K68" s="194" t="s">
        <v>1491</v>
      </c>
      <c r="L68" s="194" t="s">
        <v>1491</v>
      </c>
      <c r="M68" s="194" t="s">
        <v>1491</v>
      </c>
      <c r="N68" s="194" t="s">
        <v>1530</v>
      </c>
      <c r="O68" s="194" t="s">
        <v>1491</v>
      </c>
      <c r="P68" s="194" t="s">
        <v>1491</v>
      </c>
      <c r="Q68" s="194" t="s">
        <v>1579</v>
      </c>
      <c r="R68" s="194" t="s">
        <v>1491</v>
      </c>
      <c r="S68" s="194" t="s">
        <v>1491</v>
      </c>
      <c r="T68" s="194" t="s">
        <v>1491</v>
      </c>
      <c r="U68" s="194" t="s">
        <v>1491</v>
      </c>
      <c r="V68" s="194" t="s">
        <v>1491</v>
      </c>
      <c r="W68" s="194" t="s">
        <v>1491</v>
      </c>
      <c r="X68" s="194" t="s">
        <v>1491</v>
      </c>
      <c r="Y68" s="194" t="s">
        <v>1491</v>
      </c>
      <c r="Z68" s="194" t="s">
        <v>1491</v>
      </c>
      <c r="AA68" s="194" t="s">
        <v>1491</v>
      </c>
      <c r="AB68" s="194" t="s">
        <v>1491</v>
      </c>
      <c r="AC68" s="194" t="s">
        <v>1491</v>
      </c>
      <c r="AD68" s="194" t="s">
        <v>1491</v>
      </c>
      <c r="AE68" s="194" t="s">
        <v>1491</v>
      </c>
      <c r="AF68" s="194" t="s">
        <v>1491</v>
      </c>
      <c r="AG68" s="194" t="s">
        <v>1491</v>
      </c>
      <c r="AH68" s="194" t="s">
        <v>1491</v>
      </c>
    </row>
    <row r="69" spans="1:34">
      <c r="A69" s="177">
        <v>65</v>
      </c>
      <c r="B69" s="176" t="s">
        <v>1119</v>
      </c>
      <c r="C69" s="176" t="s">
        <v>1024</v>
      </c>
      <c r="D69" t="s">
        <v>1496</v>
      </c>
      <c r="E69" s="194" t="s">
        <v>1491</v>
      </c>
      <c r="F69" s="194" t="s">
        <v>1491</v>
      </c>
      <c r="G69" s="194" t="s">
        <v>1491</v>
      </c>
      <c r="H69" s="194" t="s">
        <v>1491</v>
      </c>
      <c r="I69" s="194" t="s">
        <v>1491</v>
      </c>
      <c r="J69" s="194" t="s">
        <v>1491</v>
      </c>
      <c r="K69" s="194" t="s">
        <v>1491</v>
      </c>
      <c r="L69" s="194" t="s">
        <v>1491</v>
      </c>
      <c r="M69" s="194" t="s">
        <v>1491</v>
      </c>
      <c r="N69" s="194" t="s">
        <v>1530</v>
      </c>
      <c r="O69" s="194" t="s">
        <v>1491</v>
      </c>
      <c r="P69" s="194" t="s">
        <v>1491</v>
      </c>
      <c r="Q69" s="194" t="s">
        <v>1579</v>
      </c>
      <c r="R69" s="194" t="s">
        <v>1491</v>
      </c>
      <c r="S69" s="194" t="s">
        <v>1491</v>
      </c>
      <c r="T69" s="194" t="s">
        <v>1491</v>
      </c>
      <c r="U69" s="194" t="s">
        <v>1491</v>
      </c>
      <c r="V69" s="194" t="s">
        <v>1491</v>
      </c>
      <c r="W69" s="194" t="s">
        <v>1491</v>
      </c>
      <c r="X69" s="194" t="s">
        <v>1580</v>
      </c>
      <c r="Y69" s="194" t="s">
        <v>1491</v>
      </c>
      <c r="Z69" s="194" t="s">
        <v>1491</v>
      </c>
      <c r="AA69" s="194" t="s">
        <v>1491</v>
      </c>
      <c r="AB69" s="194" t="s">
        <v>1491</v>
      </c>
      <c r="AC69" s="194" t="s">
        <v>1491</v>
      </c>
      <c r="AD69" s="194" t="s">
        <v>1491</v>
      </c>
      <c r="AE69" s="194" t="s">
        <v>1491</v>
      </c>
      <c r="AF69" s="194" t="s">
        <v>1491</v>
      </c>
      <c r="AG69" s="194" t="s">
        <v>1491</v>
      </c>
      <c r="AH69" s="194" t="s">
        <v>1491</v>
      </c>
    </row>
    <row r="70" spans="1:34">
      <c r="A70" s="177">
        <v>66</v>
      </c>
      <c r="B70" s="176" t="s">
        <v>1119</v>
      </c>
      <c r="C70" s="176" t="s">
        <v>1024</v>
      </c>
      <c r="D70" t="s">
        <v>1496</v>
      </c>
      <c r="E70" s="194" t="s">
        <v>1491</v>
      </c>
      <c r="F70" s="194" t="s">
        <v>1491</v>
      </c>
      <c r="G70" s="194" t="s">
        <v>1491</v>
      </c>
      <c r="H70" s="194" t="s">
        <v>1491</v>
      </c>
      <c r="I70" s="194" t="s">
        <v>1491</v>
      </c>
      <c r="J70" s="194" t="s">
        <v>1491</v>
      </c>
      <c r="K70" s="194" t="s">
        <v>1491</v>
      </c>
      <c r="L70" s="194" t="s">
        <v>1491</v>
      </c>
      <c r="M70" s="194" t="s">
        <v>1491</v>
      </c>
      <c r="N70" s="194" t="s">
        <v>1530</v>
      </c>
      <c r="O70" s="194" t="s">
        <v>1491</v>
      </c>
      <c r="P70" s="194" t="s">
        <v>1491</v>
      </c>
      <c r="Q70" s="194" t="s">
        <v>1579</v>
      </c>
      <c r="R70" s="194" t="s">
        <v>1491</v>
      </c>
      <c r="S70" s="194" t="s">
        <v>1491</v>
      </c>
      <c r="T70" s="194" t="s">
        <v>1491</v>
      </c>
      <c r="U70" s="194" t="s">
        <v>1491</v>
      </c>
      <c r="V70" s="194" t="s">
        <v>1491</v>
      </c>
      <c r="W70" s="194" t="s">
        <v>1491</v>
      </c>
      <c r="X70" s="194" t="s">
        <v>1580</v>
      </c>
      <c r="Y70" s="194" t="s">
        <v>1491</v>
      </c>
      <c r="Z70" s="194" t="s">
        <v>1491</v>
      </c>
      <c r="AA70" s="194" t="s">
        <v>1491</v>
      </c>
      <c r="AB70" s="194" t="s">
        <v>1491</v>
      </c>
      <c r="AC70" s="194" t="s">
        <v>1491</v>
      </c>
      <c r="AD70" s="194" t="s">
        <v>1491</v>
      </c>
      <c r="AE70" s="194" t="s">
        <v>1491</v>
      </c>
      <c r="AF70" s="194" t="s">
        <v>1491</v>
      </c>
      <c r="AG70" s="194" t="s">
        <v>1491</v>
      </c>
      <c r="AH70" s="194" t="s">
        <v>1491</v>
      </c>
    </row>
    <row r="71" spans="1:34">
      <c r="A71" s="177">
        <v>67</v>
      </c>
      <c r="B71" s="176" t="s">
        <v>1122</v>
      </c>
      <c r="C71" s="176" t="s">
        <v>1024</v>
      </c>
      <c r="D71" t="s">
        <v>1496</v>
      </c>
      <c r="E71" s="194" t="s">
        <v>1491</v>
      </c>
      <c r="F71" s="194" t="s">
        <v>1491</v>
      </c>
      <c r="G71" s="194" t="s">
        <v>1491</v>
      </c>
      <c r="H71" s="194" t="s">
        <v>1491</v>
      </c>
      <c r="I71" s="194" t="s">
        <v>1491</v>
      </c>
      <c r="J71" s="194" t="s">
        <v>1500</v>
      </c>
      <c r="K71" s="194" t="s">
        <v>1491</v>
      </c>
      <c r="L71" s="194" t="s">
        <v>1491</v>
      </c>
      <c r="M71" s="194" t="s">
        <v>1491</v>
      </c>
      <c r="N71" s="194" t="s">
        <v>1530</v>
      </c>
      <c r="O71" s="194" t="s">
        <v>1491</v>
      </c>
      <c r="P71" s="194" t="s">
        <v>1491</v>
      </c>
      <c r="Q71" s="194" t="s">
        <v>1579</v>
      </c>
      <c r="R71" s="194" t="s">
        <v>1491</v>
      </c>
      <c r="S71" s="194" t="s">
        <v>1491</v>
      </c>
      <c r="T71" s="194" t="s">
        <v>1491</v>
      </c>
      <c r="U71" s="194" t="s">
        <v>1491</v>
      </c>
      <c r="V71" s="194" t="s">
        <v>1491</v>
      </c>
      <c r="W71" s="194" t="s">
        <v>1491</v>
      </c>
      <c r="X71" s="194" t="s">
        <v>1491</v>
      </c>
      <c r="Y71" s="194" t="s">
        <v>1491</v>
      </c>
      <c r="Z71" s="194" t="s">
        <v>1491</v>
      </c>
      <c r="AA71" s="194" t="s">
        <v>1491</v>
      </c>
      <c r="AB71" s="194" t="s">
        <v>1491</v>
      </c>
      <c r="AC71" s="194" t="s">
        <v>1491</v>
      </c>
      <c r="AD71" s="194" t="s">
        <v>1491</v>
      </c>
      <c r="AE71" s="194" t="s">
        <v>1491</v>
      </c>
      <c r="AF71" s="194" t="s">
        <v>1491</v>
      </c>
      <c r="AG71" s="194" t="s">
        <v>1491</v>
      </c>
      <c r="AH71" s="194" t="s">
        <v>1491</v>
      </c>
    </row>
    <row r="72" spans="1:34">
      <c r="A72" s="177">
        <v>68</v>
      </c>
      <c r="B72" s="176" t="s">
        <v>1124</v>
      </c>
      <c r="C72" s="176" t="s">
        <v>1024</v>
      </c>
      <c r="D72" t="s">
        <v>1496</v>
      </c>
      <c r="E72" s="194" t="s">
        <v>1491</v>
      </c>
      <c r="F72" s="194" t="s">
        <v>1491</v>
      </c>
      <c r="G72" s="194" t="s">
        <v>1491</v>
      </c>
      <c r="H72" s="194" t="s">
        <v>1491</v>
      </c>
      <c r="I72" s="194" t="s">
        <v>1581</v>
      </c>
      <c r="J72" s="194" t="s">
        <v>1500</v>
      </c>
      <c r="K72" s="194" t="s">
        <v>1491</v>
      </c>
      <c r="L72" s="194" t="s">
        <v>1491</v>
      </c>
      <c r="M72" s="194" t="s">
        <v>1491</v>
      </c>
      <c r="N72" s="194" t="s">
        <v>1530</v>
      </c>
      <c r="O72" s="194" t="s">
        <v>1491</v>
      </c>
      <c r="P72" s="194" t="s">
        <v>1491</v>
      </c>
      <c r="Q72" s="194" t="s">
        <v>1579</v>
      </c>
      <c r="R72" s="194" t="s">
        <v>1491</v>
      </c>
      <c r="S72" s="194" t="s">
        <v>1491</v>
      </c>
      <c r="T72" s="194" t="s">
        <v>1491</v>
      </c>
      <c r="U72" s="194" t="s">
        <v>1491</v>
      </c>
      <c r="V72" s="194" t="s">
        <v>1491</v>
      </c>
      <c r="W72" s="194" t="s">
        <v>1491</v>
      </c>
      <c r="X72" s="194" t="s">
        <v>1491</v>
      </c>
      <c r="Y72" s="194" t="s">
        <v>1491</v>
      </c>
      <c r="Z72" s="194" t="s">
        <v>1582</v>
      </c>
      <c r="AA72" s="194" t="s">
        <v>1491</v>
      </c>
      <c r="AB72" s="194" t="s">
        <v>1491</v>
      </c>
      <c r="AC72" s="194" t="s">
        <v>1491</v>
      </c>
      <c r="AD72" s="194" t="s">
        <v>1491</v>
      </c>
      <c r="AE72" s="194" t="s">
        <v>1491</v>
      </c>
      <c r="AF72" s="194" t="s">
        <v>1491</v>
      </c>
      <c r="AG72" s="194" t="s">
        <v>1491</v>
      </c>
      <c r="AH72" s="194" t="s">
        <v>1491</v>
      </c>
    </row>
    <row r="73" spans="1:34">
      <c r="A73" s="177">
        <v>69</v>
      </c>
      <c r="B73" s="176" t="s">
        <v>1124</v>
      </c>
      <c r="C73" s="176" t="s">
        <v>1024</v>
      </c>
      <c r="D73" t="s">
        <v>1496</v>
      </c>
      <c r="E73" s="194" t="s">
        <v>1491</v>
      </c>
      <c r="F73" s="194" t="s">
        <v>1491</v>
      </c>
      <c r="G73" s="194" t="s">
        <v>1491</v>
      </c>
      <c r="H73" s="194" t="s">
        <v>1491</v>
      </c>
      <c r="I73" s="194" t="s">
        <v>1581</v>
      </c>
      <c r="J73" s="194" t="s">
        <v>1500</v>
      </c>
      <c r="K73" s="194" t="s">
        <v>1491</v>
      </c>
      <c r="L73" s="194" t="s">
        <v>1491</v>
      </c>
      <c r="M73" s="194" t="s">
        <v>1491</v>
      </c>
      <c r="N73" s="194" t="s">
        <v>1530</v>
      </c>
      <c r="O73" s="194" t="s">
        <v>1491</v>
      </c>
      <c r="P73" s="194" t="s">
        <v>1491</v>
      </c>
      <c r="Q73" s="194" t="s">
        <v>1579</v>
      </c>
      <c r="R73" s="194" t="s">
        <v>1491</v>
      </c>
      <c r="S73" s="194" t="s">
        <v>1491</v>
      </c>
      <c r="T73" s="194" t="s">
        <v>1491</v>
      </c>
      <c r="U73" s="194" t="s">
        <v>1491</v>
      </c>
      <c r="V73" s="194" t="s">
        <v>1491</v>
      </c>
      <c r="W73" s="194" t="s">
        <v>1491</v>
      </c>
      <c r="X73" s="194" t="s">
        <v>1491</v>
      </c>
      <c r="Y73" s="194" t="s">
        <v>1491</v>
      </c>
      <c r="Z73" s="194" t="s">
        <v>1582</v>
      </c>
      <c r="AA73" s="194" t="s">
        <v>1491</v>
      </c>
      <c r="AB73" s="194" t="s">
        <v>1491</v>
      </c>
      <c r="AC73" s="194" t="s">
        <v>1491</v>
      </c>
      <c r="AD73" s="194" t="s">
        <v>1491</v>
      </c>
      <c r="AE73" s="194" t="s">
        <v>1491</v>
      </c>
      <c r="AF73" s="194" t="s">
        <v>1491</v>
      </c>
      <c r="AG73" s="194" t="s">
        <v>1491</v>
      </c>
      <c r="AH73" s="194" t="s">
        <v>1491</v>
      </c>
    </row>
    <row r="74" spans="1:34">
      <c r="A74" s="177">
        <v>70</v>
      </c>
      <c r="B74" s="176" t="s">
        <v>1127</v>
      </c>
      <c r="C74" s="176" t="s">
        <v>1024</v>
      </c>
      <c r="D74" t="s">
        <v>1496</v>
      </c>
      <c r="E74" s="194" t="s">
        <v>1491</v>
      </c>
      <c r="F74" s="194" t="s">
        <v>1491</v>
      </c>
      <c r="G74" s="194" t="s">
        <v>1491</v>
      </c>
      <c r="H74" s="194" t="s">
        <v>1491</v>
      </c>
      <c r="I74" s="194" t="s">
        <v>1491</v>
      </c>
      <c r="J74" s="194" t="s">
        <v>1491</v>
      </c>
      <c r="K74" s="194" t="s">
        <v>1491</v>
      </c>
      <c r="L74" s="194" t="s">
        <v>1491</v>
      </c>
      <c r="M74" s="194" t="s">
        <v>1491</v>
      </c>
      <c r="N74" s="194" t="s">
        <v>1541</v>
      </c>
      <c r="O74" s="194" t="s">
        <v>1491</v>
      </c>
      <c r="P74" s="194" t="s">
        <v>1491</v>
      </c>
      <c r="Q74" s="194" t="s">
        <v>1579</v>
      </c>
      <c r="R74" s="194" t="s">
        <v>1491</v>
      </c>
      <c r="S74" s="194" t="s">
        <v>1491</v>
      </c>
      <c r="T74" s="194" t="s">
        <v>1491</v>
      </c>
      <c r="U74" s="194" t="s">
        <v>1557</v>
      </c>
      <c r="V74" s="194" t="s">
        <v>1491</v>
      </c>
      <c r="W74" s="194" t="s">
        <v>1491</v>
      </c>
      <c r="X74" s="194" t="s">
        <v>1491</v>
      </c>
      <c r="Y74" s="194" t="s">
        <v>1491</v>
      </c>
      <c r="Z74" s="194" t="s">
        <v>1491</v>
      </c>
      <c r="AA74" s="194" t="s">
        <v>1491</v>
      </c>
      <c r="AB74" s="194" t="s">
        <v>1491</v>
      </c>
      <c r="AC74" s="194" t="s">
        <v>1491</v>
      </c>
      <c r="AD74" s="194" t="s">
        <v>1491</v>
      </c>
      <c r="AE74" s="194" t="s">
        <v>1491</v>
      </c>
      <c r="AF74" s="194" t="s">
        <v>1491</v>
      </c>
      <c r="AG74" s="194" t="s">
        <v>1491</v>
      </c>
      <c r="AH74" s="194" t="s">
        <v>1491</v>
      </c>
    </row>
    <row r="75" spans="1:34">
      <c r="A75" s="177">
        <v>71</v>
      </c>
      <c r="B75" s="176" t="s">
        <v>1128</v>
      </c>
      <c r="C75" s="176" t="s">
        <v>1583</v>
      </c>
      <c r="D75" t="s">
        <v>1496</v>
      </c>
      <c r="E75" s="194" t="s">
        <v>1491</v>
      </c>
      <c r="F75" s="194" t="s">
        <v>1491</v>
      </c>
      <c r="G75" s="194" t="s">
        <v>1584</v>
      </c>
      <c r="H75" s="194" t="s">
        <v>1491</v>
      </c>
      <c r="I75" s="194" t="s">
        <v>1491</v>
      </c>
      <c r="J75" s="194" t="s">
        <v>1491</v>
      </c>
      <c r="K75" s="194" t="s">
        <v>1491</v>
      </c>
      <c r="L75" s="194" t="s">
        <v>1491</v>
      </c>
      <c r="M75" s="194" t="s">
        <v>1491</v>
      </c>
      <c r="N75" s="194" t="s">
        <v>1585</v>
      </c>
      <c r="O75" s="194" t="s">
        <v>1491</v>
      </c>
      <c r="P75" s="194" t="s">
        <v>1491</v>
      </c>
      <c r="Q75" s="194" t="s">
        <v>1491</v>
      </c>
      <c r="R75" s="194" t="s">
        <v>1491</v>
      </c>
      <c r="S75" s="194" t="s">
        <v>1491</v>
      </c>
      <c r="T75" s="194" t="s">
        <v>1491</v>
      </c>
      <c r="U75" s="194" t="s">
        <v>1491</v>
      </c>
      <c r="V75" s="194" t="s">
        <v>1491</v>
      </c>
      <c r="W75" s="194" t="s">
        <v>1491</v>
      </c>
      <c r="X75" s="194" t="s">
        <v>1491</v>
      </c>
      <c r="Y75" s="194" t="s">
        <v>1491</v>
      </c>
      <c r="Z75" s="194" t="s">
        <v>1491</v>
      </c>
      <c r="AA75" s="194" t="s">
        <v>1491</v>
      </c>
      <c r="AB75" s="194" t="s">
        <v>1491</v>
      </c>
      <c r="AC75" s="194" t="s">
        <v>1491</v>
      </c>
      <c r="AD75" s="194" t="s">
        <v>1491</v>
      </c>
      <c r="AE75" s="194" t="s">
        <v>1491</v>
      </c>
      <c r="AF75" s="194" t="s">
        <v>1491</v>
      </c>
      <c r="AG75" s="194" t="s">
        <v>1491</v>
      </c>
      <c r="AH75" s="194" t="s">
        <v>1491</v>
      </c>
    </row>
    <row r="76" spans="1:34">
      <c r="A76" s="177">
        <v>72</v>
      </c>
      <c r="B76" s="176" t="s">
        <v>1129</v>
      </c>
      <c r="C76" s="176" t="s">
        <v>1583</v>
      </c>
      <c r="D76" t="s">
        <v>1496</v>
      </c>
      <c r="E76" s="194" t="s">
        <v>1491</v>
      </c>
      <c r="F76" s="194" t="s">
        <v>1491</v>
      </c>
      <c r="G76" s="194" t="s">
        <v>1491</v>
      </c>
      <c r="H76" s="194" t="s">
        <v>1491</v>
      </c>
      <c r="I76" s="194" t="s">
        <v>1491</v>
      </c>
      <c r="J76" s="194" t="s">
        <v>1491</v>
      </c>
      <c r="K76" s="194" t="s">
        <v>1491</v>
      </c>
      <c r="L76" s="194" t="s">
        <v>1491</v>
      </c>
      <c r="M76" s="194" t="s">
        <v>1586</v>
      </c>
      <c r="N76" s="194" t="s">
        <v>1585</v>
      </c>
      <c r="O76" s="194" t="s">
        <v>1491</v>
      </c>
      <c r="P76" s="194" t="s">
        <v>1491</v>
      </c>
      <c r="Q76" s="194" t="s">
        <v>1491</v>
      </c>
      <c r="R76" s="194" t="s">
        <v>1491</v>
      </c>
      <c r="S76" s="194" t="s">
        <v>1491</v>
      </c>
      <c r="T76" s="194" t="s">
        <v>1491</v>
      </c>
      <c r="U76" s="194" t="s">
        <v>1491</v>
      </c>
      <c r="V76" s="194" t="s">
        <v>1491</v>
      </c>
      <c r="W76" s="194" t="s">
        <v>1491</v>
      </c>
      <c r="X76" s="194" t="s">
        <v>1491</v>
      </c>
      <c r="Y76" s="194" t="s">
        <v>1491</v>
      </c>
      <c r="Z76" s="194" t="s">
        <v>1491</v>
      </c>
      <c r="AA76" s="194" t="s">
        <v>1491</v>
      </c>
      <c r="AB76" s="194" t="s">
        <v>1491</v>
      </c>
      <c r="AC76" s="194" t="s">
        <v>1491</v>
      </c>
      <c r="AD76" s="194" t="s">
        <v>1491</v>
      </c>
      <c r="AE76" s="194" t="s">
        <v>1491</v>
      </c>
      <c r="AF76" s="194" t="s">
        <v>1491</v>
      </c>
      <c r="AG76" s="194" t="s">
        <v>1491</v>
      </c>
      <c r="AH76" s="194" t="s">
        <v>1491</v>
      </c>
    </row>
    <row r="77" spans="1:34">
      <c r="A77" s="177">
        <v>73</v>
      </c>
      <c r="B77" s="176" t="s">
        <v>1131</v>
      </c>
      <c r="C77" s="176" t="s">
        <v>1024</v>
      </c>
      <c r="D77" t="s">
        <v>1496</v>
      </c>
      <c r="E77" s="194" t="s">
        <v>1558</v>
      </c>
      <c r="F77" s="194" t="s">
        <v>1491</v>
      </c>
      <c r="G77" s="194" t="s">
        <v>1491</v>
      </c>
      <c r="H77" s="194" t="s">
        <v>1491</v>
      </c>
      <c r="I77" s="194" t="s">
        <v>1491</v>
      </c>
      <c r="J77" s="194" t="s">
        <v>1491</v>
      </c>
      <c r="K77" s="194" t="s">
        <v>1491</v>
      </c>
      <c r="L77" s="194" t="s">
        <v>1491</v>
      </c>
      <c r="M77" s="194" t="s">
        <v>1491</v>
      </c>
      <c r="N77" s="194" t="s">
        <v>1501</v>
      </c>
      <c r="O77" s="194" t="s">
        <v>1491</v>
      </c>
      <c r="P77" s="194" t="s">
        <v>1491</v>
      </c>
      <c r="Q77" s="194" t="s">
        <v>1491</v>
      </c>
      <c r="R77" s="194" t="s">
        <v>1491</v>
      </c>
      <c r="S77" s="194" t="s">
        <v>1491</v>
      </c>
      <c r="T77" s="194" t="s">
        <v>1587</v>
      </c>
      <c r="U77" s="194" t="s">
        <v>1491</v>
      </c>
      <c r="V77" s="194" t="s">
        <v>1491</v>
      </c>
      <c r="W77" s="194" t="s">
        <v>1491</v>
      </c>
      <c r="X77" s="194" t="s">
        <v>1491</v>
      </c>
      <c r="Y77" s="194" t="s">
        <v>1491</v>
      </c>
      <c r="Z77" s="194" t="s">
        <v>1491</v>
      </c>
      <c r="AA77" s="194" t="s">
        <v>1588</v>
      </c>
      <c r="AB77" s="194" t="s">
        <v>1491</v>
      </c>
      <c r="AC77" s="194" t="s">
        <v>1491</v>
      </c>
      <c r="AD77" s="194" t="s">
        <v>1491</v>
      </c>
      <c r="AE77" s="194" t="s">
        <v>1491</v>
      </c>
      <c r="AF77" s="194" t="s">
        <v>1491</v>
      </c>
      <c r="AG77" s="194" t="s">
        <v>1491</v>
      </c>
      <c r="AH77" s="194" t="s">
        <v>1491</v>
      </c>
    </row>
    <row r="78" spans="1:34">
      <c r="A78" s="177">
        <v>74</v>
      </c>
      <c r="B78" s="176" t="s">
        <v>1149</v>
      </c>
      <c r="C78" s="176" t="s">
        <v>1589</v>
      </c>
      <c r="D78" t="s">
        <v>1496</v>
      </c>
      <c r="E78" s="218" t="s">
        <v>1590</v>
      </c>
      <c r="F78" s="219"/>
      <c r="G78" s="219"/>
      <c r="H78" s="219"/>
      <c r="I78" s="219"/>
      <c r="J78" s="219"/>
      <c r="K78" s="219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  <c r="Z78" s="219"/>
      <c r="AA78" s="219"/>
      <c r="AB78" s="219"/>
      <c r="AC78" s="219"/>
      <c r="AD78" s="219"/>
      <c r="AE78" s="219"/>
      <c r="AF78" s="219"/>
      <c r="AG78" s="219"/>
      <c r="AH78" s="219"/>
    </row>
    <row r="79" spans="1:34">
      <c r="A79" s="177">
        <v>75</v>
      </c>
      <c r="B79" s="176" t="s">
        <v>1152</v>
      </c>
      <c r="C79" s="176" t="s">
        <v>1589</v>
      </c>
      <c r="D79" t="s">
        <v>1496</v>
      </c>
      <c r="E79" s="220" t="s">
        <v>1590</v>
      </c>
      <c r="F79" s="221"/>
      <c r="G79" s="221"/>
      <c r="H79" s="221"/>
      <c r="I79" s="221"/>
      <c r="J79" s="221"/>
      <c r="K79" s="221"/>
      <c r="L79" s="221"/>
      <c r="M79" s="221"/>
      <c r="N79" s="221"/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  <c r="Z79" s="221"/>
      <c r="AA79" s="221"/>
      <c r="AB79" s="221"/>
      <c r="AC79" s="221"/>
      <c r="AD79" s="221"/>
      <c r="AE79" s="221"/>
      <c r="AF79" s="221"/>
      <c r="AG79" s="221"/>
      <c r="AH79" s="221"/>
    </row>
    <row r="80" spans="1:34">
      <c r="A80" s="177">
        <v>76</v>
      </c>
      <c r="B80" s="176" t="s">
        <v>1157</v>
      </c>
      <c r="C80" s="176" t="s">
        <v>1589</v>
      </c>
      <c r="D80" t="s">
        <v>1496</v>
      </c>
      <c r="E80" s="220" t="s">
        <v>1590</v>
      </c>
      <c r="F80" s="221"/>
      <c r="G80" s="221"/>
      <c r="H80" s="221"/>
      <c r="I80" s="221"/>
      <c r="J80" s="221"/>
      <c r="K80" s="221"/>
      <c r="L80" s="221"/>
      <c r="M80" s="221"/>
      <c r="N80" s="221"/>
      <c r="O80" s="221"/>
      <c r="P80" s="221"/>
      <c r="Q80" s="221"/>
      <c r="R80" s="221"/>
      <c r="S80" s="221"/>
      <c r="T80" s="221"/>
      <c r="U80" s="221"/>
      <c r="V80" s="221"/>
      <c r="W80" s="221"/>
      <c r="X80" s="221"/>
      <c r="Y80" s="221"/>
      <c r="Z80" s="221"/>
      <c r="AA80" s="221"/>
      <c r="AB80" s="221"/>
      <c r="AC80" s="221"/>
      <c r="AD80" s="221"/>
      <c r="AE80" s="221"/>
      <c r="AF80" s="221"/>
      <c r="AG80" s="221"/>
      <c r="AH80" s="221"/>
    </row>
    <row r="81" spans="1:34" s="212" customFormat="1">
      <c r="A81" s="177">
        <v>77</v>
      </c>
      <c r="B81" s="211" t="s">
        <v>1159</v>
      </c>
      <c r="C81" s="211" t="s">
        <v>1589</v>
      </c>
      <c r="D81" s="212" t="s">
        <v>1496</v>
      </c>
      <c r="E81" s="213"/>
      <c r="F81" s="213"/>
      <c r="G81" s="213"/>
      <c r="H81" s="213"/>
      <c r="I81" s="213"/>
      <c r="J81" s="213"/>
      <c r="K81" s="213"/>
      <c r="L81" s="213"/>
      <c r="M81" s="213"/>
      <c r="N81" s="213"/>
      <c r="O81" s="213" t="s">
        <v>1523</v>
      </c>
      <c r="P81" s="213"/>
      <c r="Q81" s="213"/>
      <c r="R81" s="213"/>
      <c r="S81" s="213"/>
      <c r="T81" s="213"/>
      <c r="U81" s="213"/>
      <c r="V81" s="213"/>
      <c r="W81" s="213"/>
      <c r="X81" s="213"/>
      <c r="Y81" s="213"/>
      <c r="Z81" s="213"/>
      <c r="AA81" s="213"/>
      <c r="AB81" s="213"/>
      <c r="AC81" s="213"/>
      <c r="AD81" s="213"/>
      <c r="AE81" s="213"/>
      <c r="AF81" s="213"/>
      <c r="AG81" s="213"/>
      <c r="AH81" s="213"/>
    </row>
    <row r="82" spans="1:34">
      <c r="A82" s="177">
        <v>78</v>
      </c>
      <c r="B82" s="176" t="s">
        <v>1163</v>
      </c>
      <c r="C82" s="176" t="s">
        <v>1589</v>
      </c>
      <c r="D82" t="s">
        <v>1496</v>
      </c>
      <c r="E82" s="220" t="s">
        <v>1590</v>
      </c>
      <c r="F82" s="221"/>
      <c r="G82" s="221"/>
      <c r="H82" s="221"/>
      <c r="I82" s="221"/>
      <c r="J82" s="221"/>
      <c r="K82" s="221"/>
      <c r="L82" s="221"/>
      <c r="M82" s="221"/>
      <c r="N82" s="221"/>
      <c r="O82" s="221"/>
      <c r="P82" s="221"/>
      <c r="Q82" s="221"/>
      <c r="R82" s="221"/>
      <c r="S82" s="221"/>
      <c r="T82" s="221"/>
      <c r="U82" s="221"/>
      <c r="V82" s="221"/>
      <c r="W82" s="221"/>
      <c r="X82" s="221"/>
      <c r="Y82" s="221"/>
      <c r="Z82" s="221"/>
      <c r="AA82" s="221"/>
      <c r="AB82" s="221"/>
      <c r="AC82" s="221"/>
      <c r="AD82" s="221"/>
      <c r="AE82" s="221"/>
      <c r="AF82" s="221"/>
      <c r="AG82" s="221"/>
      <c r="AH82" s="221"/>
    </row>
    <row r="83" spans="1:34">
      <c r="A83" s="177">
        <v>79</v>
      </c>
      <c r="B83" s="176" t="s">
        <v>1165</v>
      </c>
      <c r="C83" s="176" t="s">
        <v>1589</v>
      </c>
      <c r="D83" t="s">
        <v>1496</v>
      </c>
      <c r="E83" s="222" t="s">
        <v>1590</v>
      </c>
      <c r="F83" s="223"/>
      <c r="G83" s="223"/>
      <c r="H83" s="223"/>
      <c r="I83" s="223"/>
      <c r="J83" s="223"/>
      <c r="K83" s="223"/>
      <c r="L83" s="223"/>
      <c r="M83" s="223"/>
      <c r="N83" s="223"/>
      <c r="O83" s="223"/>
      <c r="P83" s="223"/>
      <c r="Q83" s="223"/>
      <c r="R83" s="223"/>
      <c r="S83" s="223"/>
      <c r="T83" s="223"/>
      <c r="U83" s="223"/>
      <c r="V83" s="223"/>
      <c r="W83" s="223"/>
      <c r="X83" s="223"/>
      <c r="Y83" s="223"/>
      <c r="Z83" s="223"/>
      <c r="AA83" s="223"/>
      <c r="AB83" s="223"/>
      <c r="AC83" s="223"/>
      <c r="AD83" s="223"/>
      <c r="AE83" s="223"/>
      <c r="AF83" s="223"/>
      <c r="AG83" s="223"/>
      <c r="AH83" s="223"/>
    </row>
    <row r="84" spans="1:34">
      <c r="A84" s="177">
        <v>80</v>
      </c>
      <c r="B84" s="176" t="s">
        <v>1167</v>
      </c>
      <c r="C84" s="176" t="s">
        <v>1589</v>
      </c>
      <c r="D84" t="s">
        <v>1496</v>
      </c>
      <c r="E84" s="194" t="s">
        <v>1591</v>
      </c>
      <c r="F84" s="194" t="s">
        <v>1491</v>
      </c>
      <c r="G84" s="194" t="s">
        <v>1491</v>
      </c>
      <c r="H84" s="194" t="s">
        <v>1491</v>
      </c>
      <c r="I84" s="194" t="s">
        <v>1491</v>
      </c>
      <c r="J84" s="194" t="s">
        <v>1550</v>
      </c>
      <c r="K84" s="194" t="s">
        <v>1492</v>
      </c>
      <c r="L84" s="194" t="s">
        <v>1491</v>
      </c>
      <c r="M84" s="194" t="s">
        <v>1491</v>
      </c>
      <c r="N84" s="194" t="s">
        <v>1505</v>
      </c>
      <c r="O84" s="194" t="s">
        <v>1592</v>
      </c>
      <c r="P84" s="194" t="s">
        <v>1491</v>
      </c>
      <c r="Q84" s="194" t="s">
        <v>1491</v>
      </c>
      <c r="R84" s="194" t="s">
        <v>1491</v>
      </c>
      <c r="S84" s="194" t="s">
        <v>1491</v>
      </c>
      <c r="T84" s="194" t="s">
        <v>1491</v>
      </c>
      <c r="U84" s="194" t="s">
        <v>1491</v>
      </c>
      <c r="V84" s="194" t="s">
        <v>1491</v>
      </c>
      <c r="W84" s="194" t="s">
        <v>1491</v>
      </c>
      <c r="X84" s="194" t="s">
        <v>1491</v>
      </c>
      <c r="Y84" s="194" t="s">
        <v>1491</v>
      </c>
      <c r="Z84" s="194" t="s">
        <v>1491</v>
      </c>
      <c r="AA84" s="194" t="s">
        <v>1491</v>
      </c>
      <c r="AB84" s="194" t="s">
        <v>1491</v>
      </c>
      <c r="AC84" s="194" t="s">
        <v>1593</v>
      </c>
      <c r="AD84" s="194"/>
      <c r="AE84" s="194" t="s">
        <v>1491</v>
      </c>
      <c r="AF84" s="194" t="s">
        <v>1491</v>
      </c>
      <c r="AG84" s="194" t="s">
        <v>1491</v>
      </c>
      <c r="AH84" s="194" t="s">
        <v>1491</v>
      </c>
    </row>
    <row r="85" spans="1:34">
      <c r="A85" s="177">
        <v>81</v>
      </c>
      <c r="B85" s="176" t="s">
        <v>1209</v>
      </c>
      <c r="C85" s="176" t="s">
        <v>1594</v>
      </c>
      <c r="D85" t="s">
        <v>1496</v>
      </c>
      <c r="E85" s="194" t="s">
        <v>1491</v>
      </c>
      <c r="F85" s="194" t="s">
        <v>1491</v>
      </c>
      <c r="G85" s="194" t="s">
        <v>1491</v>
      </c>
      <c r="H85" s="194" t="s">
        <v>1491</v>
      </c>
      <c r="I85" s="194" t="s">
        <v>1491</v>
      </c>
      <c r="J85" s="194" t="s">
        <v>1500</v>
      </c>
      <c r="K85" s="194" t="s">
        <v>1492</v>
      </c>
      <c r="L85" s="194" t="s">
        <v>1491</v>
      </c>
      <c r="M85" s="194" t="s">
        <v>1595</v>
      </c>
      <c r="N85" s="194" t="s">
        <v>1505</v>
      </c>
      <c r="O85" s="194" t="s">
        <v>1592</v>
      </c>
      <c r="P85" s="194" t="s">
        <v>1491</v>
      </c>
      <c r="Q85" s="194" t="s">
        <v>1491</v>
      </c>
      <c r="R85" s="194" t="s">
        <v>1491</v>
      </c>
      <c r="S85" s="194" t="s">
        <v>1491</v>
      </c>
      <c r="T85" s="194" t="s">
        <v>1491</v>
      </c>
      <c r="U85" s="194" t="s">
        <v>1491</v>
      </c>
      <c r="V85" s="194" t="s">
        <v>1491</v>
      </c>
      <c r="W85" s="194" t="s">
        <v>1491</v>
      </c>
      <c r="X85" s="194" t="s">
        <v>1491</v>
      </c>
      <c r="Y85" s="194" t="s">
        <v>1491</v>
      </c>
      <c r="Z85" s="194" t="s">
        <v>1491</v>
      </c>
      <c r="AA85" s="194" t="s">
        <v>1491</v>
      </c>
      <c r="AB85" s="194" t="s">
        <v>1491</v>
      </c>
      <c r="AC85" s="194" t="s">
        <v>1593</v>
      </c>
      <c r="AD85" s="194"/>
      <c r="AE85" s="194" t="s">
        <v>1491</v>
      </c>
      <c r="AF85" s="194" t="s">
        <v>1491</v>
      </c>
      <c r="AG85" s="194" t="s">
        <v>1491</v>
      </c>
      <c r="AH85" s="194" t="s">
        <v>1491</v>
      </c>
    </row>
    <row r="86" spans="1:34">
      <c r="A86" s="177">
        <v>82</v>
      </c>
      <c r="B86" s="211" t="s">
        <v>1232</v>
      </c>
      <c r="C86" s="211" t="s">
        <v>1543</v>
      </c>
      <c r="D86" s="212" t="s">
        <v>1496</v>
      </c>
      <c r="E86" s="213" t="s">
        <v>1543</v>
      </c>
      <c r="F86" s="213" t="s">
        <v>1543</v>
      </c>
      <c r="G86" s="213" t="s">
        <v>1543</v>
      </c>
      <c r="H86" s="213" t="s">
        <v>1543</v>
      </c>
      <c r="I86" s="213" t="s">
        <v>1543</v>
      </c>
      <c r="J86" s="213" t="s">
        <v>1543</v>
      </c>
      <c r="K86" s="213" t="s">
        <v>1543</v>
      </c>
      <c r="L86" s="213" t="s">
        <v>1543</v>
      </c>
      <c r="M86" s="213" t="s">
        <v>1543</v>
      </c>
      <c r="N86" s="213" t="s">
        <v>1543</v>
      </c>
      <c r="O86" s="213" t="s">
        <v>1543</v>
      </c>
      <c r="P86" s="213" t="s">
        <v>1543</v>
      </c>
      <c r="Q86" s="213" t="s">
        <v>1543</v>
      </c>
      <c r="R86" s="213" t="s">
        <v>1543</v>
      </c>
      <c r="S86" s="213" t="s">
        <v>1543</v>
      </c>
      <c r="T86" s="213" t="s">
        <v>1543</v>
      </c>
      <c r="U86" s="213" t="s">
        <v>1543</v>
      </c>
      <c r="V86" s="213" t="s">
        <v>1543</v>
      </c>
      <c r="W86" s="213" t="s">
        <v>1543</v>
      </c>
      <c r="X86" s="213" t="s">
        <v>1543</v>
      </c>
      <c r="Y86" s="213" t="s">
        <v>1543</v>
      </c>
      <c r="Z86" s="213" t="s">
        <v>1543</v>
      </c>
      <c r="AA86" s="213" t="s">
        <v>1543</v>
      </c>
      <c r="AB86" s="213" t="s">
        <v>1543</v>
      </c>
      <c r="AC86" s="213" t="s">
        <v>1543</v>
      </c>
      <c r="AD86" s="213"/>
      <c r="AE86" s="213" t="s">
        <v>1543</v>
      </c>
      <c r="AF86" s="213" t="s">
        <v>1543</v>
      </c>
      <c r="AG86" s="213" t="s">
        <v>1543</v>
      </c>
      <c r="AH86" s="213" t="s">
        <v>1543</v>
      </c>
    </row>
    <row r="87" spans="1:34">
      <c r="A87" s="177">
        <v>83</v>
      </c>
      <c r="B87" s="211" t="s">
        <v>1235</v>
      </c>
      <c r="C87" s="211" t="s">
        <v>1543</v>
      </c>
      <c r="D87" s="212" t="s">
        <v>1496</v>
      </c>
      <c r="E87" s="213" t="s">
        <v>1543</v>
      </c>
      <c r="F87" s="213" t="s">
        <v>1543</v>
      </c>
      <c r="G87" s="213" t="s">
        <v>1543</v>
      </c>
      <c r="H87" s="213" t="s">
        <v>1543</v>
      </c>
      <c r="I87" s="213" t="s">
        <v>1543</v>
      </c>
      <c r="J87" s="213" t="s">
        <v>1543</v>
      </c>
      <c r="K87" s="213" t="s">
        <v>1543</v>
      </c>
      <c r="L87" s="213" t="s">
        <v>1543</v>
      </c>
      <c r="M87" s="213" t="s">
        <v>1543</v>
      </c>
      <c r="N87" s="213" t="s">
        <v>1543</v>
      </c>
      <c r="O87" s="213" t="s">
        <v>1543</v>
      </c>
      <c r="P87" s="213" t="s">
        <v>1543</v>
      </c>
      <c r="Q87" s="213" t="s">
        <v>1543</v>
      </c>
      <c r="R87" s="213" t="s">
        <v>1543</v>
      </c>
      <c r="S87" s="213" t="s">
        <v>1543</v>
      </c>
      <c r="T87" s="213" t="s">
        <v>1543</v>
      </c>
      <c r="U87" s="213" t="s">
        <v>1543</v>
      </c>
      <c r="V87" s="213" t="s">
        <v>1543</v>
      </c>
      <c r="W87" s="213" t="s">
        <v>1543</v>
      </c>
      <c r="X87" s="213" t="s">
        <v>1543</v>
      </c>
      <c r="Y87" s="213" t="s">
        <v>1543</v>
      </c>
      <c r="Z87" s="213" t="s">
        <v>1543</v>
      </c>
      <c r="AA87" s="213" t="s">
        <v>1543</v>
      </c>
      <c r="AB87" s="213" t="s">
        <v>1543</v>
      </c>
      <c r="AC87" s="213" t="s">
        <v>1543</v>
      </c>
      <c r="AD87" s="213"/>
      <c r="AE87" s="213" t="s">
        <v>1543</v>
      </c>
      <c r="AF87" s="213" t="s">
        <v>1543</v>
      </c>
      <c r="AG87" s="213" t="s">
        <v>1543</v>
      </c>
      <c r="AH87" s="213" t="s">
        <v>1543</v>
      </c>
    </row>
    <row r="88" spans="1:34">
      <c r="A88" s="177">
        <v>84</v>
      </c>
      <c r="B88" s="176" t="s">
        <v>1237</v>
      </c>
      <c r="C88" s="176" t="s">
        <v>1596</v>
      </c>
      <c r="D88" t="s">
        <v>1496</v>
      </c>
      <c r="E88" s="194" t="s">
        <v>1491</v>
      </c>
      <c r="F88" s="194" t="s">
        <v>1491</v>
      </c>
      <c r="G88" s="194" t="s">
        <v>1491</v>
      </c>
      <c r="H88" s="194" t="s">
        <v>1491</v>
      </c>
      <c r="I88" s="194" t="s">
        <v>1491</v>
      </c>
      <c r="J88" s="194" t="s">
        <v>1491</v>
      </c>
      <c r="K88" s="194" t="s">
        <v>1491</v>
      </c>
      <c r="L88" s="194" t="s">
        <v>1491</v>
      </c>
      <c r="M88" s="194" t="s">
        <v>1491</v>
      </c>
      <c r="N88" s="194" t="s">
        <v>1491</v>
      </c>
      <c r="O88" s="194" t="s">
        <v>1491</v>
      </c>
      <c r="P88" s="194" t="s">
        <v>1491</v>
      </c>
      <c r="Q88" s="194" t="s">
        <v>1491</v>
      </c>
      <c r="R88" s="194" t="s">
        <v>1491</v>
      </c>
      <c r="S88" s="194" t="s">
        <v>1491</v>
      </c>
      <c r="T88" s="194" t="s">
        <v>1491</v>
      </c>
      <c r="U88" s="194" t="s">
        <v>1491</v>
      </c>
      <c r="V88" s="194" t="s">
        <v>1491</v>
      </c>
      <c r="W88" s="194" t="s">
        <v>1491</v>
      </c>
      <c r="X88" s="194" t="s">
        <v>1491</v>
      </c>
      <c r="Y88" s="194" t="s">
        <v>1491</v>
      </c>
      <c r="Z88" s="194" t="s">
        <v>1491</v>
      </c>
      <c r="AA88" s="194" t="s">
        <v>1491</v>
      </c>
      <c r="AB88" s="194" t="s">
        <v>1491</v>
      </c>
      <c r="AC88" s="194" t="s">
        <v>1524</v>
      </c>
      <c r="AD88" s="194" t="s">
        <v>450</v>
      </c>
      <c r="AE88" s="194" t="s">
        <v>1491</v>
      </c>
      <c r="AF88" s="194" t="s">
        <v>1491</v>
      </c>
      <c r="AG88" s="194" t="s">
        <v>1491</v>
      </c>
      <c r="AH88" s="194" t="s">
        <v>1491</v>
      </c>
    </row>
    <row r="89" spans="1:34">
      <c r="A89" s="177">
        <v>85</v>
      </c>
      <c r="B89" s="176" t="s">
        <v>1245</v>
      </c>
      <c r="C89" s="176" t="s">
        <v>1233</v>
      </c>
      <c r="D89" t="s">
        <v>1496</v>
      </c>
      <c r="E89" s="194" t="s">
        <v>1491</v>
      </c>
      <c r="F89" s="194" t="s">
        <v>1491</v>
      </c>
      <c r="G89" s="194" t="s">
        <v>1491</v>
      </c>
      <c r="H89" s="194" t="s">
        <v>1491</v>
      </c>
      <c r="I89" s="194" t="s">
        <v>1491</v>
      </c>
      <c r="J89" s="194" t="s">
        <v>1491</v>
      </c>
      <c r="K89" s="194" t="s">
        <v>1491</v>
      </c>
      <c r="L89" s="194" t="s">
        <v>1491</v>
      </c>
      <c r="M89" s="194" t="s">
        <v>1491</v>
      </c>
      <c r="N89" s="194" t="s">
        <v>1501</v>
      </c>
      <c r="O89" s="194" t="s">
        <v>1491</v>
      </c>
      <c r="P89" s="194" t="s">
        <v>1491</v>
      </c>
      <c r="Q89" s="194" t="s">
        <v>1597</v>
      </c>
      <c r="R89" s="194" t="s">
        <v>1491</v>
      </c>
      <c r="S89" s="194" t="s">
        <v>1491</v>
      </c>
      <c r="T89" s="194" t="s">
        <v>1491</v>
      </c>
      <c r="U89" s="194" t="s">
        <v>1491</v>
      </c>
      <c r="V89" s="194" t="s">
        <v>1491</v>
      </c>
      <c r="W89" s="194" t="s">
        <v>1491</v>
      </c>
      <c r="X89" s="194" t="s">
        <v>1491</v>
      </c>
      <c r="Y89" s="194" t="s">
        <v>1491</v>
      </c>
      <c r="Z89" s="194" t="s">
        <v>1491</v>
      </c>
      <c r="AA89" s="194" t="s">
        <v>1491</v>
      </c>
      <c r="AB89" s="194" t="s">
        <v>1491</v>
      </c>
      <c r="AC89" s="194" t="s">
        <v>1491</v>
      </c>
      <c r="AD89" s="194" t="s">
        <v>1491</v>
      </c>
      <c r="AE89" s="194" t="s">
        <v>1491</v>
      </c>
      <c r="AF89" s="194" t="s">
        <v>1491</v>
      </c>
      <c r="AG89" s="194" t="s">
        <v>1491</v>
      </c>
      <c r="AH89" s="194" t="s">
        <v>1491</v>
      </c>
    </row>
    <row r="90" spans="1:34">
      <c r="A90" s="177">
        <v>86</v>
      </c>
      <c r="B90" s="176" t="s">
        <v>1245</v>
      </c>
      <c r="C90" s="176" t="s">
        <v>1233</v>
      </c>
      <c r="D90" t="s">
        <v>1496</v>
      </c>
      <c r="E90" s="194" t="s">
        <v>1491</v>
      </c>
      <c r="F90" s="194" t="s">
        <v>1491</v>
      </c>
      <c r="G90" s="194" t="s">
        <v>1491</v>
      </c>
      <c r="H90" s="194" t="s">
        <v>1491</v>
      </c>
      <c r="I90" s="194" t="s">
        <v>1491</v>
      </c>
      <c r="J90" s="194" t="s">
        <v>1491</v>
      </c>
      <c r="K90" s="194" t="s">
        <v>1491</v>
      </c>
      <c r="L90" s="194" t="s">
        <v>1491</v>
      </c>
      <c r="M90" s="194" t="s">
        <v>1491</v>
      </c>
      <c r="N90" s="194" t="s">
        <v>1501</v>
      </c>
      <c r="O90" s="194" t="s">
        <v>1491</v>
      </c>
      <c r="P90" s="194" t="s">
        <v>1491</v>
      </c>
      <c r="Q90" s="194" t="s">
        <v>1597</v>
      </c>
      <c r="R90" s="194" t="s">
        <v>1491</v>
      </c>
      <c r="S90" s="194" t="s">
        <v>1491</v>
      </c>
      <c r="T90" s="194" t="s">
        <v>1491</v>
      </c>
      <c r="U90" s="194" t="s">
        <v>1491</v>
      </c>
      <c r="V90" s="194" t="s">
        <v>1491</v>
      </c>
      <c r="W90" s="194" t="s">
        <v>1491</v>
      </c>
      <c r="X90" s="194" t="s">
        <v>1491</v>
      </c>
      <c r="Y90" s="194" t="s">
        <v>1491</v>
      </c>
      <c r="Z90" s="194" t="s">
        <v>1491</v>
      </c>
      <c r="AA90" s="194" t="s">
        <v>1491</v>
      </c>
      <c r="AB90" s="194" t="s">
        <v>1491</v>
      </c>
      <c r="AC90" s="194" t="s">
        <v>1491</v>
      </c>
      <c r="AD90" s="194" t="s">
        <v>1491</v>
      </c>
      <c r="AE90" s="194" t="s">
        <v>1491</v>
      </c>
      <c r="AF90" s="194" t="s">
        <v>1491</v>
      </c>
      <c r="AG90" s="194" t="s">
        <v>1491</v>
      </c>
      <c r="AH90" s="194" t="s">
        <v>1491</v>
      </c>
    </row>
    <row r="91" spans="1:34">
      <c r="A91" s="177">
        <v>87</v>
      </c>
      <c r="B91" s="176" t="s">
        <v>1245</v>
      </c>
      <c r="C91" s="176" t="s">
        <v>1233</v>
      </c>
      <c r="D91" t="s">
        <v>1496</v>
      </c>
      <c r="E91" s="194" t="s">
        <v>1491</v>
      </c>
      <c r="F91" s="194" t="s">
        <v>1491</v>
      </c>
      <c r="G91" s="194" t="s">
        <v>1491</v>
      </c>
      <c r="H91" s="194" t="s">
        <v>1491</v>
      </c>
      <c r="I91" s="194" t="s">
        <v>1491</v>
      </c>
      <c r="J91" s="194" t="s">
        <v>1491</v>
      </c>
      <c r="K91" s="194" t="s">
        <v>1491</v>
      </c>
      <c r="L91" s="194" t="s">
        <v>1491</v>
      </c>
      <c r="M91" s="194" t="s">
        <v>1491</v>
      </c>
      <c r="N91" s="194" t="s">
        <v>1501</v>
      </c>
      <c r="O91" s="194" t="s">
        <v>1491</v>
      </c>
      <c r="P91" s="194" t="s">
        <v>1491</v>
      </c>
      <c r="Q91" s="194" t="s">
        <v>1597</v>
      </c>
      <c r="R91" s="194" t="s">
        <v>1491</v>
      </c>
      <c r="S91" s="194" t="s">
        <v>1491</v>
      </c>
      <c r="T91" s="194" t="s">
        <v>1491</v>
      </c>
      <c r="U91" s="194" t="s">
        <v>1491</v>
      </c>
      <c r="V91" s="194" t="s">
        <v>1491</v>
      </c>
      <c r="W91" s="194" t="s">
        <v>1491</v>
      </c>
      <c r="X91" s="194" t="s">
        <v>1491</v>
      </c>
      <c r="Y91" s="194" t="s">
        <v>1491</v>
      </c>
      <c r="Z91" s="194" t="s">
        <v>1491</v>
      </c>
      <c r="AA91" s="194" t="s">
        <v>1491</v>
      </c>
      <c r="AB91" s="194" t="s">
        <v>1491</v>
      </c>
      <c r="AC91" s="194" t="s">
        <v>1491</v>
      </c>
      <c r="AD91" s="194" t="s">
        <v>1491</v>
      </c>
      <c r="AE91" s="194" t="s">
        <v>1491</v>
      </c>
      <c r="AF91" s="194" t="s">
        <v>1491</v>
      </c>
      <c r="AG91" s="194" t="s">
        <v>1491</v>
      </c>
      <c r="AH91" s="194" t="s">
        <v>1491</v>
      </c>
    </row>
    <row r="92" spans="1:34">
      <c r="A92" s="177">
        <v>88</v>
      </c>
      <c r="B92" s="176" t="s">
        <v>1248</v>
      </c>
      <c r="C92" s="176" t="s">
        <v>1233</v>
      </c>
      <c r="D92" t="s">
        <v>1496</v>
      </c>
      <c r="E92" s="194" t="s">
        <v>1491</v>
      </c>
      <c r="F92" s="194" t="s">
        <v>1491</v>
      </c>
      <c r="G92" s="194" t="s">
        <v>1491</v>
      </c>
      <c r="H92" s="194" t="s">
        <v>1491</v>
      </c>
      <c r="I92" s="194" t="s">
        <v>1491</v>
      </c>
      <c r="J92" s="194" t="s">
        <v>1500</v>
      </c>
      <c r="K92" s="194" t="s">
        <v>1491</v>
      </c>
      <c r="L92" s="194" t="s">
        <v>1491</v>
      </c>
      <c r="M92" s="194" t="s">
        <v>1491</v>
      </c>
      <c r="N92" s="194" t="s">
        <v>1491</v>
      </c>
      <c r="O92" s="194" t="s">
        <v>1491</v>
      </c>
      <c r="P92" s="194" t="s">
        <v>1491</v>
      </c>
      <c r="Q92" s="194" t="s">
        <v>1598</v>
      </c>
      <c r="R92" s="194" t="s">
        <v>1491</v>
      </c>
      <c r="S92" s="194" t="s">
        <v>1491</v>
      </c>
      <c r="T92" s="194" t="s">
        <v>1491</v>
      </c>
      <c r="U92" s="194" t="s">
        <v>1491</v>
      </c>
      <c r="V92" s="194" t="s">
        <v>1491</v>
      </c>
      <c r="W92" s="194" t="s">
        <v>1491</v>
      </c>
      <c r="X92" s="194" t="s">
        <v>1491</v>
      </c>
      <c r="Y92" s="194" t="s">
        <v>1491</v>
      </c>
      <c r="Z92" s="194" t="s">
        <v>1491</v>
      </c>
      <c r="AA92" s="194" t="s">
        <v>1491</v>
      </c>
      <c r="AB92" s="194" t="s">
        <v>1491</v>
      </c>
      <c r="AC92" s="194" t="s">
        <v>1491</v>
      </c>
      <c r="AD92" s="194" t="s">
        <v>1491</v>
      </c>
      <c r="AE92" s="194" t="s">
        <v>1491</v>
      </c>
      <c r="AF92" s="194" t="s">
        <v>1491</v>
      </c>
      <c r="AG92" s="194" t="s">
        <v>1491</v>
      </c>
      <c r="AH92" s="194" t="s">
        <v>1491</v>
      </c>
    </row>
    <row r="93" spans="1:34">
      <c r="A93" s="177">
        <v>89</v>
      </c>
      <c r="B93" s="176" t="s">
        <v>1250</v>
      </c>
      <c r="C93" s="211" t="s">
        <v>1543</v>
      </c>
      <c r="D93" s="212" t="s">
        <v>1496</v>
      </c>
      <c r="E93" s="213" t="s">
        <v>1543</v>
      </c>
      <c r="F93" s="213" t="s">
        <v>1543</v>
      </c>
      <c r="G93" s="213" t="s">
        <v>1543</v>
      </c>
      <c r="H93" s="213" t="s">
        <v>1543</v>
      </c>
      <c r="I93" s="213" t="s">
        <v>1543</v>
      </c>
      <c r="J93" s="213" t="s">
        <v>1543</v>
      </c>
      <c r="K93" s="213" t="s">
        <v>1543</v>
      </c>
      <c r="L93" s="213" t="s">
        <v>1543</v>
      </c>
      <c r="M93" s="213" t="s">
        <v>1543</v>
      </c>
      <c r="N93" s="213" t="s">
        <v>1543</v>
      </c>
      <c r="O93" s="213" t="s">
        <v>1543</v>
      </c>
      <c r="P93" s="213" t="s">
        <v>1543</v>
      </c>
      <c r="Q93" s="213" t="s">
        <v>1543</v>
      </c>
      <c r="R93" s="213" t="s">
        <v>1543</v>
      </c>
      <c r="S93" s="213" t="s">
        <v>1543</v>
      </c>
      <c r="T93" s="213" t="s">
        <v>1543</v>
      </c>
      <c r="U93" s="213" t="s">
        <v>1543</v>
      </c>
      <c r="V93" s="213" t="s">
        <v>1543</v>
      </c>
      <c r="W93" s="213" t="s">
        <v>1543</v>
      </c>
      <c r="X93" s="213" t="s">
        <v>1543</v>
      </c>
      <c r="Y93" s="213" t="s">
        <v>1543</v>
      </c>
      <c r="Z93" s="213" t="s">
        <v>1543</v>
      </c>
      <c r="AA93" s="213" t="s">
        <v>1543</v>
      </c>
      <c r="AB93" s="213" t="s">
        <v>1543</v>
      </c>
      <c r="AC93" s="213" t="s">
        <v>1543</v>
      </c>
      <c r="AD93" s="213" t="s">
        <v>1543</v>
      </c>
      <c r="AE93" s="213" t="s">
        <v>1543</v>
      </c>
      <c r="AF93" s="213" t="s">
        <v>1543</v>
      </c>
      <c r="AG93" s="213" t="s">
        <v>1543</v>
      </c>
      <c r="AH93" s="213" t="s">
        <v>1543</v>
      </c>
    </row>
    <row r="94" spans="1:34">
      <c r="A94" s="177">
        <v>90</v>
      </c>
      <c r="B94" s="176" t="s">
        <v>1251</v>
      </c>
      <c r="C94" s="211" t="s">
        <v>1543</v>
      </c>
      <c r="D94" s="212" t="s">
        <v>1496</v>
      </c>
      <c r="E94" s="213" t="s">
        <v>1543</v>
      </c>
      <c r="F94" s="213" t="s">
        <v>1543</v>
      </c>
      <c r="G94" s="213" t="s">
        <v>1543</v>
      </c>
      <c r="H94" s="213" t="s">
        <v>1543</v>
      </c>
      <c r="I94" s="213" t="s">
        <v>1543</v>
      </c>
      <c r="J94" s="213" t="s">
        <v>1543</v>
      </c>
      <c r="K94" s="213" t="s">
        <v>1543</v>
      </c>
      <c r="L94" s="213" t="s">
        <v>1543</v>
      </c>
      <c r="M94" s="213" t="s">
        <v>1543</v>
      </c>
      <c r="N94" s="213" t="s">
        <v>1543</v>
      </c>
      <c r="O94" s="213" t="s">
        <v>1543</v>
      </c>
      <c r="P94" s="213" t="s">
        <v>1543</v>
      </c>
      <c r="Q94" s="213" t="s">
        <v>1543</v>
      </c>
      <c r="R94" s="213" t="s">
        <v>1543</v>
      </c>
      <c r="S94" s="213" t="s">
        <v>1543</v>
      </c>
      <c r="T94" s="213" t="s">
        <v>1543</v>
      </c>
      <c r="U94" s="213" t="s">
        <v>1543</v>
      </c>
      <c r="V94" s="213" t="s">
        <v>1543</v>
      </c>
      <c r="W94" s="213" t="s">
        <v>1543</v>
      </c>
      <c r="X94" s="213" t="s">
        <v>1543</v>
      </c>
      <c r="Y94" s="213" t="s">
        <v>1543</v>
      </c>
      <c r="Z94" s="213" t="s">
        <v>1543</v>
      </c>
      <c r="AA94" s="213" t="s">
        <v>1543</v>
      </c>
      <c r="AB94" s="213" t="s">
        <v>1543</v>
      </c>
      <c r="AC94" s="213" t="s">
        <v>1543</v>
      </c>
      <c r="AD94" s="213" t="s">
        <v>1543</v>
      </c>
      <c r="AE94" s="213" t="s">
        <v>1543</v>
      </c>
      <c r="AF94" s="213" t="s">
        <v>1543</v>
      </c>
      <c r="AG94" s="213" t="s">
        <v>1543</v>
      </c>
      <c r="AH94" s="213" t="s">
        <v>1543</v>
      </c>
    </row>
    <row r="95" spans="1:34">
      <c r="A95" s="177">
        <v>91</v>
      </c>
      <c r="B95" s="176" t="s">
        <v>1252</v>
      </c>
      <c r="C95" s="211" t="s">
        <v>1543</v>
      </c>
      <c r="D95" s="212" t="s">
        <v>1496</v>
      </c>
      <c r="E95" s="213" t="s">
        <v>1543</v>
      </c>
      <c r="F95" s="213" t="s">
        <v>1543</v>
      </c>
      <c r="G95" s="213" t="s">
        <v>1543</v>
      </c>
      <c r="H95" s="213" t="s">
        <v>1543</v>
      </c>
      <c r="I95" s="213" t="s">
        <v>1543</v>
      </c>
      <c r="J95" s="213" t="s">
        <v>1543</v>
      </c>
      <c r="K95" s="213" t="s">
        <v>1543</v>
      </c>
      <c r="L95" s="213" t="s">
        <v>1543</v>
      </c>
      <c r="M95" s="213" t="s">
        <v>1543</v>
      </c>
      <c r="N95" s="213" t="s">
        <v>1543</v>
      </c>
      <c r="O95" s="213" t="s">
        <v>1543</v>
      </c>
      <c r="P95" s="213" t="s">
        <v>1543</v>
      </c>
      <c r="Q95" s="213" t="s">
        <v>1543</v>
      </c>
      <c r="R95" s="213" t="s">
        <v>1543</v>
      </c>
      <c r="S95" s="213" t="s">
        <v>1543</v>
      </c>
      <c r="T95" s="213" t="s">
        <v>1543</v>
      </c>
      <c r="U95" s="213" t="s">
        <v>1543</v>
      </c>
      <c r="V95" s="213" t="s">
        <v>1543</v>
      </c>
      <c r="W95" s="213" t="s">
        <v>1543</v>
      </c>
      <c r="X95" s="213" t="s">
        <v>1543</v>
      </c>
      <c r="Y95" s="213" t="s">
        <v>1543</v>
      </c>
      <c r="Z95" s="213" t="s">
        <v>1543</v>
      </c>
      <c r="AA95" s="213" t="s">
        <v>1543</v>
      </c>
      <c r="AB95" s="213" t="s">
        <v>1543</v>
      </c>
      <c r="AC95" s="213" t="s">
        <v>1543</v>
      </c>
      <c r="AD95" s="213" t="s">
        <v>1543</v>
      </c>
      <c r="AE95" s="213" t="s">
        <v>1543</v>
      </c>
      <c r="AF95" s="213" t="s">
        <v>1543</v>
      </c>
      <c r="AG95" s="213" t="s">
        <v>1543</v>
      </c>
      <c r="AH95" s="213" t="s">
        <v>1543</v>
      </c>
    </row>
    <row r="96" spans="1:34">
      <c r="A96" s="177">
        <v>92</v>
      </c>
      <c r="B96" s="176" t="s">
        <v>1254</v>
      </c>
      <c r="C96" s="176" t="s">
        <v>1178</v>
      </c>
      <c r="D96" t="s">
        <v>1496</v>
      </c>
      <c r="E96" s="194" t="s">
        <v>1599</v>
      </c>
      <c r="F96" s="194" t="s">
        <v>1491</v>
      </c>
      <c r="G96" s="194" t="s">
        <v>1491</v>
      </c>
      <c r="H96" s="194" t="s">
        <v>1491</v>
      </c>
      <c r="I96" s="194" t="s">
        <v>1491</v>
      </c>
      <c r="J96" s="194" t="s">
        <v>1497</v>
      </c>
      <c r="K96" s="194" t="s">
        <v>1491</v>
      </c>
      <c r="L96" s="194" t="s">
        <v>1491</v>
      </c>
      <c r="M96" s="194" t="s">
        <v>1491</v>
      </c>
      <c r="N96" s="194" t="s">
        <v>1491</v>
      </c>
      <c r="O96" s="194" t="s">
        <v>1491</v>
      </c>
      <c r="P96" s="194" t="s">
        <v>1491</v>
      </c>
      <c r="Q96" s="194" t="s">
        <v>1491</v>
      </c>
      <c r="R96" s="194" t="s">
        <v>1491</v>
      </c>
      <c r="S96" s="194" t="s">
        <v>1600</v>
      </c>
      <c r="T96" s="194" t="s">
        <v>1491</v>
      </c>
      <c r="U96" s="194" t="s">
        <v>1491</v>
      </c>
      <c r="V96" s="194" t="s">
        <v>1491</v>
      </c>
      <c r="W96" s="194" t="s">
        <v>1491</v>
      </c>
      <c r="X96" s="194" t="s">
        <v>1491</v>
      </c>
      <c r="Y96" s="194" t="s">
        <v>1491</v>
      </c>
      <c r="Z96" s="194" t="s">
        <v>1491</v>
      </c>
      <c r="AA96" s="194" t="s">
        <v>1491</v>
      </c>
      <c r="AB96" s="194" t="s">
        <v>1491</v>
      </c>
      <c r="AC96" s="194" t="s">
        <v>1491</v>
      </c>
      <c r="AD96" s="194" t="s">
        <v>1491</v>
      </c>
      <c r="AE96" s="194" t="s">
        <v>1491</v>
      </c>
      <c r="AF96" s="194" t="s">
        <v>1491</v>
      </c>
      <c r="AG96" s="194" t="s">
        <v>1491</v>
      </c>
      <c r="AH96" s="194" t="s">
        <v>1491</v>
      </c>
    </row>
    <row r="97" spans="1:34">
      <c r="A97" s="177">
        <v>93</v>
      </c>
      <c r="B97" s="176" t="s">
        <v>1291</v>
      </c>
      <c r="C97" s="176" t="s">
        <v>1024</v>
      </c>
      <c r="D97" t="s">
        <v>1496</v>
      </c>
      <c r="E97" s="194" t="s">
        <v>1491</v>
      </c>
      <c r="F97" s="194" t="s">
        <v>1491</v>
      </c>
      <c r="G97" s="194" t="s">
        <v>1491</v>
      </c>
      <c r="H97" s="194" t="s">
        <v>1491</v>
      </c>
      <c r="I97" s="194" t="s">
        <v>1491</v>
      </c>
      <c r="J97" s="194" t="s">
        <v>1500</v>
      </c>
      <c r="K97" s="194" t="s">
        <v>1491</v>
      </c>
      <c r="L97" s="194" t="s">
        <v>1491</v>
      </c>
      <c r="M97" s="194" t="s">
        <v>1491</v>
      </c>
      <c r="N97" s="194" t="s">
        <v>1491</v>
      </c>
      <c r="O97" s="194" t="s">
        <v>1491</v>
      </c>
      <c r="P97" s="194" t="s">
        <v>1491</v>
      </c>
      <c r="Q97" s="194" t="s">
        <v>1601</v>
      </c>
      <c r="R97" s="194" t="s">
        <v>1491</v>
      </c>
      <c r="S97" s="194" t="s">
        <v>1491</v>
      </c>
      <c r="T97" s="194" t="s">
        <v>1491</v>
      </c>
      <c r="U97" s="194" t="s">
        <v>1491</v>
      </c>
      <c r="V97" s="194" t="s">
        <v>1491</v>
      </c>
      <c r="W97" s="194" t="s">
        <v>1491</v>
      </c>
      <c r="X97" s="194" t="s">
        <v>1491</v>
      </c>
      <c r="Y97" s="194" t="s">
        <v>1491</v>
      </c>
      <c r="Z97" s="194" t="s">
        <v>1491</v>
      </c>
      <c r="AA97" s="194" t="s">
        <v>1491</v>
      </c>
      <c r="AB97" s="194" t="s">
        <v>1491</v>
      </c>
      <c r="AC97" s="194" t="s">
        <v>1491</v>
      </c>
      <c r="AD97" s="194" t="s">
        <v>1491</v>
      </c>
      <c r="AE97" s="194" t="s">
        <v>1491</v>
      </c>
      <c r="AF97" s="194" t="s">
        <v>1491</v>
      </c>
      <c r="AG97" s="194" t="s">
        <v>1491</v>
      </c>
      <c r="AH97" s="194" t="s">
        <v>1491</v>
      </c>
    </row>
    <row r="98" spans="1:34">
      <c r="A98" s="177">
        <v>94</v>
      </c>
      <c r="B98" s="176" t="s">
        <v>1296</v>
      </c>
      <c r="C98" s="176" t="s">
        <v>1602</v>
      </c>
      <c r="D98" t="s">
        <v>1496</v>
      </c>
      <c r="E98" s="194" t="s">
        <v>1491</v>
      </c>
      <c r="F98" s="194" t="s">
        <v>1491</v>
      </c>
      <c r="G98" s="194" t="s">
        <v>1491</v>
      </c>
      <c r="H98" s="194" t="s">
        <v>1491</v>
      </c>
      <c r="I98" s="194" t="s">
        <v>1491</v>
      </c>
      <c r="J98" s="194" t="s">
        <v>1576</v>
      </c>
      <c r="K98" s="194" t="s">
        <v>1491</v>
      </c>
      <c r="L98" s="194" t="s">
        <v>1491</v>
      </c>
      <c r="M98" s="194" t="s">
        <v>1491</v>
      </c>
      <c r="N98" s="194" t="s">
        <v>1491</v>
      </c>
      <c r="O98" s="194" t="s">
        <v>1491</v>
      </c>
      <c r="P98" s="194" t="s">
        <v>1491</v>
      </c>
      <c r="Q98" s="194" t="s">
        <v>1491</v>
      </c>
      <c r="R98" s="194" t="s">
        <v>1491</v>
      </c>
      <c r="S98" s="194" t="s">
        <v>1600</v>
      </c>
      <c r="T98" s="194" t="s">
        <v>1491</v>
      </c>
      <c r="U98" s="194" t="s">
        <v>1491</v>
      </c>
      <c r="V98" s="194" t="s">
        <v>1491</v>
      </c>
      <c r="W98" s="194" t="s">
        <v>1491</v>
      </c>
      <c r="X98" s="194" t="s">
        <v>1491</v>
      </c>
      <c r="Y98" s="194" t="s">
        <v>1491</v>
      </c>
      <c r="Z98" s="194" t="s">
        <v>1491</v>
      </c>
      <c r="AA98" s="194" t="s">
        <v>1491</v>
      </c>
      <c r="AB98" s="194" t="s">
        <v>1491</v>
      </c>
      <c r="AC98" s="194" t="s">
        <v>1491</v>
      </c>
      <c r="AD98" s="194" t="s">
        <v>1491</v>
      </c>
      <c r="AE98" s="194" t="s">
        <v>1491</v>
      </c>
      <c r="AF98" s="194" t="s">
        <v>1491</v>
      </c>
      <c r="AG98" s="194" t="s">
        <v>1491</v>
      </c>
      <c r="AH98" s="194" t="s">
        <v>1491</v>
      </c>
    </row>
    <row r="99" spans="1:34">
      <c r="A99" s="177">
        <v>95</v>
      </c>
      <c r="B99" s="176" t="s">
        <v>1603</v>
      </c>
      <c r="C99" s="176" t="s">
        <v>1604</v>
      </c>
      <c r="D99" t="s">
        <v>1496</v>
      </c>
      <c r="E99" s="194" t="s">
        <v>1491</v>
      </c>
      <c r="F99" s="194" t="s">
        <v>1491</v>
      </c>
      <c r="G99" s="194" t="s">
        <v>1605</v>
      </c>
      <c r="H99" s="194" t="s">
        <v>1491</v>
      </c>
      <c r="I99" s="194" t="s">
        <v>1491</v>
      </c>
      <c r="J99" s="194" t="s">
        <v>1491</v>
      </c>
      <c r="K99" s="194" t="s">
        <v>1491</v>
      </c>
      <c r="L99" s="194" t="s">
        <v>1491</v>
      </c>
      <c r="M99" s="194" t="s">
        <v>1491</v>
      </c>
      <c r="N99" s="194" t="s">
        <v>1606</v>
      </c>
      <c r="O99" s="194" t="s">
        <v>1607</v>
      </c>
      <c r="P99" s="194" t="s">
        <v>1491</v>
      </c>
      <c r="Q99" s="194" t="s">
        <v>1491</v>
      </c>
      <c r="R99" s="194" t="s">
        <v>1491</v>
      </c>
      <c r="S99" s="194" t="s">
        <v>1491</v>
      </c>
      <c r="T99" s="194" t="s">
        <v>1491</v>
      </c>
      <c r="U99" s="194" t="s">
        <v>1491</v>
      </c>
      <c r="V99" s="194" t="s">
        <v>1491</v>
      </c>
      <c r="W99" s="194" t="s">
        <v>1491</v>
      </c>
      <c r="X99" s="194" t="s">
        <v>1491</v>
      </c>
      <c r="Y99" s="194" t="s">
        <v>1491</v>
      </c>
      <c r="Z99" s="194" t="s">
        <v>1491</v>
      </c>
      <c r="AA99" s="194" t="s">
        <v>1491</v>
      </c>
      <c r="AB99" s="194" t="s">
        <v>1491</v>
      </c>
      <c r="AC99" s="194" t="s">
        <v>1491</v>
      </c>
      <c r="AD99" s="194" t="s">
        <v>1491</v>
      </c>
      <c r="AE99" s="194" t="s">
        <v>1491</v>
      </c>
      <c r="AF99" s="194" t="s">
        <v>1491</v>
      </c>
      <c r="AG99" s="194" t="s">
        <v>1491</v>
      </c>
      <c r="AH99" s="194" t="s">
        <v>1491</v>
      </c>
    </row>
    <row r="100" spans="1:34">
      <c r="A100" s="177">
        <v>96</v>
      </c>
      <c r="B100" s="176" t="s">
        <v>1608</v>
      </c>
      <c r="C100" s="176" t="s">
        <v>1604</v>
      </c>
      <c r="D100" t="s">
        <v>1496</v>
      </c>
      <c r="E100" s="194" t="s">
        <v>1491</v>
      </c>
      <c r="F100" s="194" t="s">
        <v>1491</v>
      </c>
      <c r="G100" s="194" t="s">
        <v>1609</v>
      </c>
      <c r="H100" s="194" t="s">
        <v>1491</v>
      </c>
      <c r="I100" s="194" t="s">
        <v>1491</v>
      </c>
      <c r="J100" s="194" t="s">
        <v>1491</v>
      </c>
      <c r="K100" s="194" t="s">
        <v>1491</v>
      </c>
      <c r="L100" s="194" t="s">
        <v>1491</v>
      </c>
      <c r="M100" s="194" t="s">
        <v>1491</v>
      </c>
      <c r="N100" s="194" t="s">
        <v>1606</v>
      </c>
      <c r="O100" s="194" t="s">
        <v>1607</v>
      </c>
      <c r="P100" s="194" t="s">
        <v>1491</v>
      </c>
      <c r="Q100" s="194" t="s">
        <v>1491</v>
      </c>
      <c r="R100" s="194" t="s">
        <v>1491</v>
      </c>
      <c r="S100" s="194" t="s">
        <v>1491</v>
      </c>
      <c r="T100" s="194" t="s">
        <v>1491</v>
      </c>
      <c r="U100" s="194" t="s">
        <v>1491</v>
      </c>
      <c r="V100" s="194" t="s">
        <v>1491</v>
      </c>
      <c r="W100" s="194" t="s">
        <v>1491</v>
      </c>
      <c r="X100" s="194" t="s">
        <v>1491</v>
      </c>
      <c r="Y100" s="194" t="s">
        <v>1491</v>
      </c>
      <c r="Z100" s="194" t="s">
        <v>1491</v>
      </c>
      <c r="AA100" s="194" t="s">
        <v>1491</v>
      </c>
      <c r="AB100" s="194" t="s">
        <v>1491</v>
      </c>
      <c r="AC100" s="194" t="s">
        <v>1491</v>
      </c>
      <c r="AD100" s="194" t="s">
        <v>1491</v>
      </c>
      <c r="AE100" s="194" t="s">
        <v>1491</v>
      </c>
      <c r="AF100" s="194" t="s">
        <v>1491</v>
      </c>
      <c r="AG100" s="194" t="s">
        <v>1491</v>
      </c>
      <c r="AH100" s="194" t="s">
        <v>1491</v>
      </c>
    </row>
    <row r="101" spans="1:34">
      <c r="A101" s="177">
        <v>97</v>
      </c>
      <c r="B101" s="176" t="s">
        <v>1610</v>
      </c>
      <c r="C101" s="176" t="s">
        <v>1604</v>
      </c>
      <c r="D101" t="s">
        <v>1496</v>
      </c>
      <c r="E101" s="194" t="s">
        <v>1491</v>
      </c>
      <c r="F101" s="194" t="s">
        <v>1491</v>
      </c>
      <c r="G101" s="194" t="s">
        <v>1611</v>
      </c>
      <c r="H101" s="194" t="s">
        <v>1491</v>
      </c>
      <c r="I101" s="194" t="s">
        <v>1491</v>
      </c>
      <c r="J101" s="194" t="s">
        <v>1491</v>
      </c>
      <c r="K101" s="194" t="s">
        <v>1491</v>
      </c>
      <c r="L101" s="194" t="s">
        <v>1491</v>
      </c>
      <c r="M101" s="194" t="s">
        <v>1491</v>
      </c>
      <c r="N101" s="194" t="s">
        <v>1606</v>
      </c>
      <c r="O101" s="194" t="s">
        <v>1607</v>
      </c>
      <c r="P101" s="194" t="s">
        <v>1491</v>
      </c>
      <c r="Q101" s="194" t="s">
        <v>1491</v>
      </c>
      <c r="R101" s="194" t="s">
        <v>1491</v>
      </c>
      <c r="S101" s="194" t="s">
        <v>1491</v>
      </c>
      <c r="T101" s="194" t="s">
        <v>1491</v>
      </c>
      <c r="U101" s="194" t="s">
        <v>1491</v>
      </c>
      <c r="V101" s="194" t="s">
        <v>1491</v>
      </c>
      <c r="W101" s="194" t="s">
        <v>1491</v>
      </c>
      <c r="X101" s="194" t="s">
        <v>1491</v>
      </c>
      <c r="Y101" s="194" t="s">
        <v>1491</v>
      </c>
      <c r="Z101" s="194" t="s">
        <v>1491</v>
      </c>
      <c r="AA101" s="194" t="s">
        <v>1491</v>
      </c>
      <c r="AB101" s="194" t="s">
        <v>1491</v>
      </c>
      <c r="AC101" s="194" t="s">
        <v>1491</v>
      </c>
      <c r="AD101" s="194" t="s">
        <v>1491</v>
      </c>
      <c r="AE101" s="194" t="s">
        <v>1491</v>
      </c>
      <c r="AF101" s="194" t="s">
        <v>1491</v>
      </c>
      <c r="AG101" s="194" t="s">
        <v>1491</v>
      </c>
      <c r="AH101" s="194" t="s">
        <v>1491</v>
      </c>
    </row>
    <row r="102" spans="1:34">
      <c r="A102" s="177">
        <v>98</v>
      </c>
      <c r="B102" s="176" t="s">
        <v>1612</v>
      </c>
      <c r="C102" s="176" t="s">
        <v>1604</v>
      </c>
      <c r="D102" t="s">
        <v>1496</v>
      </c>
      <c r="E102" s="194" t="s">
        <v>1491</v>
      </c>
      <c r="F102" s="194" t="s">
        <v>1491</v>
      </c>
      <c r="G102" s="194" t="s">
        <v>1613</v>
      </c>
      <c r="H102" s="194" t="s">
        <v>1491</v>
      </c>
      <c r="I102" s="194" t="s">
        <v>1491</v>
      </c>
      <c r="J102" s="194" t="s">
        <v>1491</v>
      </c>
      <c r="K102" s="194" t="s">
        <v>1491</v>
      </c>
      <c r="L102" s="194" t="s">
        <v>1491</v>
      </c>
      <c r="M102" s="194" t="s">
        <v>1491</v>
      </c>
      <c r="N102" s="194" t="s">
        <v>1606</v>
      </c>
      <c r="O102" s="194" t="s">
        <v>1607</v>
      </c>
      <c r="P102" s="194" t="s">
        <v>1491</v>
      </c>
      <c r="Q102" s="194" t="s">
        <v>1491</v>
      </c>
      <c r="R102" s="194" t="s">
        <v>1491</v>
      </c>
      <c r="S102" s="194" t="s">
        <v>1491</v>
      </c>
      <c r="T102" s="194" t="s">
        <v>1491</v>
      </c>
      <c r="U102" s="194" t="s">
        <v>1491</v>
      </c>
      <c r="V102" s="194" t="s">
        <v>1491</v>
      </c>
      <c r="W102" s="194" t="s">
        <v>1491</v>
      </c>
      <c r="X102" s="194" t="s">
        <v>1491</v>
      </c>
      <c r="Y102" s="194" t="s">
        <v>1491</v>
      </c>
      <c r="Z102" s="194" t="s">
        <v>1491</v>
      </c>
      <c r="AA102" s="194" t="s">
        <v>1491</v>
      </c>
      <c r="AB102" s="194" t="s">
        <v>1491</v>
      </c>
      <c r="AC102" s="194" t="s">
        <v>1491</v>
      </c>
      <c r="AD102" s="194" t="s">
        <v>1491</v>
      </c>
      <c r="AE102" s="194" t="s">
        <v>1491</v>
      </c>
      <c r="AF102" s="194" t="s">
        <v>1491</v>
      </c>
      <c r="AG102" s="194" t="s">
        <v>1491</v>
      </c>
      <c r="AH102" s="194" t="s">
        <v>1491</v>
      </c>
    </row>
    <row r="103" spans="1:34">
      <c r="A103" s="177">
        <v>99</v>
      </c>
      <c r="B103" s="176" t="s">
        <v>1614</v>
      </c>
      <c r="C103" s="176" t="s">
        <v>1604</v>
      </c>
      <c r="D103" t="s">
        <v>1496</v>
      </c>
      <c r="E103" s="194" t="s">
        <v>1491</v>
      </c>
      <c r="F103" s="194" t="s">
        <v>1491</v>
      </c>
      <c r="G103" s="194" t="s">
        <v>1615</v>
      </c>
      <c r="H103" s="194" t="s">
        <v>1491</v>
      </c>
      <c r="I103" s="194" t="s">
        <v>1491</v>
      </c>
      <c r="J103" s="194" t="s">
        <v>1491</v>
      </c>
      <c r="K103" s="194" t="s">
        <v>1491</v>
      </c>
      <c r="L103" s="194" t="s">
        <v>1491</v>
      </c>
      <c r="M103" s="194" t="s">
        <v>1491</v>
      </c>
      <c r="N103" s="194" t="s">
        <v>1606</v>
      </c>
      <c r="O103" s="194" t="s">
        <v>1607</v>
      </c>
      <c r="P103" s="194" t="s">
        <v>1491</v>
      </c>
      <c r="Q103" s="194" t="s">
        <v>1491</v>
      </c>
      <c r="R103" s="194" t="s">
        <v>1491</v>
      </c>
      <c r="S103" s="194" t="s">
        <v>1491</v>
      </c>
      <c r="T103" s="194" t="s">
        <v>1491</v>
      </c>
      <c r="U103" s="194" t="s">
        <v>1491</v>
      </c>
      <c r="V103" s="194" t="s">
        <v>1491</v>
      </c>
      <c r="W103" s="194" t="s">
        <v>1491</v>
      </c>
      <c r="X103" s="194" t="s">
        <v>1491</v>
      </c>
      <c r="Y103" s="194" t="s">
        <v>1491</v>
      </c>
      <c r="Z103" s="194" t="s">
        <v>1491</v>
      </c>
      <c r="AA103" s="194" t="s">
        <v>1491</v>
      </c>
      <c r="AB103" s="194" t="s">
        <v>1491</v>
      </c>
      <c r="AC103" s="194" t="s">
        <v>1491</v>
      </c>
      <c r="AD103" s="194" t="s">
        <v>1491</v>
      </c>
      <c r="AE103" s="194" t="s">
        <v>1491</v>
      </c>
      <c r="AF103" s="194" t="s">
        <v>1491</v>
      </c>
      <c r="AG103" s="194" t="s">
        <v>1491</v>
      </c>
      <c r="AH103" s="194" t="s">
        <v>1491</v>
      </c>
    </row>
    <row r="104" spans="1:34">
      <c r="A104" s="177">
        <v>100</v>
      </c>
      <c r="B104" s="176" t="s">
        <v>1616</v>
      </c>
      <c r="C104" s="176" t="s">
        <v>1604</v>
      </c>
      <c r="D104" t="s">
        <v>1496</v>
      </c>
      <c r="E104" s="194" t="s">
        <v>1491</v>
      </c>
      <c r="F104" s="194" t="s">
        <v>1491</v>
      </c>
      <c r="G104" s="194" t="s">
        <v>1617</v>
      </c>
      <c r="H104" s="194" t="s">
        <v>1491</v>
      </c>
      <c r="I104" s="194" t="s">
        <v>1491</v>
      </c>
      <c r="J104" s="194" t="s">
        <v>1491</v>
      </c>
      <c r="K104" s="194" t="s">
        <v>1491</v>
      </c>
      <c r="L104" s="194" t="s">
        <v>1491</v>
      </c>
      <c r="M104" s="194" t="s">
        <v>1491</v>
      </c>
      <c r="N104" s="194" t="s">
        <v>1606</v>
      </c>
      <c r="O104" s="194" t="s">
        <v>1607</v>
      </c>
      <c r="P104" s="194" t="s">
        <v>1491</v>
      </c>
      <c r="Q104" s="194" t="s">
        <v>1491</v>
      </c>
      <c r="R104" s="194" t="s">
        <v>1491</v>
      </c>
      <c r="S104" s="194" t="s">
        <v>1491</v>
      </c>
      <c r="T104" s="194" t="s">
        <v>1491</v>
      </c>
      <c r="U104" s="194" t="s">
        <v>1491</v>
      </c>
      <c r="V104" s="194" t="s">
        <v>1491</v>
      </c>
      <c r="W104" s="194" t="s">
        <v>1491</v>
      </c>
      <c r="X104" s="194" t="s">
        <v>1491</v>
      </c>
      <c r="Y104" s="194" t="s">
        <v>1491</v>
      </c>
      <c r="Z104" s="194" t="s">
        <v>1491</v>
      </c>
      <c r="AA104" s="194" t="s">
        <v>1491</v>
      </c>
      <c r="AB104" s="194" t="s">
        <v>1491</v>
      </c>
      <c r="AC104" s="194" t="s">
        <v>1491</v>
      </c>
      <c r="AD104" s="194" t="s">
        <v>1491</v>
      </c>
      <c r="AE104" s="194" t="s">
        <v>1491</v>
      </c>
      <c r="AF104" s="194" t="s">
        <v>1491</v>
      </c>
      <c r="AG104" s="194" t="s">
        <v>1491</v>
      </c>
      <c r="AH104" s="194" t="s">
        <v>1491</v>
      </c>
    </row>
    <row r="105" spans="1:34">
      <c r="A105" s="177">
        <v>101</v>
      </c>
      <c r="B105" s="176" t="s">
        <v>1360</v>
      </c>
      <c r="C105" s="176" t="s">
        <v>1583</v>
      </c>
      <c r="D105" t="s">
        <v>1496</v>
      </c>
      <c r="E105" s="194" t="s">
        <v>1491</v>
      </c>
      <c r="F105" s="194" t="s">
        <v>1491</v>
      </c>
      <c r="G105" s="194" t="s">
        <v>1618</v>
      </c>
      <c r="H105" s="194" t="s">
        <v>1491</v>
      </c>
      <c r="I105" s="194" t="s">
        <v>1491</v>
      </c>
      <c r="J105" s="194" t="s">
        <v>1491</v>
      </c>
      <c r="K105" s="194" t="s">
        <v>1491</v>
      </c>
      <c r="L105" s="194" t="s">
        <v>1491</v>
      </c>
      <c r="M105" s="194" t="s">
        <v>1491</v>
      </c>
      <c r="N105" s="194" t="s">
        <v>1585</v>
      </c>
      <c r="O105" s="194" t="s">
        <v>1493</v>
      </c>
      <c r="P105" s="194" t="s">
        <v>1491</v>
      </c>
      <c r="Q105" s="194" t="s">
        <v>1491</v>
      </c>
      <c r="R105" s="194" t="s">
        <v>1491</v>
      </c>
      <c r="S105" s="194" t="s">
        <v>1491</v>
      </c>
      <c r="T105" s="194" t="s">
        <v>1491</v>
      </c>
      <c r="U105" s="194" t="s">
        <v>1491</v>
      </c>
      <c r="V105" s="194" t="s">
        <v>1491</v>
      </c>
      <c r="W105" s="194" t="s">
        <v>1491</v>
      </c>
      <c r="X105" s="194" t="s">
        <v>1491</v>
      </c>
      <c r="Y105" s="194" t="s">
        <v>1491</v>
      </c>
      <c r="Z105" s="194" t="s">
        <v>1491</v>
      </c>
      <c r="AA105" s="194" t="s">
        <v>1491</v>
      </c>
      <c r="AB105" s="194" t="s">
        <v>1491</v>
      </c>
      <c r="AC105" s="194" t="s">
        <v>1491</v>
      </c>
      <c r="AD105" s="194" t="s">
        <v>1491</v>
      </c>
      <c r="AE105" s="194" t="s">
        <v>1491</v>
      </c>
      <c r="AF105" s="194" t="s">
        <v>1491</v>
      </c>
      <c r="AG105" s="194" t="s">
        <v>1491</v>
      </c>
      <c r="AH105" s="194" t="s">
        <v>1491</v>
      </c>
    </row>
    <row r="106" spans="1:34">
      <c r="A106" s="177">
        <v>102</v>
      </c>
      <c r="B106" s="176" t="s">
        <v>1361</v>
      </c>
      <c r="C106" s="176" t="s">
        <v>1583</v>
      </c>
      <c r="D106" t="s">
        <v>1496</v>
      </c>
      <c r="E106" s="194" t="s">
        <v>1491</v>
      </c>
      <c r="F106" s="194" t="s">
        <v>1491</v>
      </c>
      <c r="G106" s="194" t="s">
        <v>1619</v>
      </c>
      <c r="H106" s="194" t="s">
        <v>1491</v>
      </c>
      <c r="I106" s="194" t="s">
        <v>1491</v>
      </c>
      <c r="J106" s="194" t="s">
        <v>1491</v>
      </c>
      <c r="K106" s="194" t="s">
        <v>1492</v>
      </c>
      <c r="L106" s="194" t="s">
        <v>1491</v>
      </c>
      <c r="M106" s="194" t="s">
        <v>1491</v>
      </c>
      <c r="N106" s="194" t="s">
        <v>1620</v>
      </c>
      <c r="O106" s="194" t="s">
        <v>1493</v>
      </c>
      <c r="P106" s="194" t="s">
        <v>1491</v>
      </c>
      <c r="Q106" s="194" t="s">
        <v>1491</v>
      </c>
      <c r="R106" s="194" t="s">
        <v>1491</v>
      </c>
      <c r="S106" s="194" t="s">
        <v>1491</v>
      </c>
      <c r="T106" s="194" t="s">
        <v>1491</v>
      </c>
      <c r="U106" s="194" t="s">
        <v>1491</v>
      </c>
      <c r="V106" s="194" t="s">
        <v>1491</v>
      </c>
      <c r="W106" s="194" t="s">
        <v>1491</v>
      </c>
      <c r="X106" s="194" t="s">
        <v>1491</v>
      </c>
      <c r="Y106" s="194" t="s">
        <v>1491</v>
      </c>
      <c r="Z106" s="194" t="s">
        <v>1491</v>
      </c>
      <c r="AA106" s="194" t="s">
        <v>1491</v>
      </c>
      <c r="AB106" s="194" t="s">
        <v>1491</v>
      </c>
      <c r="AC106" s="194" t="s">
        <v>1491</v>
      </c>
      <c r="AD106" s="194" t="s">
        <v>1491</v>
      </c>
      <c r="AE106" s="194" t="s">
        <v>1491</v>
      </c>
      <c r="AF106" s="194" t="s">
        <v>1491</v>
      </c>
      <c r="AG106" s="194" t="s">
        <v>1491</v>
      </c>
      <c r="AH106" s="194" t="s">
        <v>1491</v>
      </c>
    </row>
    <row r="107" spans="1:34">
      <c r="A107" s="177">
        <v>103</v>
      </c>
      <c r="B107" s="176" t="s">
        <v>1362</v>
      </c>
      <c r="C107" s="176" t="s">
        <v>1583</v>
      </c>
      <c r="D107" t="s">
        <v>1496</v>
      </c>
      <c r="E107" s="194" t="s">
        <v>1491</v>
      </c>
      <c r="F107" s="194" t="s">
        <v>1621</v>
      </c>
      <c r="G107" s="194" t="s">
        <v>1622</v>
      </c>
      <c r="H107" s="194" t="s">
        <v>1491</v>
      </c>
      <c r="I107" s="194" t="s">
        <v>1491</v>
      </c>
      <c r="J107" s="194" t="s">
        <v>1491</v>
      </c>
      <c r="K107" s="194" t="s">
        <v>1491</v>
      </c>
      <c r="L107" s="194" t="s">
        <v>1491</v>
      </c>
      <c r="M107" s="194" t="s">
        <v>1491</v>
      </c>
      <c r="N107" s="194" t="s">
        <v>1585</v>
      </c>
      <c r="O107" s="194" t="s">
        <v>1493</v>
      </c>
      <c r="P107" s="194" t="s">
        <v>1491</v>
      </c>
      <c r="Q107" s="194" t="s">
        <v>1491</v>
      </c>
      <c r="R107" s="194" t="s">
        <v>1491</v>
      </c>
      <c r="S107" s="194" t="s">
        <v>1491</v>
      </c>
      <c r="T107" s="194" t="s">
        <v>1491</v>
      </c>
      <c r="U107" s="194" t="s">
        <v>1491</v>
      </c>
      <c r="V107" s="194" t="s">
        <v>1491</v>
      </c>
      <c r="W107" s="194" t="s">
        <v>1491</v>
      </c>
      <c r="X107" s="194" t="s">
        <v>1491</v>
      </c>
      <c r="Y107" s="194" t="s">
        <v>1491</v>
      </c>
      <c r="Z107" s="194" t="s">
        <v>1491</v>
      </c>
      <c r="AA107" s="194" t="s">
        <v>1491</v>
      </c>
      <c r="AB107" s="194" t="s">
        <v>1491</v>
      </c>
      <c r="AC107" s="194" t="s">
        <v>1491</v>
      </c>
      <c r="AD107" s="194" t="s">
        <v>1491</v>
      </c>
      <c r="AE107" s="194" t="s">
        <v>1491</v>
      </c>
      <c r="AF107" s="194" t="s">
        <v>1491</v>
      </c>
      <c r="AG107" s="194" t="s">
        <v>1491</v>
      </c>
      <c r="AH107" s="194" t="s">
        <v>1491</v>
      </c>
    </row>
    <row r="108" spans="1:34">
      <c r="A108" s="177">
        <v>104</v>
      </c>
      <c r="B108" s="176" t="s">
        <v>1363</v>
      </c>
      <c r="C108" s="176" t="s">
        <v>1623</v>
      </c>
      <c r="D108" t="s">
        <v>1496</v>
      </c>
      <c r="E108" s="194" t="s">
        <v>1491</v>
      </c>
      <c r="F108" s="194" t="s">
        <v>1491</v>
      </c>
      <c r="G108" s="194" t="s">
        <v>1624</v>
      </c>
      <c r="H108" s="194" t="s">
        <v>1491</v>
      </c>
      <c r="I108" s="194" t="s">
        <v>1491</v>
      </c>
      <c r="J108" s="194" t="s">
        <v>1491</v>
      </c>
      <c r="K108" s="194" t="s">
        <v>1491</v>
      </c>
      <c r="L108" s="194" t="s">
        <v>1491</v>
      </c>
      <c r="M108" s="194" t="s">
        <v>1491</v>
      </c>
      <c r="N108" s="194" t="s">
        <v>1606</v>
      </c>
      <c r="O108" s="194" t="s">
        <v>1607</v>
      </c>
      <c r="P108" s="194" t="s">
        <v>1491</v>
      </c>
      <c r="Q108" s="194" t="s">
        <v>1491</v>
      </c>
      <c r="R108" s="194" t="s">
        <v>1491</v>
      </c>
      <c r="S108" s="194" t="s">
        <v>1491</v>
      </c>
      <c r="T108" s="194" t="s">
        <v>1491</v>
      </c>
      <c r="U108" s="194" t="s">
        <v>1491</v>
      </c>
      <c r="V108" s="194" t="s">
        <v>1491</v>
      </c>
      <c r="W108" s="194" t="s">
        <v>1491</v>
      </c>
      <c r="X108" s="194" t="s">
        <v>1491</v>
      </c>
      <c r="Y108" s="194" t="s">
        <v>1491</v>
      </c>
      <c r="Z108" s="194" t="s">
        <v>1491</v>
      </c>
      <c r="AA108" s="194" t="s">
        <v>1491</v>
      </c>
      <c r="AB108" s="194" t="s">
        <v>1491</v>
      </c>
      <c r="AC108" s="194" t="s">
        <v>1491</v>
      </c>
      <c r="AD108" s="194" t="s">
        <v>1491</v>
      </c>
      <c r="AE108" s="194" t="s">
        <v>1491</v>
      </c>
      <c r="AF108" s="194" t="s">
        <v>1491</v>
      </c>
      <c r="AG108" s="194" t="s">
        <v>1491</v>
      </c>
      <c r="AH108" s="194" t="s">
        <v>1491</v>
      </c>
    </row>
    <row r="109" spans="1:34">
      <c r="A109" s="177">
        <v>105</v>
      </c>
      <c r="B109" s="176" t="s">
        <v>1364</v>
      </c>
      <c r="C109" s="176" t="s">
        <v>1583</v>
      </c>
      <c r="D109" t="s">
        <v>1496</v>
      </c>
      <c r="E109" s="194" t="s">
        <v>1491</v>
      </c>
      <c r="F109" s="194" t="s">
        <v>1491</v>
      </c>
      <c r="G109" s="194" t="s">
        <v>1491</v>
      </c>
      <c r="H109" s="194" t="s">
        <v>1491</v>
      </c>
      <c r="I109" s="194" t="s">
        <v>1491</v>
      </c>
      <c r="J109" s="194" t="s">
        <v>1491</v>
      </c>
      <c r="K109" s="194" t="s">
        <v>1491</v>
      </c>
      <c r="L109" s="194" t="s">
        <v>1491</v>
      </c>
      <c r="M109" s="194" t="s">
        <v>1625</v>
      </c>
      <c r="N109" s="194" t="s">
        <v>1491</v>
      </c>
      <c r="O109" s="194" t="s">
        <v>1585</v>
      </c>
      <c r="P109" s="194" t="s">
        <v>1491</v>
      </c>
      <c r="Q109" s="194" t="s">
        <v>1491</v>
      </c>
      <c r="R109" s="194" t="s">
        <v>1491</v>
      </c>
      <c r="S109" s="194" t="s">
        <v>1491</v>
      </c>
      <c r="T109" s="194" t="s">
        <v>1491</v>
      </c>
      <c r="U109" s="194" t="s">
        <v>1491</v>
      </c>
      <c r="V109" s="194" t="s">
        <v>1491</v>
      </c>
      <c r="W109" s="194" t="s">
        <v>1491</v>
      </c>
      <c r="X109" s="194" t="s">
        <v>1491</v>
      </c>
      <c r="Y109" s="194" t="s">
        <v>1491</v>
      </c>
      <c r="Z109" s="194" t="s">
        <v>1491</v>
      </c>
      <c r="AA109" s="194" t="s">
        <v>1491</v>
      </c>
      <c r="AB109" s="194" t="s">
        <v>1491</v>
      </c>
      <c r="AC109" s="194" t="s">
        <v>1491</v>
      </c>
      <c r="AD109" s="194" t="s">
        <v>1491</v>
      </c>
      <c r="AE109" s="194" t="s">
        <v>1491</v>
      </c>
      <c r="AF109" s="194" t="s">
        <v>1491</v>
      </c>
      <c r="AG109" s="194" t="s">
        <v>1491</v>
      </c>
      <c r="AH109" s="194" t="s">
        <v>1491</v>
      </c>
    </row>
    <row r="110" spans="1:34">
      <c r="A110" s="177">
        <v>106</v>
      </c>
      <c r="B110" s="176" t="s">
        <v>1365</v>
      </c>
      <c r="C110" s="176" t="s">
        <v>1583</v>
      </c>
      <c r="D110" t="s">
        <v>1496</v>
      </c>
      <c r="E110" s="194" t="s">
        <v>1491</v>
      </c>
      <c r="F110" s="194" t="s">
        <v>1491</v>
      </c>
      <c r="G110" s="194" t="s">
        <v>1491</v>
      </c>
      <c r="H110" s="194" t="s">
        <v>1491</v>
      </c>
      <c r="I110" s="194" t="s">
        <v>1491</v>
      </c>
      <c r="J110" s="194" t="s">
        <v>1491</v>
      </c>
      <c r="K110" s="194" t="s">
        <v>1491</v>
      </c>
      <c r="L110" s="194" t="s">
        <v>1491</v>
      </c>
      <c r="M110" s="194" t="s">
        <v>1626</v>
      </c>
      <c r="N110" s="194" t="s">
        <v>1491</v>
      </c>
      <c r="O110" s="194" t="s">
        <v>1491</v>
      </c>
      <c r="P110" s="194" t="s">
        <v>1491</v>
      </c>
      <c r="Q110" s="194" t="s">
        <v>1491</v>
      </c>
      <c r="R110" s="194" t="s">
        <v>1491</v>
      </c>
      <c r="S110" s="194" t="s">
        <v>1491</v>
      </c>
      <c r="T110" s="194" t="s">
        <v>1491</v>
      </c>
      <c r="U110" s="194" t="s">
        <v>1491</v>
      </c>
      <c r="V110" s="194" t="s">
        <v>1491</v>
      </c>
      <c r="W110" s="194" t="s">
        <v>1491</v>
      </c>
      <c r="X110" s="194" t="s">
        <v>1491</v>
      </c>
      <c r="Y110" s="194" t="s">
        <v>1491</v>
      </c>
      <c r="Z110" s="194" t="s">
        <v>1491</v>
      </c>
      <c r="AA110" s="194" t="s">
        <v>1528</v>
      </c>
      <c r="AB110" s="194" t="s">
        <v>1491</v>
      </c>
      <c r="AC110" s="194" t="s">
        <v>1491</v>
      </c>
      <c r="AD110" s="194" t="s">
        <v>1491</v>
      </c>
      <c r="AE110" s="194" t="s">
        <v>1491</v>
      </c>
      <c r="AF110" s="194" t="s">
        <v>1491</v>
      </c>
      <c r="AG110" s="194" t="s">
        <v>1491</v>
      </c>
      <c r="AH110" s="194" t="s">
        <v>1491</v>
      </c>
    </row>
    <row r="111" spans="1:34">
      <c r="A111" s="177">
        <v>107</v>
      </c>
      <c r="B111" s="176" t="s">
        <v>1366</v>
      </c>
      <c r="C111" s="176" t="s">
        <v>1627</v>
      </c>
      <c r="D111" t="s">
        <v>1496</v>
      </c>
      <c r="E111" s="194" t="s">
        <v>1491</v>
      </c>
      <c r="F111" s="194" t="s">
        <v>1491</v>
      </c>
      <c r="G111" s="194" t="s">
        <v>1628</v>
      </c>
      <c r="H111" s="194" t="s">
        <v>1491</v>
      </c>
      <c r="I111" s="194" t="s">
        <v>1491</v>
      </c>
      <c r="J111" s="194" t="s">
        <v>1491</v>
      </c>
      <c r="K111" s="194" t="s">
        <v>1491</v>
      </c>
      <c r="L111" s="194" t="s">
        <v>1491</v>
      </c>
      <c r="M111" s="194" t="s">
        <v>1491</v>
      </c>
      <c r="N111" s="194" t="s">
        <v>1606</v>
      </c>
      <c r="O111" s="194" t="s">
        <v>1607</v>
      </c>
      <c r="P111" s="194" t="s">
        <v>1491</v>
      </c>
      <c r="Q111" s="194" t="s">
        <v>1491</v>
      </c>
      <c r="R111" s="194" t="s">
        <v>1491</v>
      </c>
      <c r="S111" s="194" t="s">
        <v>1491</v>
      </c>
      <c r="T111" s="194" t="s">
        <v>1491</v>
      </c>
      <c r="U111" s="194" t="s">
        <v>1491</v>
      </c>
      <c r="V111" s="194" t="s">
        <v>1491</v>
      </c>
      <c r="W111" s="194" t="s">
        <v>1491</v>
      </c>
      <c r="X111" s="194" t="s">
        <v>1491</v>
      </c>
      <c r="Y111" s="194" t="s">
        <v>1491</v>
      </c>
      <c r="Z111" s="194" t="s">
        <v>1491</v>
      </c>
      <c r="AA111" s="194" t="s">
        <v>1491</v>
      </c>
      <c r="AB111" s="194" t="s">
        <v>1491</v>
      </c>
      <c r="AC111" s="194" t="s">
        <v>1491</v>
      </c>
      <c r="AD111" s="194" t="s">
        <v>1491</v>
      </c>
      <c r="AE111" s="194" t="s">
        <v>1491</v>
      </c>
      <c r="AF111" s="194" t="s">
        <v>1491</v>
      </c>
      <c r="AG111" s="194" t="s">
        <v>1491</v>
      </c>
      <c r="AH111" s="194" t="s">
        <v>1491</v>
      </c>
    </row>
    <row r="112" spans="1:34">
      <c r="A112" s="177">
        <v>108</v>
      </c>
      <c r="B112" s="176" t="s">
        <v>1367</v>
      </c>
      <c r="C112" s="176" t="s">
        <v>1629</v>
      </c>
      <c r="D112" t="s">
        <v>1496</v>
      </c>
      <c r="E112" s="194" t="s">
        <v>1491</v>
      </c>
      <c r="F112" s="194" t="s">
        <v>1491</v>
      </c>
      <c r="G112" s="194" t="s">
        <v>1491</v>
      </c>
      <c r="H112" s="194" t="s">
        <v>1491</v>
      </c>
      <c r="I112" s="194" t="s">
        <v>1491</v>
      </c>
      <c r="J112" s="194" t="s">
        <v>1491</v>
      </c>
      <c r="K112" s="194" t="s">
        <v>1492</v>
      </c>
      <c r="L112" s="194" t="s">
        <v>1491</v>
      </c>
      <c r="M112" s="194" t="s">
        <v>1630</v>
      </c>
      <c r="N112" s="194" t="s">
        <v>1585</v>
      </c>
      <c r="O112" s="194" t="s">
        <v>1493</v>
      </c>
      <c r="P112" s="194" t="s">
        <v>1491</v>
      </c>
      <c r="Q112" s="194" t="s">
        <v>1491</v>
      </c>
      <c r="R112" s="194" t="s">
        <v>1491</v>
      </c>
      <c r="S112" s="194" t="s">
        <v>1491</v>
      </c>
      <c r="T112" s="194" t="s">
        <v>1491</v>
      </c>
      <c r="U112" s="194" t="s">
        <v>1491</v>
      </c>
      <c r="V112" s="194" t="s">
        <v>1491</v>
      </c>
      <c r="W112" s="194" t="s">
        <v>1491</v>
      </c>
      <c r="X112" s="194" t="s">
        <v>1491</v>
      </c>
      <c r="Y112" s="194" t="s">
        <v>1491</v>
      </c>
      <c r="Z112" s="194" t="s">
        <v>1491</v>
      </c>
      <c r="AA112" s="194" t="s">
        <v>1491</v>
      </c>
      <c r="AB112" s="194" t="s">
        <v>1491</v>
      </c>
      <c r="AC112" s="194" t="s">
        <v>1491</v>
      </c>
      <c r="AD112" s="194" t="s">
        <v>1491</v>
      </c>
      <c r="AE112" s="194" t="s">
        <v>1491</v>
      </c>
      <c r="AF112" s="194" t="s">
        <v>1491</v>
      </c>
      <c r="AG112" s="194" t="s">
        <v>1491</v>
      </c>
      <c r="AH112" s="194" t="s">
        <v>1491</v>
      </c>
    </row>
    <row r="113" spans="1:34">
      <c r="A113" s="177">
        <v>109</v>
      </c>
      <c r="B113" s="176" t="s">
        <v>1368</v>
      </c>
      <c r="C113" s="176" t="s">
        <v>1631</v>
      </c>
      <c r="D113" t="s">
        <v>1496</v>
      </c>
      <c r="E113" s="194" t="s">
        <v>1491</v>
      </c>
      <c r="F113" s="194" t="s">
        <v>1491</v>
      </c>
      <c r="G113" s="194" t="s">
        <v>1632</v>
      </c>
      <c r="H113" s="194" t="s">
        <v>1491</v>
      </c>
      <c r="I113" s="194" t="s">
        <v>1491</v>
      </c>
      <c r="J113" s="194" t="s">
        <v>1491</v>
      </c>
      <c r="K113" s="194" t="s">
        <v>1491</v>
      </c>
      <c r="L113" s="194" t="s">
        <v>1491</v>
      </c>
      <c r="M113" s="194" t="s">
        <v>1491</v>
      </c>
      <c r="N113" s="194" t="s">
        <v>1606</v>
      </c>
      <c r="O113" s="194" t="s">
        <v>1607</v>
      </c>
      <c r="P113" s="194" t="s">
        <v>1491</v>
      </c>
      <c r="Q113" s="194" t="s">
        <v>1491</v>
      </c>
      <c r="R113" s="194" t="s">
        <v>1491</v>
      </c>
      <c r="S113" s="194" t="s">
        <v>1491</v>
      </c>
      <c r="T113" s="194" t="s">
        <v>1491</v>
      </c>
      <c r="U113" s="194" t="s">
        <v>1491</v>
      </c>
      <c r="V113" s="194" t="s">
        <v>1491</v>
      </c>
      <c r="W113" s="194" t="s">
        <v>1491</v>
      </c>
      <c r="X113" s="194" t="s">
        <v>1491</v>
      </c>
      <c r="Y113" s="194" t="s">
        <v>1491</v>
      </c>
      <c r="Z113" s="194" t="s">
        <v>1491</v>
      </c>
      <c r="AA113" s="194" t="s">
        <v>1491</v>
      </c>
      <c r="AB113" s="194" t="s">
        <v>1491</v>
      </c>
      <c r="AC113" s="194" t="s">
        <v>1491</v>
      </c>
      <c r="AD113" s="194" t="s">
        <v>1491</v>
      </c>
      <c r="AE113" s="194" t="s">
        <v>1491</v>
      </c>
      <c r="AF113" s="194" t="s">
        <v>1491</v>
      </c>
      <c r="AG113" s="194" t="s">
        <v>1491</v>
      </c>
      <c r="AH113" s="194" t="s">
        <v>1491</v>
      </c>
    </row>
    <row r="114" spans="1:34">
      <c r="A114" s="177">
        <v>110</v>
      </c>
      <c r="B114" s="176" t="s">
        <v>1369</v>
      </c>
      <c r="C114" s="176" t="s">
        <v>1633</v>
      </c>
      <c r="D114" t="s">
        <v>1496</v>
      </c>
      <c r="E114" s="194" t="s">
        <v>1491</v>
      </c>
      <c r="F114" s="194" t="s">
        <v>1491</v>
      </c>
      <c r="G114" s="194" t="s">
        <v>1491</v>
      </c>
      <c r="H114" s="194" t="s">
        <v>1491</v>
      </c>
      <c r="I114" s="194" t="s">
        <v>1491</v>
      </c>
      <c r="J114" s="194" t="s">
        <v>1491</v>
      </c>
      <c r="K114" s="194" t="s">
        <v>1491</v>
      </c>
      <c r="L114" s="194" t="s">
        <v>1491</v>
      </c>
      <c r="M114" s="194" t="s">
        <v>1634</v>
      </c>
      <c r="N114" s="194" t="s">
        <v>1585</v>
      </c>
      <c r="O114" s="194" t="s">
        <v>1493</v>
      </c>
      <c r="P114" s="194" t="s">
        <v>1491</v>
      </c>
      <c r="Q114" s="194" t="s">
        <v>1491</v>
      </c>
      <c r="R114" s="194" t="s">
        <v>1491</v>
      </c>
      <c r="S114" s="194" t="s">
        <v>1491</v>
      </c>
      <c r="T114" s="194" t="s">
        <v>1491</v>
      </c>
      <c r="U114" s="194" t="s">
        <v>1491</v>
      </c>
      <c r="V114" s="194" t="s">
        <v>1491</v>
      </c>
      <c r="W114" s="194" t="s">
        <v>1491</v>
      </c>
      <c r="X114" s="194" t="s">
        <v>1491</v>
      </c>
      <c r="Y114" s="194" t="s">
        <v>1491</v>
      </c>
      <c r="Z114" s="194" t="s">
        <v>1491</v>
      </c>
      <c r="AA114" s="194" t="s">
        <v>1491</v>
      </c>
      <c r="AB114" s="194" t="s">
        <v>1491</v>
      </c>
      <c r="AC114" s="194" t="s">
        <v>1491</v>
      </c>
      <c r="AD114" s="194" t="s">
        <v>1491</v>
      </c>
      <c r="AE114" s="194" t="s">
        <v>1491</v>
      </c>
      <c r="AF114" s="194" t="s">
        <v>1491</v>
      </c>
      <c r="AG114" s="194" t="s">
        <v>1491</v>
      </c>
      <c r="AH114" s="194" t="s">
        <v>1491</v>
      </c>
    </row>
    <row r="115" spans="1:34">
      <c r="A115" s="177">
        <v>111</v>
      </c>
      <c r="B115" s="176" t="s">
        <v>1370</v>
      </c>
      <c r="C115" s="176" t="s">
        <v>1583</v>
      </c>
      <c r="D115" t="s">
        <v>1496</v>
      </c>
      <c r="E115" s="194" t="s">
        <v>1491</v>
      </c>
      <c r="F115" s="194" t="s">
        <v>1491</v>
      </c>
      <c r="G115" s="194" t="s">
        <v>1491</v>
      </c>
      <c r="H115" s="194" t="s">
        <v>1491</v>
      </c>
      <c r="I115" s="194" t="s">
        <v>1491</v>
      </c>
      <c r="J115" s="194" t="s">
        <v>1491</v>
      </c>
      <c r="K115" s="194" t="s">
        <v>1491</v>
      </c>
      <c r="L115" s="194" t="s">
        <v>1491</v>
      </c>
      <c r="M115" s="194" t="s">
        <v>1635</v>
      </c>
      <c r="N115" s="194" t="s">
        <v>1585</v>
      </c>
      <c r="O115" s="194" t="s">
        <v>1636</v>
      </c>
      <c r="P115" s="194" t="s">
        <v>1491</v>
      </c>
      <c r="Q115" s="194" t="s">
        <v>1491</v>
      </c>
      <c r="R115" s="194" t="s">
        <v>1491</v>
      </c>
      <c r="S115" s="194" t="s">
        <v>1491</v>
      </c>
      <c r="T115" s="194" t="s">
        <v>1491</v>
      </c>
      <c r="U115" s="194" t="s">
        <v>1491</v>
      </c>
      <c r="V115" s="194" t="s">
        <v>1491</v>
      </c>
      <c r="W115" s="194" t="s">
        <v>1491</v>
      </c>
      <c r="X115" s="194" t="s">
        <v>1491</v>
      </c>
      <c r="Y115" s="194" t="s">
        <v>1491</v>
      </c>
      <c r="Z115" s="194" t="s">
        <v>1491</v>
      </c>
      <c r="AA115" s="194" t="s">
        <v>1491</v>
      </c>
      <c r="AB115" s="194" t="s">
        <v>1491</v>
      </c>
      <c r="AC115" s="194" t="s">
        <v>1491</v>
      </c>
      <c r="AD115" s="194" t="s">
        <v>1491</v>
      </c>
      <c r="AE115" s="194" t="s">
        <v>1491</v>
      </c>
      <c r="AF115" s="194" t="s">
        <v>1491</v>
      </c>
      <c r="AG115" s="194" t="s">
        <v>1491</v>
      </c>
      <c r="AH115" s="194" t="s">
        <v>1491</v>
      </c>
    </row>
    <row r="116" spans="1:34">
      <c r="A116" s="177">
        <v>112</v>
      </c>
      <c r="B116" s="176" t="s">
        <v>1371</v>
      </c>
      <c r="C116" s="176" t="s">
        <v>1637</v>
      </c>
      <c r="D116" t="s">
        <v>1496</v>
      </c>
      <c r="E116" s="194" t="s">
        <v>1491</v>
      </c>
      <c r="F116" s="194" t="s">
        <v>1491</v>
      </c>
      <c r="G116" s="194" t="s">
        <v>1638</v>
      </c>
      <c r="H116" s="194" t="s">
        <v>1491</v>
      </c>
      <c r="I116" s="194" t="s">
        <v>1491</v>
      </c>
      <c r="J116" s="194" t="s">
        <v>1491</v>
      </c>
      <c r="K116" s="194" t="s">
        <v>1492</v>
      </c>
      <c r="L116" s="194" t="s">
        <v>1491</v>
      </c>
      <c r="M116" s="194" t="s">
        <v>1491</v>
      </c>
      <c r="N116" s="194" t="s">
        <v>1639</v>
      </c>
      <c r="O116" s="194" t="s">
        <v>1493</v>
      </c>
      <c r="P116" s="194" t="s">
        <v>1491</v>
      </c>
      <c r="Q116" s="194" t="s">
        <v>1491</v>
      </c>
      <c r="R116" s="194" t="s">
        <v>1491</v>
      </c>
      <c r="S116" s="194" t="s">
        <v>1491</v>
      </c>
      <c r="T116" s="194" t="s">
        <v>1491</v>
      </c>
      <c r="U116" s="194" t="s">
        <v>1491</v>
      </c>
      <c r="V116" s="194" t="s">
        <v>1491</v>
      </c>
      <c r="W116" s="194" t="s">
        <v>1491</v>
      </c>
      <c r="X116" s="194" t="s">
        <v>1491</v>
      </c>
      <c r="Y116" s="194" t="s">
        <v>1491</v>
      </c>
      <c r="Z116" s="194" t="s">
        <v>1491</v>
      </c>
      <c r="AA116" s="194" t="s">
        <v>1491</v>
      </c>
      <c r="AB116" s="194" t="s">
        <v>1491</v>
      </c>
      <c r="AC116" s="194" t="s">
        <v>1491</v>
      </c>
      <c r="AD116" s="194" t="s">
        <v>1491</v>
      </c>
      <c r="AE116" s="194" t="s">
        <v>1491</v>
      </c>
      <c r="AF116" s="194" t="s">
        <v>1491</v>
      </c>
      <c r="AG116" s="194" t="s">
        <v>1491</v>
      </c>
      <c r="AH116" s="194" t="s">
        <v>1491</v>
      </c>
    </row>
    <row r="117" spans="1:34">
      <c r="A117" s="177">
        <v>113</v>
      </c>
      <c r="B117" s="176" t="s">
        <v>1372</v>
      </c>
      <c r="C117" s="200" t="s">
        <v>1027</v>
      </c>
      <c r="D117" t="s">
        <v>1496</v>
      </c>
      <c r="E117" s="194" t="s">
        <v>1491</v>
      </c>
      <c r="F117" s="194" t="s">
        <v>1491</v>
      </c>
      <c r="G117" s="194" t="s">
        <v>1491</v>
      </c>
      <c r="H117" s="194" t="s">
        <v>1491</v>
      </c>
      <c r="I117" s="194" t="s">
        <v>1491</v>
      </c>
      <c r="J117" s="194" t="s">
        <v>1491</v>
      </c>
      <c r="K117" s="194" t="s">
        <v>1492</v>
      </c>
      <c r="L117" s="194" t="s">
        <v>1491</v>
      </c>
      <c r="M117" s="194" t="s">
        <v>1640</v>
      </c>
      <c r="N117" s="194" t="s">
        <v>1585</v>
      </c>
      <c r="O117" s="194" t="s">
        <v>1493</v>
      </c>
      <c r="P117" s="194" t="s">
        <v>1491</v>
      </c>
      <c r="Q117" s="194" t="s">
        <v>1491</v>
      </c>
      <c r="R117" s="194" t="s">
        <v>1491</v>
      </c>
      <c r="S117" s="194" t="s">
        <v>1491</v>
      </c>
      <c r="T117" s="194" t="s">
        <v>1491</v>
      </c>
      <c r="U117" s="194" t="s">
        <v>1491</v>
      </c>
      <c r="V117" s="194" t="s">
        <v>1491</v>
      </c>
      <c r="W117" s="194" t="s">
        <v>1491</v>
      </c>
      <c r="X117" s="194" t="s">
        <v>1491</v>
      </c>
      <c r="Y117" s="194" t="s">
        <v>1491</v>
      </c>
      <c r="Z117" s="194" t="s">
        <v>1491</v>
      </c>
      <c r="AA117" s="194" t="s">
        <v>1491</v>
      </c>
      <c r="AB117" s="194" t="s">
        <v>1491</v>
      </c>
      <c r="AC117" s="194" t="s">
        <v>1491</v>
      </c>
      <c r="AD117" s="194" t="s">
        <v>1491</v>
      </c>
      <c r="AE117" s="194" t="s">
        <v>1491</v>
      </c>
      <c r="AF117" s="194" t="s">
        <v>1491</v>
      </c>
      <c r="AG117" s="194" t="s">
        <v>1491</v>
      </c>
      <c r="AH117" s="194" t="s">
        <v>1491</v>
      </c>
    </row>
    <row r="118" spans="1:34">
      <c r="A118" s="177">
        <v>114</v>
      </c>
      <c r="B118" s="176" t="s">
        <v>1278</v>
      </c>
      <c r="C118" s="176" t="s">
        <v>1641</v>
      </c>
      <c r="D118" t="s">
        <v>1496</v>
      </c>
      <c r="E118" s="194" t="s">
        <v>1491</v>
      </c>
      <c r="F118" s="194" t="s">
        <v>1491</v>
      </c>
      <c r="G118" s="194" t="s">
        <v>1491</v>
      </c>
      <c r="H118" s="194" t="s">
        <v>1491</v>
      </c>
      <c r="I118" s="194" t="s">
        <v>1491</v>
      </c>
      <c r="J118" s="194" t="s">
        <v>1491</v>
      </c>
      <c r="K118" s="194" t="s">
        <v>1491</v>
      </c>
      <c r="L118" s="194" t="s">
        <v>1491</v>
      </c>
      <c r="M118" s="194" t="s">
        <v>1642</v>
      </c>
      <c r="N118" s="194" t="s">
        <v>1505</v>
      </c>
      <c r="O118" s="194" t="s">
        <v>1493</v>
      </c>
      <c r="P118" s="194" t="s">
        <v>1491</v>
      </c>
      <c r="Q118" s="194" t="s">
        <v>1491</v>
      </c>
      <c r="R118" s="194" t="s">
        <v>1491</v>
      </c>
      <c r="S118" s="194" t="s">
        <v>1491</v>
      </c>
      <c r="T118" s="194" t="s">
        <v>1491</v>
      </c>
      <c r="U118" s="194" t="s">
        <v>1491</v>
      </c>
      <c r="V118" s="194" t="s">
        <v>1491</v>
      </c>
      <c r="W118" s="194" t="s">
        <v>1491</v>
      </c>
      <c r="X118" s="194" t="s">
        <v>1491</v>
      </c>
      <c r="Y118" s="194" t="s">
        <v>1491</v>
      </c>
      <c r="Z118" s="194" t="s">
        <v>1491</v>
      </c>
      <c r="AA118" s="194" t="s">
        <v>1491</v>
      </c>
      <c r="AB118" s="194" t="s">
        <v>1491</v>
      </c>
      <c r="AC118" s="194" t="s">
        <v>1491</v>
      </c>
      <c r="AD118" s="194" t="s">
        <v>1491</v>
      </c>
      <c r="AE118" s="194" t="s">
        <v>1491</v>
      </c>
      <c r="AF118" s="194" t="s">
        <v>1491</v>
      </c>
      <c r="AG118" s="194" t="s">
        <v>1491</v>
      </c>
      <c r="AH118" s="194" t="s">
        <v>1491</v>
      </c>
    </row>
    <row r="119" spans="1:34">
      <c r="A119" s="177">
        <v>115</v>
      </c>
      <c r="B119" s="176" t="s">
        <v>1282</v>
      </c>
      <c r="C119" s="176" t="s">
        <v>1641</v>
      </c>
      <c r="D119" t="s">
        <v>1496</v>
      </c>
      <c r="E119" s="194" t="s">
        <v>1491</v>
      </c>
      <c r="F119" s="194" t="s">
        <v>1491</v>
      </c>
      <c r="G119" s="194" t="s">
        <v>1491</v>
      </c>
      <c r="H119" s="194" t="s">
        <v>1491</v>
      </c>
      <c r="I119" s="194" t="s">
        <v>1491</v>
      </c>
      <c r="J119" s="194" t="s">
        <v>1491</v>
      </c>
      <c r="K119" s="194" t="s">
        <v>1491</v>
      </c>
      <c r="L119" s="194" t="s">
        <v>1491</v>
      </c>
      <c r="M119" s="194" t="s">
        <v>1643</v>
      </c>
      <c r="N119" s="194" t="s">
        <v>1505</v>
      </c>
      <c r="O119" s="194" t="s">
        <v>1493</v>
      </c>
      <c r="P119" s="194" t="s">
        <v>1491</v>
      </c>
      <c r="Q119" s="194" t="s">
        <v>1491</v>
      </c>
      <c r="R119" s="194" t="s">
        <v>1491</v>
      </c>
      <c r="S119" s="194" t="s">
        <v>1491</v>
      </c>
      <c r="T119" s="194" t="s">
        <v>1491</v>
      </c>
      <c r="U119" s="194" t="s">
        <v>1491</v>
      </c>
      <c r="V119" s="194" t="s">
        <v>1491</v>
      </c>
      <c r="W119" s="194" t="s">
        <v>1491</v>
      </c>
      <c r="X119" s="194" t="s">
        <v>1491</v>
      </c>
      <c r="Y119" s="194" t="s">
        <v>1491</v>
      </c>
      <c r="Z119" s="194" t="s">
        <v>1491</v>
      </c>
      <c r="AA119" s="194" t="s">
        <v>1491</v>
      </c>
      <c r="AB119" s="194" t="s">
        <v>1491</v>
      </c>
      <c r="AC119" s="194" t="s">
        <v>1491</v>
      </c>
      <c r="AD119" s="194" t="s">
        <v>1491</v>
      </c>
      <c r="AE119" s="194" t="s">
        <v>1491</v>
      </c>
      <c r="AF119" s="194" t="s">
        <v>1491</v>
      </c>
      <c r="AG119" s="194" t="s">
        <v>1491</v>
      </c>
      <c r="AH119" s="194" t="s">
        <v>1491</v>
      </c>
    </row>
    <row r="120" spans="1:34">
      <c r="A120" s="177">
        <v>116</v>
      </c>
      <c r="B120" s="176" t="s">
        <v>1644</v>
      </c>
      <c r="C120" s="176" t="s">
        <v>1641</v>
      </c>
      <c r="D120" t="s">
        <v>1496</v>
      </c>
      <c r="E120" s="194" t="s">
        <v>1491</v>
      </c>
      <c r="F120" s="194" t="s">
        <v>1491</v>
      </c>
      <c r="G120" s="194" t="s">
        <v>1491</v>
      </c>
      <c r="H120" s="194" t="s">
        <v>1491</v>
      </c>
      <c r="I120" s="194" t="s">
        <v>1491</v>
      </c>
      <c r="J120" s="194" t="s">
        <v>1491</v>
      </c>
      <c r="K120" s="194" t="s">
        <v>1491</v>
      </c>
      <c r="L120" s="194" t="s">
        <v>1491</v>
      </c>
      <c r="M120" s="194" t="s">
        <v>1634</v>
      </c>
      <c r="N120" s="194" t="s">
        <v>1505</v>
      </c>
      <c r="O120" s="194" t="s">
        <v>1493</v>
      </c>
      <c r="P120" s="194" t="s">
        <v>1491</v>
      </c>
      <c r="Q120" s="194" t="s">
        <v>1491</v>
      </c>
      <c r="R120" s="194" t="s">
        <v>1491</v>
      </c>
      <c r="S120" s="194" t="s">
        <v>1491</v>
      </c>
      <c r="T120" s="194" t="s">
        <v>1491</v>
      </c>
      <c r="U120" s="194" t="s">
        <v>1491</v>
      </c>
      <c r="V120" s="194" t="s">
        <v>1491</v>
      </c>
      <c r="W120" s="194" t="s">
        <v>1491</v>
      </c>
      <c r="X120" s="194" t="s">
        <v>1491</v>
      </c>
      <c r="Y120" s="194" t="s">
        <v>1491</v>
      </c>
      <c r="Z120" s="194" t="s">
        <v>1491</v>
      </c>
      <c r="AA120" s="194" t="s">
        <v>1645</v>
      </c>
      <c r="AB120" s="194" t="s">
        <v>1491</v>
      </c>
      <c r="AC120" s="194" t="s">
        <v>1495</v>
      </c>
      <c r="AD120" s="194" t="s">
        <v>1491</v>
      </c>
      <c r="AE120" s="194" t="s">
        <v>1491</v>
      </c>
      <c r="AF120" s="194" t="s">
        <v>1491</v>
      </c>
      <c r="AG120" s="194" t="s">
        <v>1491</v>
      </c>
      <c r="AH120" s="194" t="s">
        <v>1491</v>
      </c>
    </row>
    <row r="121" spans="1:34">
      <c r="A121" s="177">
        <v>117</v>
      </c>
      <c r="B121" s="176" t="s">
        <v>220</v>
      </c>
      <c r="C121" s="176" t="s">
        <v>1646</v>
      </c>
      <c r="D121" t="s">
        <v>1496</v>
      </c>
      <c r="E121" s="194" t="s">
        <v>1491</v>
      </c>
      <c r="F121" s="194" t="s">
        <v>1491</v>
      </c>
      <c r="G121" s="194" t="s">
        <v>1491</v>
      </c>
      <c r="H121" s="194" t="s">
        <v>1491</v>
      </c>
      <c r="I121" s="194" t="s">
        <v>1491</v>
      </c>
      <c r="J121" s="194" t="s">
        <v>1647</v>
      </c>
      <c r="K121" s="194" t="s">
        <v>1491</v>
      </c>
      <c r="L121" s="194" t="s">
        <v>1491</v>
      </c>
      <c r="M121" s="194" t="s">
        <v>1491</v>
      </c>
      <c r="N121" s="194" t="s">
        <v>1648</v>
      </c>
      <c r="O121" s="194" t="s">
        <v>1493</v>
      </c>
      <c r="P121" s="194" t="s">
        <v>1491</v>
      </c>
      <c r="Q121" s="194" t="s">
        <v>1491</v>
      </c>
      <c r="R121" s="194" t="s">
        <v>1491</v>
      </c>
      <c r="S121" s="194" t="s">
        <v>1491</v>
      </c>
      <c r="T121" s="194" t="s">
        <v>1491</v>
      </c>
      <c r="U121" s="194" t="s">
        <v>1491</v>
      </c>
      <c r="V121" s="194" t="s">
        <v>1491</v>
      </c>
      <c r="W121" s="194" t="s">
        <v>1491</v>
      </c>
      <c r="X121" s="194" t="s">
        <v>1491</v>
      </c>
      <c r="Y121" s="194" t="s">
        <v>1491</v>
      </c>
      <c r="Z121" s="194" t="s">
        <v>1491</v>
      </c>
      <c r="AA121" s="194" t="s">
        <v>1491</v>
      </c>
      <c r="AB121" s="194" t="s">
        <v>1491</v>
      </c>
      <c r="AC121" s="194" t="s">
        <v>1491</v>
      </c>
      <c r="AD121" s="194" t="s">
        <v>1491</v>
      </c>
      <c r="AE121" s="194" t="s">
        <v>1491</v>
      </c>
      <c r="AF121" s="194" t="s">
        <v>1491</v>
      </c>
      <c r="AG121" s="194" t="s">
        <v>1491</v>
      </c>
      <c r="AH121" s="194" t="s">
        <v>1491</v>
      </c>
    </row>
    <row r="122" spans="1:34">
      <c r="A122" s="177">
        <v>118</v>
      </c>
      <c r="B122" s="176" t="s">
        <v>218</v>
      </c>
      <c r="C122" s="176" t="s">
        <v>1646</v>
      </c>
      <c r="D122" t="s">
        <v>1496</v>
      </c>
      <c r="E122" s="194" t="s">
        <v>1491</v>
      </c>
      <c r="F122" s="194" t="s">
        <v>1491</v>
      </c>
      <c r="G122" s="194" t="s">
        <v>1491</v>
      </c>
      <c r="H122" s="194" t="s">
        <v>1491</v>
      </c>
      <c r="I122" s="194" t="s">
        <v>1491</v>
      </c>
      <c r="J122" s="194" t="s">
        <v>1647</v>
      </c>
      <c r="K122" s="194" t="s">
        <v>1491</v>
      </c>
      <c r="L122" s="194" t="s">
        <v>1491</v>
      </c>
      <c r="M122" s="194" t="s">
        <v>1491</v>
      </c>
      <c r="N122" s="194" t="s">
        <v>1649</v>
      </c>
      <c r="O122" s="194" t="s">
        <v>1493</v>
      </c>
      <c r="P122" s="194" t="s">
        <v>1491</v>
      </c>
      <c r="Q122" s="194" t="s">
        <v>1491</v>
      </c>
      <c r="R122" s="194" t="s">
        <v>1491</v>
      </c>
      <c r="S122" s="194" t="s">
        <v>1491</v>
      </c>
      <c r="T122" s="194" t="s">
        <v>1491</v>
      </c>
      <c r="U122" s="194" t="s">
        <v>1491</v>
      </c>
      <c r="V122" s="194" t="s">
        <v>1491</v>
      </c>
      <c r="W122" s="194" t="s">
        <v>1491</v>
      </c>
      <c r="X122" s="194" t="s">
        <v>1491</v>
      </c>
      <c r="Y122" s="194" t="s">
        <v>1491</v>
      </c>
      <c r="Z122" s="194" t="s">
        <v>1491</v>
      </c>
      <c r="AA122" s="194" t="s">
        <v>1491</v>
      </c>
      <c r="AB122" s="194" t="s">
        <v>1491</v>
      </c>
      <c r="AC122" s="194" t="s">
        <v>1491</v>
      </c>
      <c r="AD122" s="194" t="s">
        <v>1491</v>
      </c>
      <c r="AE122" s="194" t="s">
        <v>1491</v>
      </c>
      <c r="AF122" s="194" t="s">
        <v>1491</v>
      </c>
      <c r="AG122" s="194" t="s">
        <v>1491</v>
      </c>
      <c r="AH122" s="194" t="s">
        <v>1491</v>
      </c>
    </row>
    <row r="123" spans="1:34">
      <c r="A123" s="177">
        <v>119</v>
      </c>
      <c r="B123" s="176" t="s">
        <v>219</v>
      </c>
      <c r="C123" s="176" t="s">
        <v>1646</v>
      </c>
      <c r="D123" t="s">
        <v>1496</v>
      </c>
      <c r="E123" s="194" t="s">
        <v>1491</v>
      </c>
      <c r="F123" s="194" t="s">
        <v>1491</v>
      </c>
      <c r="G123" s="194" t="s">
        <v>1491</v>
      </c>
      <c r="H123" s="194" t="s">
        <v>1491</v>
      </c>
      <c r="I123" s="194" t="s">
        <v>1491</v>
      </c>
      <c r="J123" s="194" t="s">
        <v>1647</v>
      </c>
      <c r="K123" s="194" t="s">
        <v>1491</v>
      </c>
      <c r="L123" s="194" t="s">
        <v>1491</v>
      </c>
      <c r="M123" s="194" t="s">
        <v>1491</v>
      </c>
      <c r="N123" s="194" t="s">
        <v>1650</v>
      </c>
      <c r="O123" s="194" t="s">
        <v>1510</v>
      </c>
      <c r="P123" s="194" t="s">
        <v>1491</v>
      </c>
      <c r="Q123" s="194" t="s">
        <v>1491</v>
      </c>
      <c r="R123" s="194" t="s">
        <v>1491</v>
      </c>
      <c r="S123" s="194" t="s">
        <v>1491</v>
      </c>
      <c r="T123" s="194" t="s">
        <v>1491</v>
      </c>
      <c r="U123" s="194" t="s">
        <v>1651</v>
      </c>
      <c r="V123" s="194" t="s">
        <v>1491</v>
      </c>
      <c r="W123" s="194" t="s">
        <v>1491</v>
      </c>
      <c r="X123" s="194" t="s">
        <v>1491</v>
      </c>
      <c r="Y123" s="194" t="s">
        <v>1491</v>
      </c>
      <c r="Z123" s="194" t="s">
        <v>1491</v>
      </c>
      <c r="AA123" s="194" t="s">
        <v>1491</v>
      </c>
      <c r="AB123" s="194" t="s">
        <v>1491</v>
      </c>
      <c r="AC123" s="194" t="s">
        <v>1491</v>
      </c>
      <c r="AD123" s="194" t="s">
        <v>1491</v>
      </c>
      <c r="AE123" s="194" t="s">
        <v>1491</v>
      </c>
      <c r="AF123" s="194" t="s">
        <v>1491</v>
      </c>
      <c r="AG123" s="194" t="s">
        <v>1491</v>
      </c>
      <c r="AH123" s="194" t="s">
        <v>1491</v>
      </c>
    </row>
    <row r="124" spans="1:34">
      <c r="A124" s="177">
        <v>120</v>
      </c>
      <c r="B124" s="176" t="s">
        <v>1652</v>
      </c>
      <c r="C124" s="176" t="s">
        <v>1653</v>
      </c>
      <c r="D124" t="s">
        <v>1496</v>
      </c>
      <c r="E124" s="194" t="s">
        <v>1491</v>
      </c>
      <c r="F124" s="194" t="s">
        <v>1491</v>
      </c>
      <c r="G124" s="194" t="s">
        <v>1491</v>
      </c>
      <c r="H124" s="194" t="s">
        <v>1491</v>
      </c>
      <c r="I124" s="194" t="s">
        <v>1654</v>
      </c>
      <c r="J124" s="194" t="s">
        <v>1491</v>
      </c>
      <c r="K124" s="194" t="s">
        <v>1492</v>
      </c>
      <c r="L124" s="194" t="s">
        <v>1491</v>
      </c>
      <c r="M124" s="194" t="s">
        <v>1491</v>
      </c>
      <c r="N124" s="194" t="s">
        <v>1505</v>
      </c>
      <c r="O124" s="194" t="s">
        <v>1491</v>
      </c>
      <c r="P124" s="194" t="s">
        <v>1491</v>
      </c>
      <c r="Q124" s="194" t="s">
        <v>1655</v>
      </c>
      <c r="R124" s="194" t="s">
        <v>1491</v>
      </c>
      <c r="S124" s="194" t="s">
        <v>1491</v>
      </c>
      <c r="T124" s="194" t="s">
        <v>1656</v>
      </c>
      <c r="U124" s="194" t="s">
        <v>1491</v>
      </c>
      <c r="V124" s="194" t="s">
        <v>1491</v>
      </c>
      <c r="W124" s="194" t="s">
        <v>1491</v>
      </c>
      <c r="X124" s="194" t="s">
        <v>1491</v>
      </c>
      <c r="Y124" s="194" t="s">
        <v>1491</v>
      </c>
      <c r="Z124" s="194" t="s">
        <v>1491</v>
      </c>
      <c r="AA124" s="194" t="s">
        <v>1491</v>
      </c>
      <c r="AB124" s="194" t="s">
        <v>1491</v>
      </c>
      <c r="AC124" s="194" t="s">
        <v>1491</v>
      </c>
      <c r="AD124" s="194" t="s">
        <v>1491</v>
      </c>
      <c r="AE124" s="194" t="s">
        <v>1491</v>
      </c>
      <c r="AF124" s="194" t="s">
        <v>1491</v>
      </c>
      <c r="AG124" s="194" t="s">
        <v>1491</v>
      </c>
      <c r="AH124" s="194" t="s">
        <v>1491</v>
      </c>
    </row>
    <row r="125" spans="1:34">
      <c r="A125" s="177">
        <v>121</v>
      </c>
      <c r="B125" s="176" t="s">
        <v>56</v>
      </c>
      <c r="C125" s="176" t="s">
        <v>1233</v>
      </c>
      <c r="D125" t="s">
        <v>1496</v>
      </c>
      <c r="E125" s="194" t="s">
        <v>1491</v>
      </c>
      <c r="F125" s="194" t="s">
        <v>1491</v>
      </c>
      <c r="G125" s="194" t="s">
        <v>1491</v>
      </c>
      <c r="H125" s="194" t="s">
        <v>1491</v>
      </c>
      <c r="I125" s="194" t="s">
        <v>1491</v>
      </c>
      <c r="J125" s="194" t="s">
        <v>1491</v>
      </c>
      <c r="K125" s="194" t="s">
        <v>1491</v>
      </c>
      <c r="L125" s="194" t="s">
        <v>1491</v>
      </c>
      <c r="M125" s="194" t="s">
        <v>1491</v>
      </c>
      <c r="N125" s="194" t="s">
        <v>1491</v>
      </c>
      <c r="O125" s="194" t="s">
        <v>1491</v>
      </c>
      <c r="P125" s="194" t="s">
        <v>1491</v>
      </c>
      <c r="Q125" s="194" t="s">
        <v>1657</v>
      </c>
      <c r="R125" s="194" t="s">
        <v>1491</v>
      </c>
      <c r="S125" s="194" t="s">
        <v>1656</v>
      </c>
      <c r="T125" s="194" t="s">
        <v>1491</v>
      </c>
      <c r="U125" s="194" t="s">
        <v>1491</v>
      </c>
      <c r="V125" s="194" t="s">
        <v>1491</v>
      </c>
      <c r="W125" s="194" t="s">
        <v>1491</v>
      </c>
      <c r="X125" s="194" t="s">
        <v>1491</v>
      </c>
      <c r="Y125" s="194" t="s">
        <v>1491</v>
      </c>
      <c r="Z125" s="194" t="s">
        <v>1491</v>
      </c>
      <c r="AA125" s="194" t="s">
        <v>1491</v>
      </c>
      <c r="AB125" s="194" t="s">
        <v>1491</v>
      </c>
      <c r="AC125" s="194" t="s">
        <v>1491</v>
      </c>
      <c r="AD125" s="194" t="s">
        <v>1491</v>
      </c>
      <c r="AE125" s="194" t="s">
        <v>1491</v>
      </c>
      <c r="AF125" s="194" t="s">
        <v>1491</v>
      </c>
      <c r="AG125" s="194" t="s">
        <v>1491</v>
      </c>
      <c r="AH125" s="194" t="s">
        <v>1491</v>
      </c>
    </row>
    <row r="126" spans="1:34">
      <c r="A126" s="177">
        <v>122</v>
      </c>
      <c r="B126" s="176" t="s">
        <v>1040</v>
      </c>
      <c r="C126" s="176" t="s">
        <v>1024</v>
      </c>
      <c r="D126" t="s">
        <v>1496</v>
      </c>
      <c r="E126" s="194" t="s">
        <v>1491</v>
      </c>
      <c r="F126" s="194" t="s">
        <v>1491</v>
      </c>
      <c r="G126" s="194" t="s">
        <v>1491</v>
      </c>
      <c r="H126" s="194" t="s">
        <v>1491</v>
      </c>
      <c r="I126" s="194" t="s">
        <v>1491</v>
      </c>
      <c r="J126" s="194" t="s">
        <v>1500</v>
      </c>
      <c r="K126" s="194" t="s">
        <v>1504</v>
      </c>
      <c r="L126" s="194" t="s">
        <v>1491</v>
      </c>
      <c r="M126" s="194" t="s">
        <v>1491</v>
      </c>
      <c r="N126" s="194" t="s">
        <v>1501</v>
      </c>
      <c r="O126" s="194" t="s">
        <v>1510</v>
      </c>
      <c r="P126" s="194" t="s">
        <v>1491</v>
      </c>
      <c r="Q126" s="194" t="s">
        <v>1601</v>
      </c>
      <c r="R126" s="194" t="s">
        <v>1491</v>
      </c>
      <c r="S126" s="194" t="s">
        <v>1491</v>
      </c>
      <c r="T126" s="194" t="s">
        <v>1491</v>
      </c>
      <c r="U126" s="194" t="s">
        <v>1491</v>
      </c>
      <c r="V126" s="194" t="s">
        <v>1491</v>
      </c>
      <c r="W126" s="194" t="s">
        <v>1491</v>
      </c>
      <c r="X126" s="194" t="s">
        <v>1491</v>
      </c>
      <c r="Y126" s="194" t="s">
        <v>1491</v>
      </c>
      <c r="Z126" s="194" t="s">
        <v>1491</v>
      </c>
      <c r="AA126" s="194" t="s">
        <v>1658</v>
      </c>
      <c r="AB126" s="194" t="s">
        <v>1491</v>
      </c>
      <c r="AC126" s="194" t="s">
        <v>1491</v>
      </c>
      <c r="AD126" s="194" t="s">
        <v>1491</v>
      </c>
      <c r="AE126" s="194" t="s">
        <v>1491</v>
      </c>
      <c r="AF126" s="194" t="s">
        <v>1491</v>
      </c>
      <c r="AG126" s="194" t="s">
        <v>1491</v>
      </c>
      <c r="AH126" s="194" t="s">
        <v>1491</v>
      </c>
    </row>
    <row r="127" spans="1:34">
      <c r="A127" s="177">
        <v>123</v>
      </c>
      <c r="B127" s="176" t="s">
        <v>1373</v>
      </c>
      <c r="C127" s="176" t="s">
        <v>1583</v>
      </c>
      <c r="D127" t="s">
        <v>1496</v>
      </c>
      <c r="E127" s="194" t="s">
        <v>1491</v>
      </c>
      <c r="F127" s="194" t="s">
        <v>1491</v>
      </c>
      <c r="G127" s="194" t="s">
        <v>1659</v>
      </c>
      <c r="H127" s="194" t="s">
        <v>1491</v>
      </c>
      <c r="I127" s="194" t="s">
        <v>1491</v>
      </c>
      <c r="J127" s="194" t="s">
        <v>1491</v>
      </c>
      <c r="K127" s="194" t="s">
        <v>1492</v>
      </c>
      <c r="L127" s="194" t="s">
        <v>1491</v>
      </c>
      <c r="M127" s="194" t="s">
        <v>1491</v>
      </c>
      <c r="N127" s="194" t="s">
        <v>1639</v>
      </c>
      <c r="O127" s="194" t="s">
        <v>1493</v>
      </c>
      <c r="P127" s="194" t="s">
        <v>1491</v>
      </c>
      <c r="Q127" s="194" t="s">
        <v>1491</v>
      </c>
      <c r="R127" s="194" t="s">
        <v>1491</v>
      </c>
      <c r="S127" s="194" t="s">
        <v>1491</v>
      </c>
      <c r="T127" s="194" t="s">
        <v>1491</v>
      </c>
      <c r="U127" s="194" t="s">
        <v>1491</v>
      </c>
      <c r="V127" s="194" t="s">
        <v>1491</v>
      </c>
      <c r="W127" s="194" t="s">
        <v>1491</v>
      </c>
      <c r="X127" s="194" t="s">
        <v>1491</v>
      </c>
      <c r="Y127" s="194" t="s">
        <v>1491</v>
      </c>
      <c r="Z127" s="194" t="s">
        <v>1491</v>
      </c>
      <c r="AA127" s="194" t="s">
        <v>1491</v>
      </c>
      <c r="AB127" s="194" t="s">
        <v>1491</v>
      </c>
      <c r="AC127" s="194" t="s">
        <v>1491</v>
      </c>
      <c r="AD127" s="194" t="s">
        <v>1491</v>
      </c>
      <c r="AE127" s="194" t="s">
        <v>1491</v>
      </c>
      <c r="AF127" s="194" t="s">
        <v>1491</v>
      </c>
      <c r="AG127" s="194" t="s">
        <v>1491</v>
      </c>
      <c r="AH127" s="194" t="s">
        <v>1491</v>
      </c>
    </row>
    <row r="128" spans="1:34">
      <c r="A128" s="177">
        <v>124</v>
      </c>
      <c r="B128" s="176" t="s">
        <v>1374</v>
      </c>
      <c r="C128" s="176" t="s">
        <v>1637</v>
      </c>
      <c r="D128" t="s">
        <v>1496</v>
      </c>
      <c r="E128" s="194" t="s">
        <v>1491</v>
      </c>
      <c r="F128" s="194" t="s">
        <v>1491</v>
      </c>
      <c r="G128" s="194" t="s">
        <v>1491</v>
      </c>
      <c r="H128" s="194" t="s">
        <v>1491</v>
      </c>
      <c r="I128" s="194" t="s">
        <v>1491</v>
      </c>
      <c r="J128" s="194" t="s">
        <v>1491</v>
      </c>
      <c r="K128" s="194" t="s">
        <v>1492</v>
      </c>
      <c r="L128" s="194" t="s">
        <v>1491</v>
      </c>
      <c r="M128" s="194" t="s">
        <v>1660</v>
      </c>
      <c r="N128" s="194" t="s">
        <v>1639</v>
      </c>
      <c r="O128" s="194" t="s">
        <v>1493</v>
      </c>
      <c r="P128" s="194" t="s">
        <v>1491</v>
      </c>
      <c r="Q128" s="194" t="s">
        <v>1491</v>
      </c>
      <c r="R128" s="194" t="s">
        <v>1491</v>
      </c>
      <c r="S128" s="194" t="s">
        <v>1491</v>
      </c>
      <c r="T128" s="194" t="s">
        <v>1491</v>
      </c>
      <c r="U128" s="194" t="s">
        <v>1491</v>
      </c>
      <c r="V128" s="194" t="s">
        <v>1491</v>
      </c>
      <c r="W128" s="194" t="s">
        <v>1491</v>
      </c>
      <c r="X128" s="194" t="s">
        <v>1491</v>
      </c>
      <c r="Y128" s="194" t="s">
        <v>1491</v>
      </c>
      <c r="Z128" s="194" t="s">
        <v>1491</v>
      </c>
      <c r="AA128" s="194" t="s">
        <v>1491</v>
      </c>
      <c r="AB128" s="194" t="s">
        <v>1491</v>
      </c>
      <c r="AC128" s="194" t="s">
        <v>1491</v>
      </c>
      <c r="AD128" s="194" t="s">
        <v>1491</v>
      </c>
      <c r="AE128" s="194" t="s">
        <v>1491</v>
      </c>
      <c r="AF128" s="194" t="s">
        <v>1491</v>
      </c>
      <c r="AG128" s="194" t="s">
        <v>1491</v>
      </c>
      <c r="AH128" s="194" t="s">
        <v>1491</v>
      </c>
    </row>
    <row r="129" spans="1:34">
      <c r="A129" s="177">
        <v>125</v>
      </c>
      <c r="B129" s="176" t="s">
        <v>1375</v>
      </c>
      <c r="C129" s="176" t="s">
        <v>1637</v>
      </c>
      <c r="D129" t="s">
        <v>1496</v>
      </c>
      <c r="E129" s="194" t="s">
        <v>1491</v>
      </c>
      <c r="F129" s="194" t="s">
        <v>1491</v>
      </c>
      <c r="G129" s="194" t="s">
        <v>1491</v>
      </c>
      <c r="H129" s="194" t="s">
        <v>1491</v>
      </c>
      <c r="I129" s="194" t="s">
        <v>1491</v>
      </c>
      <c r="J129" s="194" t="s">
        <v>1491</v>
      </c>
      <c r="K129" s="194" t="s">
        <v>1492</v>
      </c>
      <c r="L129" s="194" t="s">
        <v>1491</v>
      </c>
      <c r="M129" s="194" t="s">
        <v>1661</v>
      </c>
      <c r="N129" s="194" t="s">
        <v>1639</v>
      </c>
      <c r="O129" s="194" t="s">
        <v>1493</v>
      </c>
      <c r="P129" s="194" t="s">
        <v>1491</v>
      </c>
      <c r="Q129" s="194" t="s">
        <v>1491</v>
      </c>
      <c r="R129" s="194" t="s">
        <v>1491</v>
      </c>
      <c r="S129" s="194" t="s">
        <v>1491</v>
      </c>
      <c r="T129" s="194" t="s">
        <v>1491</v>
      </c>
      <c r="U129" s="194" t="s">
        <v>1491</v>
      </c>
      <c r="V129" s="194" t="s">
        <v>1491</v>
      </c>
      <c r="W129" s="194" t="s">
        <v>1491</v>
      </c>
      <c r="X129" s="194" t="s">
        <v>1491</v>
      </c>
      <c r="Y129" s="194" t="s">
        <v>1491</v>
      </c>
      <c r="Z129" s="194" t="s">
        <v>1491</v>
      </c>
      <c r="AA129" s="194" t="s">
        <v>1491</v>
      </c>
      <c r="AB129" s="194" t="s">
        <v>1491</v>
      </c>
      <c r="AC129" s="194" t="s">
        <v>1491</v>
      </c>
      <c r="AD129" s="194" t="s">
        <v>1491</v>
      </c>
      <c r="AE129" s="194" t="s">
        <v>1491</v>
      </c>
      <c r="AF129" s="194" t="s">
        <v>1491</v>
      </c>
      <c r="AG129" s="194" t="s">
        <v>1491</v>
      </c>
      <c r="AH129" s="194" t="s">
        <v>1491</v>
      </c>
    </row>
    <row r="130" spans="1:34">
      <c r="A130" s="177">
        <v>126</v>
      </c>
      <c r="B130" s="214" t="s">
        <v>1662</v>
      </c>
      <c r="C130" s="2" t="s">
        <v>1663</v>
      </c>
      <c r="D130" t="s">
        <v>1496</v>
      </c>
      <c r="E130" s="194" t="s">
        <v>1558</v>
      </c>
      <c r="F130" s="194" t="s">
        <v>1491</v>
      </c>
      <c r="G130" s="194" t="s">
        <v>1491</v>
      </c>
      <c r="H130" s="194" t="s">
        <v>1491</v>
      </c>
      <c r="I130" s="194" t="s">
        <v>1491</v>
      </c>
      <c r="J130" s="194" t="s">
        <v>1491</v>
      </c>
      <c r="K130" s="194" t="s">
        <v>1491</v>
      </c>
      <c r="L130" s="194" t="s">
        <v>1491</v>
      </c>
      <c r="M130" s="194" t="s">
        <v>1491</v>
      </c>
      <c r="N130" s="194" t="s">
        <v>1541</v>
      </c>
      <c r="O130" s="194" t="s">
        <v>1491</v>
      </c>
      <c r="P130" s="194" t="s">
        <v>1491</v>
      </c>
      <c r="Q130" s="194" t="s">
        <v>1491</v>
      </c>
      <c r="R130" s="194" t="s">
        <v>1491</v>
      </c>
      <c r="S130" s="194" t="s">
        <v>1664</v>
      </c>
      <c r="T130" s="194" t="s">
        <v>1491</v>
      </c>
      <c r="U130" s="194" t="s">
        <v>1491</v>
      </c>
      <c r="V130" s="194" t="s">
        <v>1491</v>
      </c>
      <c r="W130" s="194" t="s">
        <v>1665</v>
      </c>
      <c r="X130" s="194" t="s">
        <v>1491</v>
      </c>
      <c r="Y130" s="194" t="s">
        <v>1491</v>
      </c>
      <c r="Z130" s="194" t="s">
        <v>1491</v>
      </c>
      <c r="AA130" s="194" t="s">
        <v>1491</v>
      </c>
      <c r="AB130" s="194" t="s">
        <v>1491</v>
      </c>
      <c r="AC130" s="194" t="s">
        <v>1491</v>
      </c>
      <c r="AD130" s="194" t="s">
        <v>1491</v>
      </c>
      <c r="AE130" s="194" t="s">
        <v>1491</v>
      </c>
      <c r="AF130" s="194" t="s">
        <v>1491</v>
      </c>
      <c r="AG130" s="194" t="s">
        <v>1491</v>
      </c>
      <c r="AH130" s="194" t="s">
        <v>1491</v>
      </c>
    </row>
    <row r="131" spans="1:34">
      <c r="A131" s="177">
        <v>127</v>
      </c>
      <c r="B131" s="214" t="s">
        <v>1666</v>
      </c>
      <c r="C131" s="2" t="s">
        <v>1663</v>
      </c>
      <c r="D131" t="s">
        <v>1496</v>
      </c>
      <c r="E131" s="194" t="s">
        <v>1558</v>
      </c>
      <c r="F131" s="194" t="s">
        <v>1491</v>
      </c>
      <c r="G131" s="194" t="s">
        <v>1491</v>
      </c>
      <c r="H131" s="194" t="s">
        <v>1667</v>
      </c>
      <c r="I131" s="194" t="s">
        <v>1491</v>
      </c>
      <c r="J131" s="194" t="s">
        <v>1491</v>
      </c>
      <c r="K131" s="194" t="s">
        <v>1491</v>
      </c>
      <c r="L131" s="194" t="s">
        <v>1491</v>
      </c>
      <c r="M131" s="194" t="s">
        <v>1491</v>
      </c>
      <c r="N131" s="194" t="s">
        <v>1541</v>
      </c>
      <c r="O131" s="194" t="s">
        <v>1491</v>
      </c>
      <c r="P131" s="194" t="s">
        <v>1491</v>
      </c>
      <c r="Q131" s="194" t="s">
        <v>1491</v>
      </c>
      <c r="R131" s="194" t="s">
        <v>1491</v>
      </c>
      <c r="S131" s="194" t="s">
        <v>1664</v>
      </c>
      <c r="T131" s="194" t="s">
        <v>1491</v>
      </c>
      <c r="U131" s="194" t="s">
        <v>1491</v>
      </c>
      <c r="V131" s="194" t="s">
        <v>1491</v>
      </c>
      <c r="W131" s="194" t="s">
        <v>1665</v>
      </c>
      <c r="X131" s="194" t="s">
        <v>1491</v>
      </c>
      <c r="Y131" s="194" t="s">
        <v>1491</v>
      </c>
      <c r="Z131" s="194" t="s">
        <v>1668</v>
      </c>
      <c r="AA131" s="194" t="s">
        <v>1669</v>
      </c>
      <c r="AB131" s="194" t="s">
        <v>1491</v>
      </c>
      <c r="AC131" s="194" t="s">
        <v>1491</v>
      </c>
      <c r="AD131" s="194" t="s">
        <v>1491</v>
      </c>
      <c r="AE131" s="194" t="s">
        <v>1491</v>
      </c>
      <c r="AF131" s="194" t="s">
        <v>1491</v>
      </c>
      <c r="AG131" s="194" t="s">
        <v>1491</v>
      </c>
      <c r="AH131" s="194" t="s">
        <v>1491</v>
      </c>
    </row>
    <row r="132" spans="1:34">
      <c r="A132" s="177">
        <v>128</v>
      </c>
      <c r="B132" s="214" t="s">
        <v>1670</v>
      </c>
      <c r="C132" s="2" t="s">
        <v>1663</v>
      </c>
      <c r="D132" t="s">
        <v>1496</v>
      </c>
      <c r="E132" s="194" t="s">
        <v>1558</v>
      </c>
      <c r="F132" s="194" t="s">
        <v>1491</v>
      </c>
      <c r="G132" s="194" t="s">
        <v>1491</v>
      </c>
      <c r="H132" s="194" t="s">
        <v>1667</v>
      </c>
      <c r="I132" s="194" t="s">
        <v>1491</v>
      </c>
      <c r="J132" s="194" t="s">
        <v>1491</v>
      </c>
      <c r="K132" s="194" t="s">
        <v>1491</v>
      </c>
      <c r="L132" s="194" t="s">
        <v>1491</v>
      </c>
      <c r="M132" s="194" t="s">
        <v>1491</v>
      </c>
      <c r="N132" s="194" t="s">
        <v>1541</v>
      </c>
      <c r="O132" s="194" t="s">
        <v>1491</v>
      </c>
      <c r="P132" s="194" t="s">
        <v>1491</v>
      </c>
      <c r="Q132" s="194" t="s">
        <v>1491</v>
      </c>
      <c r="R132" s="194" t="s">
        <v>1491</v>
      </c>
      <c r="S132" s="194" t="s">
        <v>1664</v>
      </c>
      <c r="T132" s="194" t="s">
        <v>1491</v>
      </c>
      <c r="U132" s="194" t="s">
        <v>1491</v>
      </c>
      <c r="V132" s="194" t="s">
        <v>1491</v>
      </c>
      <c r="W132" s="194" t="s">
        <v>1665</v>
      </c>
      <c r="X132" s="194" t="s">
        <v>1491</v>
      </c>
      <c r="Y132" s="194" t="s">
        <v>1491</v>
      </c>
      <c r="Z132" s="194" t="s">
        <v>1671</v>
      </c>
      <c r="AA132" s="194" t="s">
        <v>1669</v>
      </c>
      <c r="AB132" s="194" t="s">
        <v>1491</v>
      </c>
      <c r="AC132" s="194" t="s">
        <v>1491</v>
      </c>
      <c r="AD132" s="194" t="s">
        <v>1491</v>
      </c>
      <c r="AE132" s="194" t="s">
        <v>1491</v>
      </c>
      <c r="AF132" s="194" t="s">
        <v>1491</v>
      </c>
      <c r="AG132" s="194" t="s">
        <v>1491</v>
      </c>
      <c r="AH132" s="194" t="s">
        <v>1491</v>
      </c>
    </row>
    <row r="133" spans="1:34">
      <c r="A133" s="177">
        <v>129</v>
      </c>
      <c r="B133" s="214" t="s">
        <v>1672</v>
      </c>
      <c r="C133" s="2" t="s">
        <v>1663</v>
      </c>
      <c r="D133" t="s">
        <v>1496</v>
      </c>
      <c r="E133" s="194" t="s">
        <v>1558</v>
      </c>
      <c r="F133" s="194" t="s">
        <v>1491</v>
      </c>
      <c r="G133" s="194" t="s">
        <v>1491</v>
      </c>
      <c r="H133" s="194" t="s">
        <v>1673</v>
      </c>
      <c r="I133" s="194" t="s">
        <v>1491</v>
      </c>
      <c r="J133" s="194" t="s">
        <v>1491</v>
      </c>
      <c r="K133" s="194" t="s">
        <v>1491</v>
      </c>
      <c r="L133" s="194" t="s">
        <v>1491</v>
      </c>
      <c r="M133" s="194" t="s">
        <v>1491</v>
      </c>
      <c r="N133" s="194" t="s">
        <v>1541</v>
      </c>
      <c r="O133" s="194" t="s">
        <v>1491</v>
      </c>
      <c r="P133" s="194" t="s">
        <v>1491</v>
      </c>
      <c r="Q133" s="194" t="s">
        <v>1491</v>
      </c>
      <c r="R133" s="194" t="s">
        <v>1491</v>
      </c>
      <c r="S133" s="194" t="s">
        <v>1664</v>
      </c>
      <c r="T133" s="194" t="s">
        <v>1491</v>
      </c>
      <c r="U133" s="194" t="s">
        <v>1491</v>
      </c>
      <c r="V133" s="194" t="s">
        <v>1491</v>
      </c>
      <c r="W133" s="194" t="s">
        <v>1665</v>
      </c>
      <c r="X133" s="194" t="s">
        <v>1491</v>
      </c>
      <c r="Y133" s="194" t="s">
        <v>1491</v>
      </c>
      <c r="Z133" s="194" t="s">
        <v>1668</v>
      </c>
      <c r="AA133" s="194" t="s">
        <v>1669</v>
      </c>
      <c r="AB133" s="194" t="s">
        <v>1491</v>
      </c>
      <c r="AC133" s="194" t="s">
        <v>1491</v>
      </c>
      <c r="AD133" s="194" t="s">
        <v>1491</v>
      </c>
      <c r="AE133" s="194" t="s">
        <v>1491</v>
      </c>
      <c r="AF133" s="194" t="s">
        <v>1491</v>
      </c>
      <c r="AG133" s="194" t="s">
        <v>1491</v>
      </c>
      <c r="AH133" s="194" t="s">
        <v>1491</v>
      </c>
    </row>
    <row r="134" spans="1:34">
      <c r="A134" s="177">
        <v>130</v>
      </c>
      <c r="B134" s="214" t="s">
        <v>1674</v>
      </c>
      <c r="C134" s="2" t="s">
        <v>1663</v>
      </c>
      <c r="D134" t="s">
        <v>1496</v>
      </c>
      <c r="E134" s="194" t="s">
        <v>1558</v>
      </c>
      <c r="F134" s="194" t="s">
        <v>1491</v>
      </c>
      <c r="G134" s="194" t="s">
        <v>1491</v>
      </c>
      <c r="H134" s="194" t="s">
        <v>1491</v>
      </c>
      <c r="I134" s="194" t="s">
        <v>1491</v>
      </c>
      <c r="J134" s="194" t="s">
        <v>1491</v>
      </c>
      <c r="K134" s="194" t="s">
        <v>1491</v>
      </c>
      <c r="L134" s="194" t="s">
        <v>1491</v>
      </c>
      <c r="M134" s="194" t="s">
        <v>1491</v>
      </c>
      <c r="N134" s="194" t="s">
        <v>1491</v>
      </c>
      <c r="O134" s="194" t="s">
        <v>1541</v>
      </c>
      <c r="P134" s="194" t="s">
        <v>1491</v>
      </c>
      <c r="Q134" s="194" t="s">
        <v>1491</v>
      </c>
      <c r="R134" s="194" t="s">
        <v>1491</v>
      </c>
      <c r="S134" s="194" t="s">
        <v>1664</v>
      </c>
      <c r="T134" s="194" t="s">
        <v>1491</v>
      </c>
      <c r="U134" s="194" t="s">
        <v>1491</v>
      </c>
      <c r="V134" s="194" t="s">
        <v>1491</v>
      </c>
      <c r="W134" s="194" t="s">
        <v>1665</v>
      </c>
      <c r="X134" s="194" t="s">
        <v>1491</v>
      </c>
      <c r="Y134" s="194" t="s">
        <v>1491</v>
      </c>
      <c r="Z134" s="194" t="s">
        <v>1491</v>
      </c>
      <c r="AA134" s="194" t="s">
        <v>1675</v>
      </c>
      <c r="AB134" s="194" t="s">
        <v>1491</v>
      </c>
      <c r="AC134" s="194" t="s">
        <v>1491</v>
      </c>
      <c r="AD134" s="194" t="s">
        <v>1491</v>
      </c>
      <c r="AE134" s="194" t="s">
        <v>1491</v>
      </c>
      <c r="AF134" s="194" t="s">
        <v>1491</v>
      </c>
      <c r="AG134" s="194" t="s">
        <v>1491</v>
      </c>
      <c r="AH134" s="194" t="s">
        <v>1491</v>
      </c>
    </row>
    <row r="135" spans="1:34">
      <c r="A135" s="177">
        <v>131</v>
      </c>
      <c r="B135" s="214" t="s">
        <v>1676</v>
      </c>
      <c r="C135" s="2" t="s">
        <v>1663</v>
      </c>
      <c r="D135" t="s">
        <v>1496</v>
      </c>
      <c r="E135" s="194" t="s">
        <v>1558</v>
      </c>
      <c r="F135" s="194" t="s">
        <v>1491</v>
      </c>
      <c r="G135" s="194" t="s">
        <v>1491</v>
      </c>
      <c r="H135" s="194" t="s">
        <v>1667</v>
      </c>
      <c r="I135" s="194" t="s">
        <v>1491</v>
      </c>
      <c r="J135" s="194" t="s">
        <v>1491</v>
      </c>
      <c r="K135" s="194" t="s">
        <v>1491</v>
      </c>
      <c r="L135" s="194" t="s">
        <v>1491</v>
      </c>
      <c r="M135" s="194" t="s">
        <v>1491</v>
      </c>
      <c r="N135" s="194" t="s">
        <v>1491</v>
      </c>
      <c r="O135" s="194" t="s">
        <v>1541</v>
      </c>
      <c r="P135" s="194" t="s">
        <v>1491</v>
      </c>
      <c r="Q135" s="194" t="s">
        <v>1491</v>
      </c>
      <c r="R135" s="194" t="s">
        <v>1491</v>
      </c>
      <c r="S135" s="194" t="s">
        <v>1664</v>
      </c>
      <c r="T135" s="194" t="s">
        <v>1491</v>
      </c>
      <c r="U135" s="194" t="s">
        <v>1491</v>
      </c>
      <c r="V135" s="194" t="s">
        <v>1491</v>
      </c>
      <c r="W135" s="194" t="s">
        <v>1665</v>
      </c>
      <c r="X135" s="194" t="s">
        <v>1491</v>
      </c>
      <c r="Y135" s="194" t="s">
        <v>1491</v>
      </c>
      <c r="Z135" s="194" t="s">
        <v>1491</v>
      </c>
      <c r="AA135" s="194" t="s">
        <v>1677</v>
      </c>
      <c r="AB135" s="194" t="s">
        <v>1491</v>
      </c>
      <c r="AC135" s="194" t="s">
        <v>1491</v>
      </c>
      <c r="AD135" s="194" t="s">
        <v>1491</v>
      </c>
      <c r="AE135" s="194" t="s">
        <v>1491</v>
      </c>
      <c r="AF135" s="194" t="s">
        <v>1491</v>
      </c>
      <c r="AG135" s="194" t="s">
        <v>1491</v>
      </c>
      <c r="AH135" s="194" t="s">
        <v>1491</v>
      </c>
    </row>
    <row r="136" spans="1:34">
      <c r="A136" s="177">
        <v>132</v>
      </c>
      <c r="B136" s="214" t="s">
        <v>1678</v>
      </c>
      <c r="C136" s="2" t="s">
        <v>1663</v>
      </c>
      <c r="D136" t="s">
        <v>1496</v>
      </c>
      <c r="E136" s="194" t="s">
        <v>1558</v>
      </c>
      <c r="F136" s="194" t="s">
        <v>1491</v>
      </c>
      <c r="G136" s="194" t="s">
        <v>1491</v>
      </c>
      <c r="H136" s="194" t="s">
        <v>1673</v>
      </c>
      <c r="I136" s="194" t="s">
        <v>1491</v>
      </c>
      <c r="J136" s="194" t="s">
        <v>1491</v>
      </c>
      <c r="K136" s="194" t="s">
        <v>1491</v>
      </c>
      <c r="L136" s="194" t="s">
        <v>1491</v>
      </c>
      <c r="M136" s="194" t="s">
        <v>1491</v>
      </c>
      <c r="N136" s="194" t="s">
        <v>1491</v>
      </c>
      <c r="O136" s="194" t="s">
        <v>1541</v>
      </c>
      <c r="P136" s="194" t="s">
        <v>1491</v>
      </c>
      <c r="Q136" s="194" t="s">
        <v>1491</v>
      </c>
      <c r="R136" s="194" t="s">
        <v>1491</v>
      </c>
      <c r="S136" s="194" t="s">
        <v>1664</v>
      </c>
      <c r="T136" s="194" t="s">
        <v>1491</v>
      </c>
      <c r="U136" s="194" t="s">
        <v>1491</v>
      </c>
      <c r="V136" s="194" t="s">
        <v>1491</v>
      </c>
      <c r="W136" s="194" t="s">
        <v>1665</v>
      </c>
      <c r="X136" s="194" t="s">
        <v>1491</v>
      </c>
      <c r="Y136" s="194" t="s">
        <v>1491</v>
      </c>
      <c r="Z136" s="194" t="s">
        <v>1491</v>
      </c>
      <c r="AA136" s="194" t="s">
        <v>1677</v>
      </c>
      <c r="AB136" s="194" t="s">
        <v>1491</v>
      </c>
      <c r="AC136" s="194" t="s">
        <v>1491</v>
      </c>
      <c r="AD136" s="194" t="s">
        <v>1491</v>
      </c>
      <c r="AE136" s="194" t="s">
        <v>1491</v>
      </c>
      <c r="AF136" s="194" t="s">
        <v>1491</v>
      </c>
      <c r="AG136" s="194" t="s">
        <v>1491</v>
      </c>
      <c r="AH136" s="194" t="s">
        <v>1491</v>
      </c>
    </row>
    <row r="137" spans="1:34">
      <c r="A137" s="177">
        <v>133</v>
      </c>
      <c r="B137" s="214" t="s">
        <v>1679</v>
      </c>
      <c r="C137" s="2" t="s">
        <v>1680</v>
      </c>
      <c r="D137" t="s">
        <v>1496</v>
      </c>
      <c r="E137" s="194" t="s">
        <v>1491</v>
      </c>
      <c r="F137" s="194" t="s">
        <v>1491</v>
      </c>
      <c r="G137" s="194" t="s">
        <v>1491</v>
      </c>
      <c r="H137" s="194" t="s">
        <v>1491</v>
      </c>
      <c r="I137" s="194" t="s">
        <v>1491</v>
      </c>
      <c r="J137" s="194" t="s">
        <v>1491</v>
      </c>
      <c r="K137" s="194" t="s">
        <v>1492</v>
      </c>
      <c r="L137" s="194" t="s">
        <v>1491</v>
      </c>
      <c r="M137" s="194" t="s">
        <v>1681</v>
      </c>
      <c r="N137" s="194" t="s">
        <v>1585</v>
      </c>
      <c r="O137" s="194" t="s">
        <v>1493</v>
      </c>
      <c r="P137" s="194" t="s">
        <v>1491</v>
      </c>
      <c r="Q137" s="194" t="s">
        <v>1491</v>
      </c>
      <c r="R137" s="194" t="s">
        <v>1491</v>
      </c>
      <c r="S137" s="194" t="s">
        <v>1491</v>
      </c>
      <c r="T137" s="194" t="s">
        <v>1491</v>
      </c>
      <c r="U137" s="194" t="s">
        <v>1491</v>
      </c>
      <c r="V137" s="194" t="s">
        <v>1491</v>
      </c>
      <c r="W137" s="194" t="s">
        <v>1491</v>
      </c>
      <c r="X137" s="194" t="s">
        <v>1491</v>
      </c>
      <c r="Y137" s="194" t="s">
        <v>1491</v>
      </c>
      <c r="Z137" s="194" t="s">
        <v>1491</v>
      </c>
      <c r="AA137" s="194" t="s">
        <v>1491</v>
      </c>
      <c r="AB137" s="194" t="s">
        <v>1491</v>
      </c>
      <c r="AC137" s="194" t="s">
        <v>1491</v>
      </c>
      <c r="AD137" s="194" t="s">
        <v>1491</v>
      </c>
      <c r="AE137" s="194" t="s">
        <v>1491</v>
      </c>
      <c r="AF137" s="194" t="s">
        <v>1491</v>
      </c>
      <c r="AG137" s="194" t="s">
        <v>1491</v>
      </c>
      <c r="AH137" s="194" t="s">
        <v>1491</v>
      </c>
    </row>
    <row r="138" spans="1:34">
      <c r="A138" s="177">
        <v>134</v>
      </c>
      <c r="B138" s="214" t="s">
        <v>1682</v>
      </c>
      <c r="C138" s="2" t="s">
        <v>1683</v>
      </c>
      <c r="D138" t="s">
        <v>1496</v>
      </c>
      <c r="E138" s="194" t="s">
        <v>1491</v>
      </c>
      <c r="F138" s="194" t="s">
        <v>1491</v>
      </c>
      <c r="G138" s="194" t="s">
        <v>1491</v>
      </c>
      <c r="H138" s="194" t="s">
        <v>1491</v>
      </c>
      <c r="I138" s="194" t="s">
        <v>1491</v>
      </c>
      <c r="J138" s="194" t="s">
        <v>1491</v>
      </c>
      <c r="K138" s="194" t="s">
        <v>1492</v>
      </c>
      <c r="L138" s="194" t="s">
        <v>1491</v>
      </c>
      <c r="M138" s="194" t="s">
        <v>1684</v>
      </c>
      <c r="N138" s="194" t="s">
        <v>1585</v>
      </c>
      <c r="O138" s="194" t="s">
        <v>1493</v>
      </c>
      <c r="P138" s="194" t="s">
        <v>1491</v>
      </c>
      <c r="Q138" s="194" t="s">
        <v>1491</v>
      </c>
      <c r="R138" s="194" t="s">
        <v>1491</v>
      </c>
      <c r="S138" s="194" t="s">
        <v>1491</v>
      </c>
      <c r="T138" s="194" t="s">
        <v>1491</v>
      </c>
      <c r="U138" s="194" t="s">
        <v>1491</v>
      </c>
      <c r="V138" s="194" t="s">
        <v>1491</v>
      </c>
      <c r="W138" s="194" t="s">
        <v>1491</v>
      </c>
      <c r="X138" s="194" t="s">
        <v>1491</v>
      </c>
      <c r="Y138" s="194" t="s">
        <v>1491</v>
      </c>
      <c r="Z138" s="194" t="s">
        <v>1491</v>
      </c>
      <c r="AA138" s="194" t="s">
        <v>1491</v>
      </c>
      <c r="AB138" s="194" t="s">
        <v>1491</v>
      </c>
      <c r="AC138" s="194" t="s">
        <v>1491</v>
      </c>
      <c r="AD138" s="194" t="s">
        <v>1491</v>
      </c>
      <c r="AE138" s="194" t="s">
        <v>1491</v>
      </c>
      <c r="AF138" s="194" t="s">
        <v>1491</v>
      </c>
      <c r="AG138" s="194" t="s">
        <v>1491</v>
      </c>
      <c r="AH138" s="194" t="s">
        <v>1491</v>
      </c>
    </row>
    <row r="139" spans="1:34">
      <c r="A139" s="177">
        <v>135</v>
      </c>
      <c r="B139" s="214" t="s">
        <v>1685</v>
      </c>
      <c r="C139" s="2" t="s">
        <v>1686</v>
      </c>
      <c r="D139" t="s">
        <v>1496</v>
      </c>
      <c r="E139" s="194" t="s">
        <v>1491</v>
      </c>
      <c r="F139" s="194" t="s">
        <v>1491</v>
      </c>
      <c r="G139" s="194" t="s">
        <v>1687</v>
      </c>
      <c r="H139" s="194" t="s">
        <v>1491</v>
      </c>
      <c r="I139" s="194" t="s">
        <v>1491</v>
      </c>
      <c r="J139" s="194" t="s">
        <v>1491</v>
      </c>
      <c r="K139" s="194" t="s">
        <v>1491</v>
      </c>
      <c r="L139" s="194" t="s">
        <v>1491</v>
      </c>
      <c r="M139" s="194" t="s">
        <v>1491</v>
      </c>
      <c r="N139" s="194" t="s">
        <v>1585</v>
      </c>
      <c r="O139" s="194" t="s">
        <v>1491</v>
      </c>
      <c r="P139" s="194" t="s">
        <v>1491</v>
      </c>
      <c r="Q139" s="194" t="s">
        <v>1491</v>
      </c>
      <c r="R139" s="194" t="s">
        <v>1491</v>
      </c>
      <c r="S139" s="194" t="s">
        <v>1491</v>
      </c>
      <c r="T139" s="194" t="s">
        <v>1491</v>
      </c>
      <c r="U139" s="194" t="s">
        <v>1491</v>
      </c>
      <c r="V139" s="194" t="s">
        <v>1491</v>
      </c>
      <c r="W139" s="194" t="s">
        <v>1491</v>
      </c>
      <c r="X139" s="194" t="s">
        <v>1491</v>
      </c>
      <c r="Y139" s="194" t="s">
        <v>1491</v>
      </c>
      <c r="Z139" s="194" t="s">
        <v>1491</v>
      </c>
      <c r="AA139" s="194" t="s">
        <v>1491</v>
      </c>
      <c r="AB139" s="194" t="s">
        <v>1491</v>
      </c>
      <c r="AC139" s="194" t="s">
        <v>1491</v>
      </c>
      <c r="AD139" s="194" t="s">
        <v>1491</v>
      </c>
      <c r="AE139" s="194" t="s">
        <v>1491</v>
      </c>
      <c r="AF139" s="194" t="s">
        <v>1491</v>
      </c>
      <c r="AG139" s="194" t="s">
        <v>1491</v>
      </c>
      <c r="AH139" s="194" t="s">
        <v>1491</v>
      </c>
    </row>
    <row r="140" spans="1:34">
      <c r="A140" s="177">
        <v>136</v>
      </c>
      <c r="B140" s="214" t="s">
        <v>1688</v>
      </c>
      <c r="C140" s="2" t="s">
        <v>1686</v>
      </c>
      <c r="D140" t="s">
        <v>1496</v>
      </c>
      <c r="E140" s="194" t="s">
        <v>1491</v>
      </c>
      <c r="F140" s="194" t="s">
        <v>1491</v>
      </c>
      <c r="G140" s="194" t="s">
        <v>1689</v>
      </c>
      <c r="H140" s="194" t="s">
        <v>1491</v>
      </c>
      <c r="I140" s="194" t="s">
        <v>1491</v>
      </c>
      <c r="J140" s="194" t="s">
        <v>1491</v>
      </c>
      <c r="K140" s="194" t="s">
        <v>1491</v>
      </c>
      <c r="L140" s="194" t="s">
        <v>1491</v>
      </c>
      <c r="M140" s="194" t="s">
        <v>1491</v>
      </c>
      <c r="N140" s="194" t="s">
        <v>1585</v>
      </c>
      <c r="O140" s="194" t="s">
        <v>1491</v>
      </c>
      <c r="P140" s="194" t="s">
        <v>1491</v>
      </c>
      <c r="Q140" s="194" t="s">
        <v>1491</v>
      </c>
      <c r="R140" s="194" t="s">
        <v>1491</v>
      </c>
      <c r="S140" s="194" t="s">
        <v>1491</v>
      </c>
      <c r="T140" s="194" t="s">
        <v>1491</v>
      </c>
      <c r="U140" s="194" t="s">
        <v>1491</v>
      </c>
      <c r="V140" s="194" t="s">
        <v>1491</v>
      </c>
      <c r="W140" s="194" t="s">
        <v>1491</v>
      </c>
      <c r="X140" s="194" t="s">
        <v>1491</v>
      </c>
      <c r="Y140" s="194" t="s">
        <v>1491</v>
      </c>
      <c r="Z140" s="194" t="s">
        <v>1491</v>
      </c>
      <c r="AA140" s="194" t="s">
        <v>1491</v>
      </c>
      <c r="AB140" s="194" t="s">
        <v>1491</v>
      </c>
      <c r="AC140" s="194" t="s">
        <v>1491</v>
      </c>
      <c r="AD140" s="194" t="s">
        <v>1491</v>
      </c>
      <c r="AE140" s="194" t="s">
        <v>1491</v>
      </c>
      <c r="AF140" s="194" t="s">
        <v>1491</v>
      </c>
      <c r="AG140" s="194" t="s">
        <v>1491</v>
      </c>
      <c r="AH140" s="194" t="s">
        <v>1491</v>
      </c>
    </row>
    <row r="141" spans="1:34">
      <c r="A141" s="177">
        <v>137</v>
      </c>
      <c r="B141" s="214" t="s">
        <v>1690</v>
      </c>
      <c r="C141" s="2" t="s">
        <v>1691</v>
      </c>
      <c r="D141" t="s">
        <v>1496</v>
      </c>
      <c r="E141" s="194" t="s">
        <v>1491</v>
      </c>
      <c r="F141" s="194" t="s">
        <v>1491</v>
      </c>
      <c r="G141" s="194" t="s">
        <v>1692</v>
      </c>
      <c r="H141" s="194" t="s">
        <v>1491</v>
      </c>
      <c r="I141" s="194" t="s">
        <v>1491</v>
      </c>
      <c r="J141" s="194" t="s">
        <v>1491</v>
      </c>
      <c r="K141" s="194" t="s">
        <v>1491</v>
      </c>
      <c r="L141" s="194" t="s">
        <v>1491</v>
      </c>
      <c r="M141" s="194" t="s">
        <v>1491</v>
      </c>
      <c r="N141" s="194" t="s">
        <v>1505</v>
      </c>
      <c r="O141" s="194" t="s">
        <v>1493</v>
      </c>
      <c r="P141" s="194" t="s">
        <v>1491</v>
      </c>
      <c r="Q141" s="194" t="s">
        <v>1491</v>
      </c>
      <c r="R141" s="194" t="s">
        <v>1491</v>
      </c>
      <c r="S141" s="194" t="s">
        <v>1491</v>
      </c>
      <c r="T141" s="194" t="s">
        <v>1491</v>
      </c>
      <c r="U141" s="194" t="s">
        <v>1491</v>
      </c>
      <c r="V141" s="194" t="s">
        <v>1491</v>
      </c>
      <c r="W141" s="194" t="s">
        <v>1491</v>
      </c>
      <c r="X141" s="194" t="s">
        <v>1491</v>
      </c>
      <c r="Y141" s="194" t="s">
        <v>1491</v>
      </c>
      <c r="Z141" s="194" t="s">
        <v>1491</v>
      </c>
      <c r="AA141" s="194" t="s">
        <v>1491</v>
      </c>
      <c r="AB141" s="194" t="s">
        <v>1491</v>
      </c>
      <c r="AC141" s="194" t="s">
        <v>1491</v>
      </c>
      <c r="AD141" s="194" t="s">
        <v>1491</v>
      </c>
      <c r="AE141" s="194" t="s">
        <v>1491</v>
      </c>
      <c r="AF141" s="194" t="s">
        <v>1491</v>
      </c>
      <c r="AG141" s="194" t="s">
        <v>1491</v>
      </c>
      <c r="AH141" s="194" t="s">
        <v>1491</v>
      </c>
    </row>
    <row r="142" spans="1:34">
      <c r="A142" s="177">
        <v>138</v>
      </c>
      <c r="B142" s="214" t="s">
        <v>1693</v>
      </c>
      <c r="C142" s="2" t="s">
        <v>1694</v>
      </c>
      <c r="D142" t="s">
        <v>1496</v>
      </c>
      <c r="E142" s="194" t="s">
        <v>1491</v>
      </c>
      <c r="F142" s="194" t="s">
        <v>1491</v>
      </c>
      <c r="G142" s="194" t="s">
        <v>1491</v>
      </c>
      <c r="H142" s="194" t="s">
        <v>1491</v>
      </c>
      <c r="I142" s="194" t="s">
        <v>1491</v>
      </c>
      <c r="J142" s="194" t="s">
        <v>1491</v>
      </c>
      <c r="K142" s="194" t="s">
        <v>1492</v>
      </c>
      <c r="L142" s="194" t="s">
        <v>1491</v>
      </c>
      <c r="M142" s="194" t="s">
        <v>1695</v>
      </c>
      <c r="N142" s="194" t="s">
        <v>1585</v>
      </c>
      <c r="O142" s="194" t="s">
        <v>1493</v>
      </c>
      <c r="P142" s="194" t="s">
        <v>1491</v>
      </c>
      <c r="Q142" s="194" t="s">
        <v>1491</v>
      </c>
      <c r="R142" s="194" t="s">
        <v>1491</v>
      </c>
      <c r="S142" s="194" t="s">
        <v>1491</v>
      </c>
      <c r="T142" s="194" t="s">
        <v>1491</v>
      </c>
      <c r="U142" s="194" t="s">
        <v>1491</v>
      </c>
      <c r="V142" s="194" t="s">
        <v>1491</v>
      </c>
      <c r="W142" s="194" t="s">
        <v>1491</v>
      </c>
      <c r="X142" s="194" t="s">
        <v>1491</v>
      </c>
      <c r="Y142" s="194" t="s">
        <v>1491</v>
      </c>
      <c r="Z142" s="194" t="s">
        <v>1491</v>
      </c>
      <c r="AA142" s="194" t="s">
        <v>1491</v>
      </c>
      <c r="AB142" s="194" t="s">
        <v>1491</v>
      </c>
      <c r="AC142" s="194" t="s">
        <v>1491</v>
      </c>
      <c r="AD142" s="194" t="s">
        <v>1491</v>
      </c>
      <c r="AE142" s="194" t="s">
        <v>1491</v>
      </c>
      <c r="AF142" s="194" t="s">
        <v>1491</v>
      </c>
      <c r="AG142" s="194" t="s">
        <v>1491</v>
      </c>
      <c r="AH142" s="194" t="s">
        <v>1491</v>
      </c>
    </row>
    <row r="143" spans="1:34">
      <c r="A143" s="177">
        <v>139</v>
      </c>
      <c r="B143" s="214" t="s">
        <v>1696</v>
      </c>
      <c r="C143" s="2" t="s">
        <v>1697</v>
      </c>
      <c r="D143" t="s">
        <v>1496</v>
      </c>
      <c r="E143" s="194" t="s">
        <v>1491</v>
      </c>
      <c r="F143" s="194" t="s">
        <v>1491</v>
      </c>
      <c r="G143" s="194" t="s">
        <v>1491</v>
      </c>
      <c r="H143" s="194" t="s">
        <v>1491</v>
      </c>
      <c r="I143" s="194" t="s">
        <v>1491</v>
      </c>
      <c r="J143" s="194" t="s">
        <v>1491</v>
      </c>
      <c r="K143" s="194" t="s">
        <v>1492</v>
      </c>
      <c r="L143" s="194" t="s">
        <v>1491</v>
      </c>
      <c r="M143" s="194" t="s">
        <v>1491</v>
      </c>
      <c r="N143" s="194" t="s">
        <v>1491</v>
      </c>
      <c r="O143" s="194" t="s">
        <v>1493</v>
      </c>
      <c r="P143" s="194" t="s">
        <v>1698</v>
      </c>
      <c r="Q143" s="194" t="s">
        <v>1491</v>
      </c>
      <c r="R143" s="194" t="s">
        <v>1491</v>
      </c>
      <c r="S143" s="194" t="s">
        <v>1491</v>
      </c>
      <c r="T143" s="194" t="s">
        <v>1491</v>
      </c>
      <c r="U143" s="194" t="s">
        <v>1491</v>
      </c>
      <c r="V143" s="194" t="s">
        <v>1491</v>
      </c>
      <c r="W143" s="194" t="s">
        <v>1491</v>
      </c>
      <c r="X143" s="194" t="s">
        <v>1699</v>
      </c>
      <c r="Y143" s="194" t="s">
        <v>1491</v>
      </c>
      <c r="Z143" s="194" t="s">
        <v>1491</v>
      </c>
      <c r="AA143" s="194" t="s">
        <v>1491</v>
      </c>
      <c r="AB143" s="194" t="s">
        <v>1491</v>
      </c>
      <c r="AC143" s="194" t="s">
        <v>1491</v>
      </c>
      <c r="AD143" s="194" t="s">
        <v>1491</v>
      </c>
      <c r="AE143" s="194" t="s">
        <v>1491</v>
      </c>
      <c r="AF143" s="194" t="s">
        <v>1491</v>
      </c>
      <c r="AG143" s="194" t="s">
        <v>1491</v>
      </c>
      <c r="AH143" s="194" t="s">
        <v>1491</v>
      </c>
    </row>
    <row r="148" spans="13:13">
      <c r="M148" s="216"/>
    </row>
  </sheetData>
  <mergeCells count="5">
    <mergeCell ref="E78:AH78"/>
    <mergeCell ref="E79:AH79"/>
    <mergeCell ref="E80:AH80"/>
    <mergeCell ref="E82:AH82"/>
    <mergeCell ref="E83:AH83"/>
  </mergeCells>
  <phoneticPr fontId="1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EB302-DD0C-43C4-86DF-5D94B4EED227}">
  <sheetPr>
    <tabColor theme="6" tint="-0.249977111117893"/>
  </sheetPr>
  <dimension ref="A1:T8"/>
  <sheetViews>
    <sheetView topLeftCell="C1" workbookViewId="0">
      <selection activeCell="O15" sqref="O15"/>
    </sheetView>
  </sheetViews>
  <sheetFormatPr defaultRowHeight="15"/>
  <cols>
    <col min="1" max="1" width="21.28515625" bestFit="1" customWidth="1"/>
    <col min="2" max="2" width="53.5703125" bestFit="1" customWidth="1"/>
    <col min="3" max="3" width="63.5703125" bestFit="1" customWidth="1"/>
    <col min="4" max="4" width="42.5703125" bestFit="1" customWidth="1"/>
    <col min="5" max="5" width="14" style="5" bestFit="1" customWidth="1"/>
    <col min="6" max="6" width="20.5703125" style="199" bestFit="1" customWidth="1"/>
    <col min="7" max="7" width="10" style="5" customWidth="1"/>
    <col min="8" max="8" width="16.7109375" style="199" bestFit="1" customWidth="1"/>
    <col min="9" max="9" width="9.140625" style="5"/>
    <col min="10" max="10" width="10" style="5" customWidth="1"/>
    <col min="11" max="12" width="9.140625" style="5"/>
    <col min="13" max="13" width="12.5703125" style="5" bestFit="1" customWidth="1"/>
    <col min="14" max="14" width="11.85546875" style="5" customWidth="1"/>
    <col min="15" max="15" width="9.140625" style="5"/>
    <col min="16" max="16" width="12.7109375" style="5" customWidth="1"/>
    <col min="17" max="19" width="9.140625" style="5"/>
    <col min="20" max="20" width="10" style="199" customWidth="1"/>
  </cols>
  <sheetData>
    <row r="1" spans="1:20" ht="47.25">
      <c r="A1" s="184" t="s">
        <v>1700</v>
      </c>
      <c r="B1" s="185" t="s">
        <v>1427</v>
      </c>
      <c r="C1" s="51"/>
      <c r="D1" s="51"/>
      <c r="E1" s="195"/>
      <c r="F1" s="196"/>
      <c r="G1" s="195"/>
      <c r="H1" s="196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6"/>
    </row>
    <row r="2" spans="1:20" ht="30">
      <c r="A2" s="173" t="s">
        <v>1428</v>
      </c>
      <c r="B2" s="173" t="s">
        <v>859</v>
      </c>
      <c r="C2" s="173" t="s">
        <v>1429</v>
      </c>
      <c r="D2" s="173" t="s">
        <v>1430</v>
      </c>
      <c r="E2" s="173" t="s">
        <v>1701</v>
      </c>
      <c r="F2" s="192" t="s">
        <v>1433</v>
      </c>
      <c r="G2" s="173" t="s">
        <v>1702</v>
      </c>
      <c r="H2" s="192" t="s">
        <v>1703</v>
      </c>
      <c r="I2" s="173" t="s">
        <v>1704</v>
      </c>
      <c r="J2" s="173" t="s">
        <v>1705</v>
      </c>
      <c r="K2" s="173" t="s">
        <v>1706</v>
      </c>
      <c r="L2" s="173" t="s">
        <v>1437</v>
      </c>
      <c r="M2" s="173" t="s">
        <v>1436</v>
      </c>
      <c r="N2" s="173" t="s">
        <v>1707</v>
      </c>
      <c r="O2" s="173" t="s">
        <v>1708</v>
      </c>
      <c r="P2" s="173" t="s">
        <v>1709</v>
      </c>
      <c r="Q2" s="173" t="s">
        <v>1448</v>
      </c>
      <c r="R2" s="173" t="s">
        <v>1446</v>
      </c>
      <c r="S2" s="173" t="s">
        <v>1710</v>
      </c>
      <c r="T2" s="192" t="s">
        <v>1455</v>
      </c>
    </row>
    <row r="3" spans="1:20" ht="30">
      <c r="A3" s="173"/>
      <c r="B3" s="183"/>
      <c r="C3" s="181"/>
      <c r="D3" s="181" t="s">
        <v>1461</v>
      </c>
      <c r="E3" s="174" t="s">
        <v>1468</v>
      </c>
      <c r="F3" s="193" t="s">
        <v>1463</v>
      </c>
      <c r="G3" s="174" t="s">
        <v>1711</v>
      </c>
      <c r="H3" s="193" t="s">
        <v>1462</v>
      </c>
      <c r="I3" s="174" t="s">
        <v>1482</v>
      </c>
      <c r="J3" s="174" t="s">
        <v>1471</v>
      </c>
      <c r="K3" s="174" t="s">
        <v>1712</v>
      </c>
      <c r="L3" s="174" t="s">
        <v>1466</v>
      </c>
      <c r="M3" s="174" t="s">
        <v>1713</v>
      </c>
      <c r="N3" s="174" t="s">
        <v>1469</v>
      </c>
      <c r="O3" s="174" t="s">
        <v>1470</v>
      </c>
      <c r="P3" s="174" t="s">
        <v>1714</v>
      </c>
      <c r="Q3" s="174" t="s">
        <v>1477</v>
      </c>
      <c r="R3" s="174" t="s">
        <v>1475</v>
      </c>
      <c r="S3" s="174" t="s">
        <v>1472</v>
      </c>
      <c r="T3" s="193" t="s">
        <v>1715</v>
      </c>
    </row>
    <row r="4" spans="1:20" ht="21">
      <c r="A4" s="180" t="s">
        <v>1489</v>
      </c>
      <c r="B4" s="180" t="s">
        <v>1331</v>
      </c>
      <c r="C4" s="182"/>
      <c r="D4" s="182" t="s">
        <v>1490</v>
      </c>
      <c r="E4" s="197">
        <v>10100242</v>
      </c>
      <c r="F4" s="198" t="s">
        <v>1491</v>
      </c>
      <c r="G4" s="197" t="s">
        <v>1491</v>
      </c>
      <c r="H4" s="198" t="s">
        <v>1716</v>
      </c>
      <c r="I4" s="197" t="s">
        <v>1491</v>
      </c>
      <c r="J4" s="197" t="s">
        <v>1491</v>
      </c>
      <c r="K4" s="197" t="s">
        <v>1491</v>
      </c>
      <c r="L4" s="197" t="s">
        <v>1491</v>
      </c>
      <c r="M4" s="197" t="s">
        <v>1500</v>
      </c>
      <c r="N4" s="197" t="s">
        <v>1491</v>
      </c>
      <c r="O4" s="197" t="s">
        <v>1491</v>
      </c>
      <c r="P4" s="197" t="s">
        <v>1491</v>
      </c>
      <c r="Q4" s="197" t="s">
        <v>1491</v>
      </c>
      <c r="R4" s="197" t="s">
        <v>1491</v>
      </c>
      <c r="S4" s="197" t="s">
        <v>1491</v>
      </c>
      <c r="T4" s="198" t="s">
        <v>1491</v>
      </c>
    </row>
    <row r="5" spans="1:20">
      <c r="A5" s="177">
        <v>1</v>
      </c>
      <c r="B5" s="176" t="s">
        <v>1049</v>
      </c>
      <c r="C5" t="s">
        <v>1024</v>
      </c>
      <c r="D5" s="191" t="s">
        <v>1028</v>
      </c>
      <c r="E5" s="178">
        <v>10043240</v>
      </c>
      <c r="F5" s="194" t="s">
        <v>1491</v>
      </c>
      <c r="G5" s="178" t="s">
        <v>1491</v>
      </c>
      <c r="H5" s="178" t="s">
        <v>1491</v>
      </c>
      <c r="I5" s="178" t="s">
        <v>1491</v>
      </c>
      <c r="J5" s="178" t="s">
        <v>1491</v>
      </c>
      <c r="K5" s="178" t="s">
        <v>1491</v>
      </c>
      <c r="L5" s="178" t="s">
        <v>1491</v>
      </c>
      <c r="M5" s="178" t="s">
        <v>1491</v>
      </c>
      <c r="N5" s="178" t="s">
        <v>1491</v>
      </c>
      <c r="O5" s="178" t="s">
        <v>1491</v>
      </c>
      <c r="P5" s="178" t="s">
        <v>1491</v>
      </c>
      <c r="Q5" s="178" t="s">
        <v>1491</v>
      </c>
      <c r="R5" s="178" t="s">
        <v>1491</v>
      </c>
      <c r="S5" s="178" t="s">
        <v>1491</v>
      </c>
      <c r="T5" s="194" t="s">
        <v>1503</v>
      </c>
    </row>
    <row r="6" spans="1:20">
      <c r="A6" s="177">
        <v>2</v>
      </c>
      <c r="B6" s="176" t="s">
        <v>1083</v>
      </c>
      <c r="C6" t="s">
        <v>1024</v>
      </c>
      <c r="D6" s="191" t="s">
        <v>1028</v>
      </c>
      <c r="E6" s="178">
        <v>10100242</v>
      </c>
      <c r="F6" s="194" t="s">
        <v>1491</v>
      </c>
      <c r="G6" s="178" t="s">
        <v>1491</v>
      </c>
      <c r="H6" s="178" t="s">
        <v>1716</v>
      </c>
      <c r="I6" s="178" t="s">
        <v>1491</v>
      </c>
      <c r="J6" s="178" t="s">
        <v>1491</v>
      </c>
      <c r="K6" s="178" t="s">
        <v>1491</v>
      </c>
      <c r="L6" s="178" t="s">
        <v>1491</v>
      </c>
      <c r="M6" s="178" t="s">
        <v>1500</v>
      </c>
      <c r="N6" s="178" t="s">
        <v>1491</v>
      </c>
      <c r="O6" s="178" t="s">
        <v>1491</v>
      </c>
      <c r="P6" s="178" t="s">
        <v>1491</v>
      </c>
      <c r="Q6" s="178" t="s">
        <v>1491</v>
      </c>
      <c r="R6" s="178" t="s">
        <v>1491</v>
      </c>
      <c r="S6" s="178" t="s">
        <v>1491</v>
      </c>
      <c r="T6" s="194" t="s">
        <v>1491</v>
      </c>
    </row>
    <row r="7" spans="1:20">
      <c r="A7" s="177">
        <v>3</v>
      </c>
      <c r="B7" s="176" t="s">
        <v>1104</v>
      </c>
      <c r="C7" t="s">
        <v>1024</v>
      </c>
      <c r="D7" s="191" t="s">
        <v>1028</v>
      </c>
      <c r="E7" s="178">
        <v>10112037</v>
      </c>
      <c r="F7" s="194" t="s">
        <v>1717</v>
      </c>
      <c r="G7" s="178" t="s">
        <v>1491</v>
      </c>
      <c r="H7" s="194" t="s">
        <v>1536</v>
      </c>
      <c r="I7" s="178" t="s">
        <v>1491</v>
      </c>
      <c r="J7" s="178" t="s">
        <v>1491</v>
      </c>
      <c r="K7" s="178" t="s">
        <v>1491</v>
      </c>
      <c r="L7" s="178" t="s">
        <v>1491</v>
      </c>
      <c r="M7" s="178" t="s">
        <v>1500</v>
      </c>
      <c r="N7" s="178" t="s">
        <v>1491</v>
      </c>
      <c r="O7" s="178" t="s">
        <v>1491</v>
      </c>
      <c r="P7" s="178" t="s">
        <v>1491</v>
      </c>
      <c r="Q7" s="178" t="s">
        <v>1491</v>
      </c>
      <c r="R7" s="178" t="s">
        <v>1491</v>
      </c>
      <c r="S7" s="178" t="s">
        <v>1491</v>
      </c>
      <c r="T7" s="194" t="s">
        <v>1491</v>
      </c>
    </row>
    <row r="8" spans="1:20">
      <c r="A8" s="177">
        <v>4</v>
      </c>
      <c r="B8" s="176" t="s">
        <v>1026</v>
      </c>
      <c r="C8" t="s">
        <v>1027</v>
      </c>
      <c r="D8" s="191" t="s">
        <v>1028</v>
      </c>
      <c r="E8" s="178" t="s">
        <v>1718</v>
      </c>
      <c r="F8" s="194" t="s">
        <v>1491</v>
      </c>
      <c r="G8" s="178" t="s">
        <v>1491</v>
      </c>
      <c r="H8" s="194" t="s">
        <v>1491</v>
      </c>
      <c r="I8" s="178" t="s">
        <v>1491</v>
      </c>
      <c r="J8" s="178" t="s">
        <v>1491</v>
      </c>
      <c r="K8" s="178" t="s">
        <v>1491</v>
      </c>
      <c r="L8" s="178" t="s">
        <v>1491</v>
      </c>
      <c r="M8" s="178" t="s">
        <v>1719</v>
      </c>
      <c r="N8" s="178" t="s">
        <v>1577</v>
      </c>
      <c r="O8" s="178" t="s">
        <v>1491</v>
      </c>
      <c r="P8" s="178" t="s">
        <v>1491</v>
      </c>
      <c r="Q8" s="178" t="s">
        <v>1491</v>
      </c>
      <c r="R8" s="178" t="s">
        <v>1491</v>
      </c>
      <c r="S8" s="178" t="s">
        <v>1491</v>
      </c>
      <c r="T8" s="194" t="s">
        <v>1491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878AA-4D92-4C0F-9703-4ADA01BEB99B}">
  <sheetPr>
    <tabColor theme="6" tint="-0.249977111117893"/>
  </sheetPr>
  <dimension ref="A1:Q5"/>
  <sheetViews>
    <sheetView topLeftCell="C1" workbookViewId="0">
      <selection activeCell="D21" sqref="D21"/>
    </sheetView>
  </sheetViews>
  <sheetFormatPr defaultRowHeight="15"/>
  <cols>
    <col min="1" max="1" width="21.28515625" bestFit="1" customWidth="1"/>
    <col min="2" max="2" width="53.5703125" bestFit="1" customWidth="1"/>
    <col min="3" max="3" width="54.7109375" bestFit="1" customWidth="1"/>
    <col min="4" max="4" width="63.7109375" customWidth="1"/>
    <col min="5" max="17" width="11.28515625" style="5" customWidth="1"/>
  </cols>
  <sheetData>
    <row r="1" spans="1:17" ht="47.25">
      <c r="A1" s="184" t="s">
        <v>1720</v>
      </c>
      <c r="B1" s="185" t="s">
        <v>1427</v>
      </c>
      <c r="C1" s="51"/>
      <c r="D1" s="51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</row>
    <row r="2" spans="1:17" ht="45">
      <c r="A2" s="173" t="s">
        <v>1428</v>
      </c>
      <c r="B2" s="173" t="s">
        <v>859</v>
      </c>
      <c r="C2" s="173" t="s">
        <v>1429</v>
      </c>
      <c r="D2" s="173" t="s">
        <v>1430</v>
      </c>
      <c r="E2" s="173" t="s">
        <v>1438</v>
      </c>
      <c r="F2" s="173" t="s">
        <v>1721</v>
      </c>
      <c r="G2" s="173" t="s">
        <v>1455</v>
      </c>
      <c r="H2" s="173" t="s">
        <v>1431</v>
      </c>
      <c r="I2" s="173" t="s">
        <v>1722</v>
      </c>
      <c r="J2" s="173" t="s">
        <v>1436</v>
      </c>
      <c r="K2" s="173" t="s">
        <v>1723</v>
      </c>
      <c r="L2" s="173" t="s">
        <v>1724</v>
      </c>
      <c r="M2" s="173" t="s">
        <v>1725</v>
      </c>
      <c r="N2" s="173" t="s">
        <v>1726</v>
      </c>
      <c r="O2" s="173" t="s">
        <v>1727</v>
      </c>
      <c r="P2" s="173" t="s">
        <v>1445</v>
      </c>
      <c r="Q2" s="173" t="s">
        <v>1728</v>
      </c>
    </row>
    <row r="3" spans="1:17">
      <c r="A3" s="173"/>
      <c r="B3" s="183"/>
      <c r="C3" s="181"/>
      <c r="D3" s="181" t="s">
        <v>1461</v>
      </c>
      <c r="E3" s="174" t="s">
        <v>1729</v>
      </c>
      <c r="F3" s="174" t="s">
        <v>1730</v>
      </c>
      <c r="G3" s="174" t="s">
        <v>1484</v>
      </c>
      <c r="H3" s="174" t="s">
        <v>1731</v>
      </c>
      <c r="I3" s="174" t="s">
        <v>1471</v>
      </c>
      <c r="J3" s="174" t="s">
        <v>1465</v>
      </c>
      <c r="K3" s="174" t="s">
        <v>1732</v>
      </c>
      <c r="L3" s="174" t="s">
        <v>1733</v>
      </c>
      <c r="M3" s="174" t="s">
        <v>1734</v>
      </c>
      <c r="N3" s="174" t="s">
        <v>1735</v>
      </c>
      <c r="O3" s="174" t="s">
        <v>1736</v>
      </c>
      <c r="P3" s="174" t="s">
        <v>1474</v>
      </c>
      <c r="Q3" s="174" t="s">
        <v>1737</v>
      </c>
    </row>
    <row r="4" spans="1:17" ht="21">
      <c r="A4" s="180" t="s">
        <v>1489</v>
      </c>
      <c r="B4" s="180" t="s">
        <v>1324</v>
      </c>
      <c r="C4" s="182"/>
      <c r="D4" s="182" t="s">
        <v>1490</v>
      </c>
      <c r="E4" s="197" t="s">
        <v>1491</v>
      </c>
      <c r="F4" s="197">
        <v>70</v>
      </c>
      <c r="G4" s="197" t="s">
        <v>1491</v>
      </c>
      <c r="H4" s="197" t="s">
        <v>1491</v>
      </c>
      <c r="I4" s="197" t="s">
        <v>1491</v>
      </c>
      <c r="J4" s="197" t="s">
        <v>1491</v>
      </c>
      <c r="K4" s="197" t="s">
        <v>1491</v>
      </c>
      <c r="L4" s="197" t="s">
        <v>1491</v>
      </c>
      <c r="M4" s="197" t="s">
        <v>1491</v>
      </c>
      <c r="N4" s="197" t="s">
        <v>1491</v>
      </c>
      <c r="O4" s="197" t="s">
        <v>1491</v>
      </c>
      <c r="P4" s="197" t="s">
        <v>1491</v>
      </c>
      <c r="Q4" s="197" t="s">
        <v>1491</v>
      </c>
    </row>
    <row r="5" spans="1:17">
      <c r="A5" s="177">
        <v>1</v>
      </c>
      <c r="B5" s="200" t="s">
        <v>1738</v>
      </c>
      <c r="C5" t="s">
        <v>1739</v>
      </c>
      <c r="D5" t="s">
        <v>1740</v>
      </c>
      <c r="E5" s="178" t="s">
        <v>1491</v>
      </c>
      <c r="F5" s="194">
        <v>70</v>
      </c>
      <c r="G5" s="178" t="s">
        <v>1491</v>
      </c>
      <c r="H5" s="194" t="s">
        <v>1491</v>
      </c>
      <c r="I5" s="178" t="s">
        <v>1491</v>
      </c>
      <c r="J5" s="178" t="s">
        <v>1491</v>
      </c>
      <c r="K5" s="178" t="s">
        <v>1491</v>
      </c>
      <c r="L5" s="178" t="s">
        <v>1491</v>
      </c>
      <c r="M5" s="178" t="s">
        <v>1491</v>
      </c>
      <c r="N5" s="178" t="s">
        <v>1491</v>
      </c>
      <c r="O5" s="194" t="s">
        <v>1491</v>
      </c>
      <c r="P5" s="178" t="s">
        <v>1491</v>
      </c>
      <c r="Q5" s="194" t="s">
        <v>1491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E4245-E603-4330-B833-EA040C582EDB}">
  <sheetPr>
    <tabColor theme="6" tint="-0.249977111117893"/>
  </sheetPr>
  <dimension ref="A1:Q5"/>
  <sheetViews>
    <sheetView workbookViewId="0">
      <selection activeCell="E5" sqref="E5:I5"/>
    </sheetView>
  </sheetViews>
  <sheetFormatPr defaultRowHeight="15"/>
  <cols>
    <col min="1" max="1" width="21.28515625" bestFit="1" customWidth="1"/>
    <col min="2" max="2" width="69.85546875" bestFit="1" customWidth="1"/>
    <col min="3" max="3" width="51.85546875" bestFit="1" customWidth="1"/>
    <col min="4" max="4" width="31" bestFit="1" customWidth="1"/>
    <col min="5" max="10" width="12.42578125" customWidth="1"/>
    <col min="11" max="11" width="26.7109375" bestFit="1" customWidth="1"/>
    <col min="12" max="16" width="12.42578125" customWidth="1"/>
    <col min="17" max="17" width="15.5703125" customWidth="1"/>
  </cols>
  <sheetData>
    <row r="1" spans="1:17" ht="47.25">
      <c r="A1" s="184" t="s">
        <v>1741</v>
      </c>
      <c r="B1" s="185" t="s">
        <v>1742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17" ht="45">
      <c r="A2" s="173" t="s">
        <v>1428</v>
      </c>
      <c r="B2" s="173" t="s">
        <v>859</v>
      </c>
      <c r="C2" s="173" t="s">
        <v>1429</v>
      </c>
      <c r="D2" s="173" t="s">
        <v>1430</v>
      </c>
      <c r="E2" s="173" t="s">
        <v>1743</v>
      </c>
      <c r="F2" s="173" t="s">
        <v>1432</v>
      </c>
      <c r="G2" s="173" t="s">
        <v>1433</v>
      </c>
      <c r="H2" s="173" t="s">
        <v>1455</v>
      </c>
      <c r="I2" s="173" t="s">
        <v>1005</v>
      </c>
      <c r="J2" s="173" t="s">
        <v>1703</v>
      </c>
      <c r="K2" s="173" t="s">
        <v>1446</v>
      </c>
      <c r="L2" s="173" t="s">
        <v>1744</v>
      </c>
      <c r="M2" s="173" t="s">
        <v>1706</v>
      </c>
      <c r="N2" s="173" t="s">
        <v>1745</v>
      </c>
      <c r="O2" s="173" t="s">
        <v>1746</v>
      </c>
      <c r="P2" s="173" t="s">
        <v>1747</v>
      </c>
      <c r="Q2" s="173" t="s">
        <v>1748</v>
      </c>
    </row>
    <row r="3" spans="1:17" ht="30">
      <c r="A3" s="173"/>
      <c r="B3" s="183"/>
      <c r="C3" s="181"/>
      <c r="D3" s="181" t="s">
        <v>1461</v>
      </c>
      <c r="E3" s="174" t="s">
        <v>1468</v>
      </c>
      <c r="F3" s="174" t="s">
        <v>1749</v>
      </c>
      <c r="G3" s="174" t="s">
        <v>1463</v>
      </c>
      <c r="H3" s="174" t="s">
        <v>1484</v>
      </c>
      <c r="I3" s="174" t="s">
        <v>1750</v>
      </c>
      <c r="J3" s="174" t="s">
        <v>1462</v>
      </c>
      <c r="K3" s="174" t="s">
        <v>1475</v>
      </c>
      <c r="L3" s="174" t="s">
        <v>1751</v>
      </c>
      <c r="M3" s="174" t="s">
        <v>1712</v>
      </c>
      <c r="N3" s="174" t="s">
        <v>1471</v>
      </c>
      <c r="O3" s="174" t="s">
        <v>1752</v>
      </c>
      <c r="P3" s="174" t="s">
        <v>1753</v>
      </c>
      <c r="Q3" s="174" t="s">
        <v>1754</v>
      </c>
    </row>
    <row r="4" spans="1:17" ht="21">
      <c r="A4" s="180" t="s">
        <v>1489</v>
      </c>
      <c r="B4" s="180" t="s">
        <v>1328</v>
      </c>
      <c r="C4" s="182"/>
      <c r="D4" s="182" t="s">
        <v>1490</v>
      </c>
      <c r="E4" s="197" t="s">
        <v>1491</v>
      </c>
      <c r="F4" s="197" t="s">
        <v>1491</v>
      </c>
      <c r="G4" s="197" t="s">
        <v>1491</v>
      </c>
      <c r="H4" s="197" t="s">
        <v>1491</v>
      </c>
      <c r="I4" s="197" t="s">
        <v>1491</v>
      </c>
      <c r="J4" s="197" t="s">
        <v>1491</v>
      </c>
      <c r="K4" s="197" t="s">
        <v>1755</v>
      </c>
      <c r="L4" s="197" t="s">
        <v>1491</v>
      </c>
      <c r="M4" s="197" t="s">
        <v>1491</v>
      </c>
      <c r="N4" s="197" t="s">
        <v>1491</v>
      </c>
      <c r="O4" s="197" t="s">
        <v>1491</v>
      </c>
      <c r="P4" s="197" t="s">
        <v>1491</v>
      </c>
      <c r="Q4" s="197" t="s">
        <v>1491</v>
      </c>
    </row>
    <row r="5" spans="1:17">
      <c r="A5" s="177">
        <v>1</v>
      </c>
      <c r="B5" s="176" t="s">
        <v>228</v>
      </c>
      <c r="C5" s="176" t="s">
        <v>1261</v>
      </c>
      <c r="D5" s="179" t="s">
        <v>1756</v>
      </c>
      <c r="E5" s="178" t="s">
        <v>1491</v>
      </c>
      <c r="F5" s="194" t="s">
        <v>1491</v>
      </c>
      <c r="G5" s="178" t="s">
        <v>1491</v>
      </c>
      <c r="H5" s="194" t="s">
        <v>1491</v>
      </c>
      <c r="I5" s="178" t="s">
        <v>1491</v>
      </c>
      <c r="J5" s="178" t="s">
        <v>1491</v>
      </c>
      <c r="K5" s="178" t="s">
        <v>1755</v>
      </c>
      <c r="L5" s="178" t="s">
        <v>1491</v>
      </c>
      <c r="M5" s="178" t="s">
        <v>1491</v>
      </c>
      <c r="N5" s="178" t="s">
        <v>1491</v>
      </c>
      <c r="O5" s="194" t="s">
        <v>1491</v>
      </c>
      <c r="P5" s="178" t="s">
        <v>1491</v>
      </c>
      <c r="Q5" s="194" t="s">
        <v>1491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F7991-E2B2-4314-AF3C-DB0ADAF9B87F}">
  <sheetPr>
    <tabColor theme="6" tint="-0.249977111117893"/>
  </sheetPr>
  <dimension ref="A1:P8"/>
  <sheetViews>
    <sheetView workbookViewId="0">
      <selection activeCell="D26" sqref="D26"/>
    </sheetView>
  </sheetViews>
  <sheetFormatPr defaultRowHeight="15"/>
  <cols>
    <col min="1" max="1" width="21.28515625" bestFit="1" customWidth="1"/>
    <col min="2" max="2" width="53.5703125" bestFit="1" customWidth="1"/>
    <col min="3" max="3" width="38.28515625" bestFit="1" customWidth="1"/>
    <col min="4" max="4" width="43.28515625" customWidth="1"/>
    <col min="6" max="6" width="10.85546875" customWidth="1"/>
    <col min="8" max="8" width="13" customWidth="1"/>
    <col min="9" max="9" width="10" customWidth="1"/>
    <col min="10" max="10" width="11.42578125" customWidth="1"/>
    <col min="11" max="11" width="20.7109375" customWidth="1"/>
    <col min="12" max="16" width="10.7109375" customWidth="1"/>
  </cols>
  <sheetData>
    <row r="1" spans="1:16" ht="47.25">
      <c r="A1" s="184" t="s">
        <v>1757</v>
      </c>
      <c r="B1" s="185" t="s">
        <v>1427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16" ht="45">
      <c r="A2" s="173" t="s">
        <v>1428</v>
      </c>
      <c r="B2" s="173" t="s">
        <v>859</v>
      </c>
      <c r="C2" s="173" t="s">
        <v>1429</v>
      </c>
      <c r="D2" s="173" t="s">
        <v>1430</v>
      </c>
      <c r="E2" s="173" t="s">
        <v>1432</v>
      </c>
      <c r="F2" s="173" t="s">
        <v>1433</v>
      </c>
      <c r="G2" s="173" t="s">
        <v>1758</v>
      </c>
      <c r="H2" s="173" t="s">
        <v>1759</v>
      </c>
      <c r="I2" s="173" t="s">
        <v>1441</v>
      </c>
      <c r="J2" s="173" t="s">
        <v>1441</v>
      </c>
      <c r="K2" s="173" t="s">
        <v>1447</v>
      </c>
      <c r="L2" s="173" t="s">
        <v>1446</v>
      </c>
      <c r="M2" s="173" t="s">
        <v>1702</v>
      </c>
      <c r="N2" s="173" t="s">
        <v>1760</v>
      </c>
      <c r="O2" s="173" t="s">
        <v>1453</v>
      </c>
      <c r="P2" s="173" t="s">
        <v>1761</v>
      </c>
    </row>
    <row r="3" spans="1:16">
      <c r="A3" s="173"/>
      <c r="B3" s="183"/>
      <c r="C3" s="181"/>
      <c r="D3" s="181" t="s">
        <v>1461</v>
      </c>
      <c r="E3" s="174" t="s">
        <v>1749</v>
      </c>
      <c r="F3" s="174" t="s">
        <v>1463</v>
      </c>
      <c r="G3" s="174" t="s">
        <v>1762</v>
      </c>
      <c r="H3" s="174" t="s">
        <v>1471</v>
      </c>
      <c r="I3" s="174" t="s">
        <v>1470</v>
      </c>
      <c r="J3" s="174" t="s">
        <v>1469</v>
      </c>
      <c r="K3" s="174" t="s">
        <v>1763</v>
      </c>
      <c r="L3" s="174" t="s">
        <v>1764</v>
      </c>
      <c r="M3" s="174" t="s">
        <v>1711</v>
      </c>
      <c r="N3" s="174" t="s">
        <v>1765</v>
      </c>
      <c r="O3" s="174" t="s">
        <v>1482</v>
      </c>
      <c r="P3" s="174" t="s">
        <v>1766</v>
      </c>
    </row>
    <row r="4" spans="1:16" ht="21">
      <c r="A4" s="180" t="s">
        <v>1489</v>
      </c>
      <c r="B4" s="180" t="s">
        <v>990</v>
      </c>
      <c r="C4" s="182"/>
      <c r="D4" s="182" t="s">
        <v>1490</v>
      </c>
      <c r="E4" s="197" t="s">
        <v>1491</v>
      </c>
      <c r="F4" s="197" t="s">
        <v>1491</v>
      </c>
      <c r="G4" s="197" t="s">
        <v>1491</v>
      </c>
      <c r="H4" s="197" t="s">
        <v>1491</v>
      </c>
      <c r="I4" s="197" t="s">
        <v>1491</v>
      </c>
      <c r="J4" s="197" t="s">
        <v>1491</v>
      </c>
      <c r="K4" s="180" t="s">
        <v>1767</v>
      </c>
      <c r="L4" s="197" t="s">
        <v>1491</v>
      </c>
      <c r="M4" s="197" t="s">
        <v>1491</v>
      </c>
      <c r="N4" s="197" t="s">
        <v>1491</v>
      </c>
      <c r="O4" s="197" t="s">
        <v>1491</v>
      </c>
      <c r="P4" s="197" t="s">
        <v>1491</v>
      </c>
    </row>
    <row r="5" spans="1:16">
      <c r="A5" s="177">
        <v>1</v>
      </c>
      <c r="B5" s="176" t="s">
        <v>209</v>
      </c>
      <c r="C5" t="s">
        <v>1210</v>
      </c>
      <c r="D5" t="s">
        <v>1768</v>
      </c>
      <c r="E5" s="178" t="s">
        <v>1491</v>
      </c>
      <c r="F5" s="194" t="s">
        <v>1491</v>
      </c>
      <c r="G5" s="178" t="s">
        <v>1491</v>
      </c>
      <c r="H5" s="194" t="s">
        <v>1491</v>
      </c>
      <c r="I5" s="178" t="s">
        <v>1491</v>
      </c>
      <c r="J5" s="178" t="s">
        <v>1491</v>
      </c>
      <c r="K5" s="194" t="s">
        <v>1767</v>
      </c>
      <c r="L5" s="178" t="s">
        <v>1491</v>
      </c>
      <c r="M5" s="194" t="s">
        <v>1491</v>
      </c>
      <c r="N5" s="178" t="s">
        <v>1491</v>
      </c>
      <c r="O5" s="194" t="s">
        <v>1491</v>
      </c>
      <c r="P5" s="178" t="s">
        <v>1491</v>
      </c>
    </row>
    <row r="6" spans="1:16">
      <c r="A6" s="177">
        <v>2</v>
      </c>
      <c r="B6" s="176" t="s">
        <v>210</v>
      </c>
      <c r="C6" t="s">
        <v>1210</v>
      </c>
      <c r="D6" t="s">
        <v>1769</v>
      </c>
      <c r="E6" s="178" t="s">
        <v>1491</v>
      </c>
      <c r="F6" s="194" t="s">
        <v>1491</v>
      </c>
      <c r="G6" s="178" t="s">
        <v>1491</v>
      </c>
      <c r="H6" s="194" t="s">
        <v>1491</v>
      </c>
      <c r="I6" s="178" t="s">
        <v>1491</v>
      </c>
      <c r="J6" s="178" t="s">
        <v>1491</v>
      </c>
      <c r="K6" s="194" t="s">
        <v>1767</v>
      </c>
      <c r="L6" s="178" t="s">
        <v>1491</v>
      </c>
      <c r="M6" s="194" t="s">
        <v>1491</v>
      </c>
      <c r="N6" s="178" t="s">
        <v>1491</v>
      </c>
      <c r="O6" s="194" t="s">
        <v>1491</v>
      </c>
      <c r="P6" s="178" t="s">
        <v>1491</v>
      </c>
    </row>
    <row r="7" spans="1:16">
      <c r="A7" s="177">
        <v>3</v>
      </c>
      <c r="B7" s="176" t="s">
        <v>207</v>
      </c>
      <c r="C7" t="s">
        <v>1210</v>
      </c>
      <c r="D7" t="s">
        <v>1770</v>
      </c>
      <c r="E7" s="178" t="s">
        <v>1491</v>
      </c>
      <c r="F7" s="194" t="s">
        <v>1491</v>
      </c>
      <c r="G7" s="178" t="s">
        <v>1491</v>
      </c>
      <c r="H7" s="194" t="s">
        <v>1771</v>
      </c>
      <c r="I7" s="178" t="s">
        <v>1493</v>
      </c>
      <c r="J7" s="178" t="s">
        <v>1491</v>
      </c>
      <c r="K7" s="194" t="s">
        <v>1767</v>
      </c>
      <c r="L7" s="178" t="s">
        <v>1491</v>
      </c>
      <c r="M7" s="194" t="s">
        <v>1491</v>
      </c>
      <c r="N7" s="178" t="s">
        <v>1491</v>
      </c>
      <c r="O7" s="194" t="s">
        <v>1491</v>
      </c>
      <c r="P7" s="178" t="s">
        <v>1491</v>
      </c>
    </row>
    <row r="8" spans="1:16">
      <c r="A8" s="177">
        <v>4</v>
      </c>
      <c r="B8" s="176" t="s">
        <v>211</v>
      </c>
      <c r="C8" t="s">
        <v>1210</v>
      </c>
      <c r="D8" t="s">
        <v>1772</v>
      </c>
      <c r="E8" s="178" t="s">
        <v>1491</v>
      </c>
      <c r="F8" s="194" t="s">
        <v>1491</v>
      </c>
      <c r="G8" s="178" t="s">
        <v>1491</v>
      </c>
      <c r="H8" s="194" t="s">
        <v>1491</v>
      </c>
      <c r="I8" s="178" t="s">
        <v>1491</v>
      </c>
      <c r="J8" s="178" t="s">
        <v>1491</v>
      </c>
      <c r="K8" s="194" t="s">
        <v>1767</v>
      </c>
      <c r="L8" s="178" t="s">
        <v>1491</v>
      </c>
      <c r="M8" s="194" t="s">
        <v>1491</v>
      </c>
      <c r="N8" s="178" t="s">
        <v>1491</v>
      </c>
      <c r="O8" s="194" t="s">
        <v>1491</v>
      </c>
      <c r="P8" s="178" t="s">
        <v>1491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41606-EE3A-4254-B34F-C5B8F07928B7}">
  <sheetPr>
    <tabColor theme="6" tint="-0.249977111117893"/>
  </sheetPr>
  <dimension ref="A1:Q5"/>
  <sheetViews>
    <sheetView topLeftCell="C1" workbookViewId="0">
      <selection activeCell="L35" sqref="L35"/>
    </sheetView>
  </sheetViews>
  <sheetFormatPr defaultRowHeight="15"/>
  <cols>
    <col min="1" max="1" width="21.28515625" bestFit="1" customWidth="1"/>
    <col min="2" max="2" width="45.140625" bestFit="1" customWidth="1"/>
    <col min="3" max="3" width="77.140625" bestFit="1" customWidth="1"/>
    <col min="4" max="4" width="28.42578125" bestFit="1" customWidth="1"/>
    <col min="5" max="5" width="18.140625" style="205" bestFit="1" customWidth="1"/>
    <col min="6" max="10" width="10.7109375" style="205" customWidth="1"/>
    <col min="11" max="11" width="17.28515625" style="205" bestFit="1" customWidth="1"/>
    <col min="12" max="12" width="10.7109375" style="205" customWidth="1"/>
    <col min="13" max="13" width="11.5703125" style="205" customWidth="1"/>
    <col min="14" max="14" width="13.5703125" style="205" customWidth="1"/>
    <col min="15" max="15" width="11.85546875" style="205" customWidth="1"/>
    <col min="16" max="16" width="10.7109375" style="205" customWidth="1"/>
    <col min="17" max="17" width="13.5703125" style="205" bestFit="1" customWidth="1"/>
  </cols>
  <sheetData>
    <row r="1" spans="1:17" ht="47.25">
      <c r="A1" s="184" t="s">
        <v>1773</v>
      </c>
      <c r="B1" s="185" t="s">
        <v>1427</v>
      </c>
      <c r="C1" s="51"/>
      <c r="D1" s="51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</row>
    <row r="2" spans="1:17" ht="45">
      <c r="A2" s="173" t="s">
        <v>1428</v>
      </c>
      <c r="B2" s="173" t="s">
        <v>859</v>
      </c>
      <c r="C2" s="173" t="s">
        <v>1429</v>
      </c>
      <c r="D2" s="173" t="s">
        <v>1430</v>
      </c>
      <c r="E2" s="192" t="s">
        <v>1455</v>
      </c>
      <c r="F2" s="192" t="s">
        <v>1442</v>
      </c>
      <c r="G2" s="192" t="s">
        <v>1436</v>
      </c>
      <c r="H2" s="192" t="s">
        <v>1437</v>
      </c>
      <c r="I2" s="192" t="s">
        <v>1438</v>
      </c>
      <c r="J2" s="192" t="s">
        <v>1441</v>
      </c>
      <c r="K2" s="192" t="s">
        <v>1440</v>
      </c>
      <c r="L2" s="192" t="s">
        <v>1431</v>
      </c>
      <c r="M2" s="192" t="s">
        <v>1774</v>
      </c>
      <c r="N2" s="192" t="s">
        <v>1775</v>
      </c>
      <c r="O2" s="192" t="s">
        <v>1776</v>
      </c>
      <c r="P2" s="192" t="s">
        <v>1724</v>
      </c>
      <c r="Q2" s="192" t="s">
        <v>1777</v>
      </c>
    </row>
    <row r="3" spans="1:17" ht="30">
      <c r="A3" s="173"/>
      <c r="B3" s="183"/>
      <c r="C3" s="181"/>
      <c r="D3" s="181" t="s">
        <v>1461</v>
      </c>
      <c r="E3" s="193" t="s">
        <v>1778</v>
      </c>
      <c r="F3" s="193" t="s">
        <v>1471</v>
      </c>
      <c r="G3" s="193" t="s">
        <v>1465</v>
      </c>
      <c r="H3" s="193" t="s">
        <v>1466</v>
      </c>
      <c r="I3" s="193" t="s">
        <v>1467</v>
      </c>
      <c r="J3" s="193" t="s">
        <v>1470</v>
      </c>
      <c r="K3" s="193" t="s">
        <v>1469</v>
      </c>
      <c r="L3" s="193" t="s">
        <v>1462</v>
      </c>
      <c r="M3" s="193" t="s">
        <v>1779</v>
      </c>
      <c r="N3" s="193" t="s">
        <v>1780</v>
      </c>
      <c r="O3" s="193" t="s">
        <v>1781</v>
      </c>
      <c r="P3" s="193" t="s">
        <v>1782</v>
      </c>
      <c r="Q3" s="193" t="s">
        <v>1783</v>
      </c>
    </row>
    <row r="4" spans="1:17" ht="21">
      <c r="A4" s="180" t="s">
        <v>1489</v>
      </c>
      <c r="B4" s="180" t="s">
        <v>1332</v>
      </c>
      <c r="C4" s="182"/>
      <c r="D4" s="182" t="s">
        <v>1490</v>
      </c>
      <c r="E4" s="204" t="s">
        <v>1784</v>
      </c>
      <c r="F4" s="204" t="s">
        <v>1491</v>
      </c>
      <c r="G4" s="204" t="s">
        <v>1550</v>
      </c>
      <c r="H4" s="204" t="s">
        <v>1492</v>
      </c>
      <c r="I4" s="204" t="s">
        <v>1491</v>
      </c>
      <c r="J4" s="204" t="s">
        <v>1491</v>
      </c>
      <c r="K4" s="204" t="s">
        <v>1551</v>
      </c>
      <c r="L4" s="204" t="s">
        <v>1491</v>
      </c>
      <c r="M4" s="204" t="s">
        <v>1491</v>
      </c>
      <c r="N4" s="204" t="s">
        <v>1785</v>
      </c>
      <c r="O4" s="204" t="s">
        <v>1491</v>
      </c>
      <c r="P4" s="204" t="s">
        <v>1786</v>
      </c>
      <c r="Q4" s="204" t="s">
        <v>1787</v>
      </c>
    </row>
    <row r="5" spans="1:17">
      <c r="A5" s="177">
        <v>1</v>
      </c>
      <c r="B5" s="202" t="s">
        <v>1154</v>
      </c>
      <c r="C5" s="176" t="s">
        <v>1134</v>
      </c>
      <c r="D5" s="176" t="s">
        <v>1788</v>
      </c>
      <c r="E5" s="178" t="s">
        <v>1784</v>
      </c>
      <c r="F5" s="194" t="s">
        <v>1491</v>
      </c>
      <c r="G5" s="178" t="s">
        <v>1550</v>
      </c>
      <c r="H5" s="178" t="s">
        <v>1492</v>
      </c>
      <c r="I5" s="178" t="s">
        <v>1491</v>
      </c>
      <c r="J5" s="178" t="s">
        <v>1491</v>
      </c>
      <c r="K5" s="194" t="s">
        <v>1551</v>
      </c>
      <c r="L5" s="178" t="s">
        <v>1491</v>
      </c>
      <c r="M5" s="178" t="s">
        <v>1491</v>
      </c>
      <c r="N5" s="178" t="s">
        <v>1785</v>
      </c>
      <c r="O5" s="178" t="s">
        <v>1491</v>
      </c>
      <c r="P5" s="194" t="s">
        <v>1786</v>
      </c>
      <c r="Q5" s="178" t="s">
        <v>1787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110E9-E495-4629-934E-EB14AABB6E67}">
  <sheetPr>
    <tabColor theme="6" tint="-0.249977111117893"/>
  </sheetPr>
  <dimension ref="A1:N6"/>
  <sheetViews>
    <sheetView showGridLines="0" tabSelected="1" zoomScaleNormal="100" workbookViewId="0">
      <pane xSplit="3" ySplit="2" topLeftCell="D3" activePane="bottomRight" state="frozen"/>
      <selection pane="bottomRight" activeCell="B20" sqref="B20"/>
      <selection pane="bottomLeft" activeCell="A5" sqref="A5"/>
      <selection pane="topRight" activeCell="D1" sqref="D1"/>
    </sheetView>
  </sheetViews>
  <sheetFormatPr defaultColWidth="8.7109375" defaultRowHeight="15"/>
  <cols>
    <col min="1" max="1" width="32.5703125" style="51" customWidth="1"/>
    <col min="2" max="2" width="58" style="51" bestFit="1" customWidth="1"/>
    <col min="3" max="3" width="78.28515625" style="51" bestFit="1" customWidth="1"/>
    <col min="4" max="4" width="73.140625" style="51" bestFit="1" customWidth="1"/>
    <col min="5" max="5" width="18" style="206" bestFit="1" customWidth="1"/>
    <col min="6" max="6" width="18" style="206" customWidth="1"/>
    <col min="7" max="7" width="14" style="206" customWidth="1"/>
    <col min="8" max="8" width="19.28515625" style="206" bestFit="1" customWidth="1"/>
    <col min="9" max="13" width="14" style="206" customWidth="1"/>
    <col min="14" max="14" width="25.5703125" style="206" bestFit="1" customWidth="1"/>
    <col min="15" max="16384" width="8.7109375" style="51"/>
  </cols>
  <sheetData>
    <row r="1" spans="1:14" ht="31.5">
      <c r="A1" s="184" t="s">
        <v>1789</v>
      </c>
      <c r="B1" s="185" t="s">
        <v>1427</v>
      </c>
    </row>
    <row r="2" spans="1:14" ht="42" customHeight="1">
      <c r="A2" s="173" t="s">
        <v>1428</v>
      </c>
      <c r="B2" s="173" t="s">
        <v>859</v>
      </c>
      <c r="C2" s="173" t="s">
        <v>1429</v>
      </c>
      <c r="D2" s="173" t="s">
        <v>1430</v>
      </c>
      <c r="E2" s="207" t="s">
        <v>1455</v>
      </c>
      <c r="F2" s="207" t="s">
        <v>1790</v>
      </c>
      <c r="G2" s="207" t="s">
        <v>1442</v>
      </c>
      <c r="H2" s="207" t="s">
        <v>1436</v>
      </c>
      <c r="I2" s="207" t="s">
        <v>1437</v>
      </c>
      <c r="J2" s="207" t="s">
        <v>1438</v>
      </c>
      <c r="K2" s="207" t="s">
        <v>1791</v>
      </c>
      <c r="L2" s="207" t="s">
        <v>1792</v>
      </c>
      <c r="M2" s="207" t="s">
        <v>1431</v>
      </c>
      <c r="N2" s="207" t="s">
        <v>1793</v>
      </c>
    </row>
    <row r="3" spans="1:14" ht="15" customHeight="1">
      <c r="A3" s="173"/>
      <c r="B3" s="183"/>
      <c r="C3" s="181"/>
      <c r="D3" s="181" t="s">
        <v>1461</v>
      </c>
      <c r="E3" s="208" t="s">
        <v>1778</v>
      </c>
      <c r="F3" s="208" t="s">
        <v>1468</v>
      </c>
      <c r="G3" s="208" t="s">
        <v>1471</v>
      </c>
      <c r="H3" s="208" t="s">
        <v>1465</v>
      </c>
      <c r="I3" s="208" t="s">
        <v>1466</v>
      </c>
      <c r="J3" s="208" t="s">
        <v>1467</v>
      </c>
      <c r="K3" s="208" t="s">
        <v>1470</v>
      </c>
      <c r="L3" s="208" t="s">
        <v>1469</v>
      </c>
      <c r="M3" s="208" t="s">
        <v>1462</v>
      </c>
      <c r="N3" s="208" t="s">
        <v>1794</v>
      </c>
    </row>
    <row r="4" spans="1:14" s="175" customFormat="1" ht="21">
      <c r="A4" s="180" t="s">
        <v>1489</v>
      </c>
      <c r="B4" s="180" t="s">
        <v>985</v>
      </c>
      <c r="C4" s="182"/>
      <c r="D4" s="182" t="s">
        <v>1490</v>
      </c>
      <c r="E4" s="209" t="s">
        <v>1495</v>
      </c>
      <c r="F4" s="209" t="s">
        <v>1491</v>
      </c>
      <c r="G4" s="209" t="s">
        <v>1491</v>
      </c>
      <c r="H4" s="209" t="s">
        <v>1795</v>
      </c>
      <c r="I4" s="209" t="s">
        <v>1492</v>
      </c>
      <c r="J4" s="209" t="s">
        <v>1491</v>
      </c>
      <c r="K4" s="209" t="s">
        <v>1491</v>
      </c>
      <c r="L4" s="209" t="s">
        <v>1541</v>
      </c>
      <c r="M4" s="209" t="s">
        <v>1491</v>
      </c>
      <c r="N4" s="209" t="s">
        <v>1491</v>
      </c>
    </row>
    <row r="5" spans="1:14">
      <c r="A5" s="177">
        <v>1</v>
      </c>
      <c r="B5" s="176" t="s">
        <v>62</v>
      </c>
      <c r="C5" s="176" t="s">
        <v>1243</v>
      </c>
      <c r="D5" t="s">
        <v>1796</v>
      </c>
      <c r="E5" s="210" t="s">
        <v>1495</v>
      </c>
      <c r="F5" s="210" t="s">
        <v>1491</v>
      </c>
      <c r="G5" s="210" t="s">
        <v>1491</v>
      </c>
      <c r="H5" s="210" t="s">
        <v>1795</v>
      </c>
      <c r="I5" s="210" t="s">
        <v>1492</v>
      </c>
      <c r="J5" s="210" t="s">
        <v>1491</v>
      </c>
      <c r="K5" s="210" t="s">
        <v>1491</v>
      </c>
      <c r="L5" s="210" t="s">
        <v>1541</v>
      </c>
      <c r="M5" s="210" t="s">
        <v>1491</v>
      </c>
      <c r="N5" s="210" t="s">
        <v>1491</v>
      </c>
    </row>
    <row r="6" spans="1:14">
      <c r="A6" s="177">
        <v>2</v>
      </c>
      <c r="B6" s="176" t="s">
        <v>1146</v>
      </c>
      <c r="C6" s="176" t="s">
        <v>1134</v>
      </c>
      <c r="D6" t="s">
        <v>1796</v>
      </c>
      <c r="E6" s="210" t="s">
        <v>1495</v>
      </c>
      <c r="F6" s="210" t="s">
        <v>1491</v>
      </c>
      <c r="G6" s="210" t="s">
        <v>1491</v>
      </c>
      <c r="H6" s="210" t="s">
        <v>1550</v>
      </c>
      <c r="I6" s="210" t="s">
        <v>1492</v>
      </c>
      <c r="J6" s="210" t="s">
        <v>1491</v>
      </c>
      <c r="K6" s="210" t="s">
        <v>1493</v>
      </c>
      <c r="L6" s="210" t="s">
        <v>1797</v>
      </c>
      <c r="M6" s="210" t="s">
        <v>1491</v>
      </c>
      <c r="N6" s="210" t="s">
        <v>1798</v>
      </c>
    </row>
  </sheetData>
  <autoFilter ref="A2:M5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8C035-19B8-47B0-8EF7-61AA41D178E8}">
  <sheetPr>
    <tabColor theme="4"/>
  </sheetPr>
  <dimension ref="A1:E31"/>
  <sheetViews>
    <sheetView showGridLines="0" workbookViewId="0">
      <selection activeCell="F18" sqref="F18"/>
    </sheetView>
  </sheetViews>
  <sheetFormatPr defaultRowHeight="15"/>
  <cols>
    <col min="1" max="1" width="5" style="88" customWidth="1"/>
    <col min="2" max="3" width="16" style="88" customWidth="1"/>
    <col min="4" max="4" width="69.85546875" style="88" customWidth="1"/>
    <col min="5" max="5" width="7" style="114" bestFit="1" customWidth="1"/>
    <col min="6" max="16384" width="9.140625" style="88"/>
  </cols>
  <sheetData>
    <row r="1" spans="1:5" ht="27.95" customHeight="1">
      <c r="A1" s="224" t="s">
        <v>1799</v>
      </c>
      <c r="B1" s="225"/>
      <c r="C1" s="225"/>
      <c r="D1" s="225"/>
      <c r="E1" s="225"/>
    </row>
    <row r="2" spans="1:5" ht="21.95" customHeight="1">
      <c r="A2" s="89" t="s">
        <v>858</v>
      </c>
      <c r="B2" s="89" t="s">
        <v>1800</v>
      </c>
      <c r="C2" s="89" t="s">
        <v>1801</v>
      </c>
      <c r="D2" s="89" t="s">
        <v>1802</v>
      </c>
      <c r="E2" s="89" t="s">
        <v>1803</v>
      </c>
    </row>
    <row r="3" spans="1:5" ht="21.95" customHeight="1">
      <c r="A3" s="90">
        <v>1</v>
      </c>
      <c r="B3" s="90" t="s">
        <v>1804</v>
      </c>
      <c r="C3" s="91" t="s">
        <v>1805</v>
      </c>
      <c r="D3" s="92" t="s">
        <v>1806</v>
      </c>
      <c r="E3" s="93" t="s">
        <v>1807</v>
      </c>
    </row>
    <row r="4" spans="1:5" ht="21.95" customHeight="1">
      <c r="A4" s="90">
        <v>2</v>
      </c>
      <c r="B4" s="90" t="s">
        <v>1804</v>
      </c>
      <c r="C4" s="91" t="s">
        <v>1805</v>
      </c>
      <c r="D4" s="92" t="s">
        <v>1808</v>
      </c>
      <c r="E4" s="93" t="s">
        <v>1807</v>
      </c>
    </row>
    <row r="5" spans="1:5" ht="21.95" customHeight="1">
      <c r="A5" s="90">
        <v>3</v>
      </c>
      <c r="B5" s="90" t="s">
        <v>1804</v>
      </c>
      <c r="C5" s="91" t="s">
        <v>1805</v>
      </c>
      <c r="D5" s="92" t="s">
        <v>1809</v>
      </c>
      <c r="E5" s="93" t="s">
        <v>1807</v>
      </c>
    </row>
    <row r="6" spans="1:5" ht="21.95" customHeight="1">
      <c r="A6" s="90">
        <v>4</v>
      </c>
      <c r="B6" s="90" t="s">
        <v>1804</v>
      </c>
      <c r="C6" s="91" t="s">
        <v>1805</v>
      </c>
      <c r="D6" s="92" t="s">
        <v>1810</v>
      </c>
      <c r="E6" s="93" t="s">
        <v>1807</v>
      </c>
    </row>
    <row r="7" spans="1:5" ht="21.95" customHeight="1">
      <c r="A7" s="90">
        <v>5</v>
      </c>
      <c r="B7" s="90" t="s">
        <v>1804</v>
      </c>
      <c r="C7" s="91" t="s">
        <v>1805</v>
      </c>
      <c r="D7" s="92" t="s">
        <v>1811</v>
      </c>
      <c r="E7" s="93" t="s">
        <v>1807</v>
      </c>
    </row>
    <row r="8" spans="1:5" ht="21.95" customHeight="1">
      <c r="A8" s="94">
        <v>6</v>
      </c>
      <c r="B8" s="94" t="s">
        <v>1812</v>
      </c>
      <c r="C8" s="95" t="s">
        <v>1813</v>
      </c>
      <c r="D8" s="96" t="s">
        <v>1814</v>
      </c>
      <c r="E8" s="97" t="s">
        <v>1807</v>
      </c>
    </row>
    <row r="9" spans="1:5" ht="21.95" customHeight="1">
      <c r="A9" s="94">
        <v>7</v>
      </c>
      <c r="B9" s="94" t="s">
        <v>1812</v>
      </c>
      <c r="C9" s="95" t="s">
        <v>1813</v>
      </c>
      <c r="D9" s="96" t="s">
        <v>1815</v>
      </c>
      <c r="E9" s="97" t="s">
        <v>1807</v>
      </c>
    </row>
    <row r="10" spans="1:5" ht="21.95" customHeight="1">
      <c r="A10" s="94">
        <v>8</v>
      </c>
      <c r="B10" s="94" t="s">
        <v>1812</v>
      </c>
      <c r="C10" s="95" t="s">
        <v>1813</v>
      </c>
      <c r="D10" s="96" t="s">
        <v>1816</v>
      </c>
      <c r="E10" s="97" t="s">
        <v>1807</v>
      </c>
    </row>
    <row r="11" spans="1:5" ht="21.95" customHeight="1">
      <c r="A11" s="94">
        <v>9</v>
      </c>
      <c r="B11" s="94" t="s">
        <v>1812</v>
      </c>
      <c r="C11" s="95" t="s">
        <v>1813</v>
      </c>
      <c r="D11" s="96" t="s">
        <v>1817</v>
      </c>
      <c r="E11" s="97" t="s">
        <v>1807</v>
      </c>
    </row>
    <row r="12" spans="1:5" ht="21.95" customHeight="1">
      <c r="A12" s="94">
        <v>10</v>
      </c>
      <c r="B12" s="94" t="s">
        <v>1812</v>
      </c>
      <c r="C12" s="95" t="s">
        <v>1813</v>
      </c>
      <c r="D12" s="96" t="s">
        <v>1818</v>
      </c>
      <c r="E12" s="97" t="s">
        <v>1807</v>
      </c>
    </row>
    <row r="13" spans="1:5" ht="21.95" customHeight="1">
      <c r="A13" s="94">
        <v>11</v>
      </c>
      <c r="B13" s="94" t="s">
        <v>1812</v>
      </c>
      <c r="C13" s="95" t="s">
        <v>1813</v>
      </c>
      <c r="D13" s="96" t="s">
        <v>1819</v>
      </c>
      <c r="E13" s="97" t="s">
        <v>1807</v>
      </c>
    </row>
    <row r="14" spans="1:5" ht="21.95" customHeight="1">
      <c r="A14" s="98">
        <v>12</v>
      </c>
      <c r="B14" s="98" t="s">
        <v>1820</v>
      </c>
      <c r="C14" s="99" t="s">
        <v>1821</v>
      </c>
      <c r="D14" s="100" t="s">
        <v>1822</v>
      </c>
      <c r="E14" s="101" t="s">
        <v>1807</v>
      </c>
    </row>
    <row r="15" spans="1:5" ht="21.95" customHeight="1">
      <c r="A15" s="98">
        <v>13</v>
      </c>
      <c r="B15" s="98" t="s">
        <v>1820</v>
      </c>
      <c r="C15" s="99" t="s">
        <v>1821</v>
      </c>
      <c r="D15" s="100" t="s">
        <v>1823</v>
      </c>
      <c r="E15" s="101" t="s">
        <v>1807</v>
      </c>
    </row>
    <row r="16" spans="1:5" ht="21.95" customHeight="1">
      <c r="A16" s="98">
        <v>14</v>
      </c>
      <c r="B16" s="98" t="s">
        <v>1820</v>
      </c>
      <c r="C16" s="99" t="s">
        <v>1821</v>
      </c>
      <c r="D16" s="100" t="s">
        <v>1816</v>
      </c>
      <c r="E16" s="101" t="s">
        <v>1807</v>
      </c>
    </row>
    <row r="17" spans="1:5" ht="21.95" customHeight="1">
      <c r="A17" s="98">
        <v>15</v>
      </c>
      <c r="B17" s="98" t="s">
        <v>1820</v>
      </c>
      <c r="C17" s="99" t="s">
        <v>1821</v>
      </c>
      <c r="D17" s="100" t="s">
        <v>1818</v>
      </c>
      <c r="E17" s="101" t="s">
        <v>1807</v>
      </c>
    </row>
    <row r="18" spans="1:5" ht="21.95" customHeight="1">
      <c r="A18" s="98">
        <v>16</v>
      </c>
      <c r="B18" s="98" t="s">
        <v>1812</v>
      </c>
      <c r="C18" s="99" t="s">
        <v>1813</v>
      </c>
      <c r="D18" s="100" t="s">
        <v>1819</v>
      </c>
      <c r="E18" s="101" t="s">
        <v>1807</v>
      </c>
    </row>
    <row r="19" spans="1:5" ht="38.25">
      <c r="A19" s="102">
        <v>17</v>
      </c>
      <c r="B19" s="102" t="s">
        <v>1824</v>
      </c>
      <c r="C19" s="103" t="s">
        <v>1825</v>
      </c>
      <c r="D19" s="104" t="s">
        <v>1826</v>
      </c>
      <c r="E19" s="105" t="s">
        <v>1807</v>
      </c>
    </row>
    <row r="20" spans="1:5" ht="21.95" customHeight="1">
      <c r="A20" s="102">
        <v>18</v>
      </c>
      <c r="B20" s="102" t="s">
        <v>1824</v>
      </c>
      <c r="C20" s="103" t="s">
        <v>1825</v>
      </c>
      <c r="D20" s="104" t="s">
        <v>1827</v>
      </c>
      <c r="E20" s="105" t="s">
        <v>1807</v>
      </c>
    </row>
    <row r="21" spans="1:5" ht="21.95" customHeight="1">
      <c r="A21" s="102">
        <v>19</v>
      </c>
      <c r="B21" s="102" t="s">
        <v>1824</v>
      </c>
      <c r="C21" s="103" t="s">
        <v>1825</v>
      </c>
      <c r="D21" s="104" t="s">
        <v>1828</v>
      </c>
      <c r="E21" s="105" t="s">
        <v>1807</v>
      </c>
    </row>
    <row r="22" spans="1:5" ht="21.95" customHeight="1">
      <c r="A22" s="102">
        <v>20</v>
      </c>
      <c r="B22" s="102" t="s">
        <v>1824</v>
      </c>
      <c r="C22" s="103" t="s">
        <v>1825</v>
      </c>
      <c r="D22" s="104" t="s">
        <v>1816</v>
      </c>
      <c r="E22" s="105" t="s">
        <v>1807</v>
      </c>
    </row>
    <row r="23" spans="1:5" ht="21.95" customHeight="1">
      <c r="A23" s="102">
        <v>21</v>
      </c>
      <c r="B23" s="102" t="s">
        <v>1812</v>
      </c>
      <c r="C23" s="103" t="s">
        <v>1813</v>
      </c>
      <c r="D23" s="104" t="s">
        <v>1819</v>
      </c>
      <c r="E23" s="105" t="s">
        <v>1807</v>
      </c>
    </row>
    <row r="24" spans="1:5" ht="21.95" customHeight="1">
      <c r="A24" s="106">
        <v>22</v>
      </c>
      <c r="B24" s="106" t="s">
        <v>1829</v>
      </c>
      <c r="C24" s="107" t="s">
        <v>1830</v>
      </c>
      <c r="D24" s="108" t="s">
        <v>1831</v>
      </c>
      <c r="E24" s="109" t="s">
        <v>1807</v>
      </c>
    </row>
    <row r="25" spans="1:5" ht="21.95" customHeight="1">
      <c r="A25" s="106">
        <v>23</v>
      </c>
      <c r="B25" s="106" t="s">
        <v>1829</v>
      </c>
      <c r="C25" s="107" t="s">
        <v>1830</v>
      </c>
      <c r="D25" s="108" t="s">
        <v>1832</v>
      </c>
      <c r="E25" s="109" t="s">
        <v>1807</v>
      </c>
    </row>
    <row r="26" spans="1:5" ht="21.95" customHeight="1">
      <c r="A26" s="106">
        <v>24</v>
      </c>
      <c r="B26" s="106" t="s">
        <v>1829</v>
      </c>
      <c r="C26" s="107" t="s">
        <v>1830</v>
      </c>
      <c r="D26" s="108" t="s">
        <v>1833</v>
      </c>
      <c r="E26" s="109" t="s">
        <v>1807</v>
      </c>
    </row>
    <row r="27" spans="1:5" ht="21.95" customHeight="1">
      <c r="A27" s="106">
        <v>25</v>
      </c>
      <c r="B27" s="106" t="s">
        <v>1829</v>
      </c>
      <c r="C27" s="107" t="s">
        <v>1830</v>
      </c>
      <c r="D27" s="108" t="s">
        <v>1834</v>
      </c>
      <c r="E27" s="109" t="s">
        <v>1807</v>
      </c>
    </row>
    <row r="28" spans="1:5" ht="21.95" customHeight="1">
      <c r="A28" s="110">
        <v>26</v>
      </c>
      <c r="B28" s="110" t="s">
        <v>1835</v>
      </c>
      <c r="C28" s="111" t="s">
        <v>859</v>
      </c>
      <c r="D28" s="112" t="s">
        <v>1836</v>
      </c>
      <c r="E28" s="113" t="s">
        <v>1807</v>
      </c>
    </row>
    <row r="29" spans="1:5" ht="21.95" customHeight="1">
      <c r="A29" s="110">
        <v>27</v>
      </c>
      <c r="B29" s="110" t="s">
        <v>1835</v>
      </c>
      <c r="C29" s="111" t="s">
        <v>859</v>
      </c>
      <c r="D29" s="112" t="s">
        <v>1837</v>
      </c>
      <c r="E29" s="113" t="s">
        <v>1807</v>
      </c>
    </row>
    <row r="30" spans="1:5" ht="21.95" customHeight="1">
      <c r="A30" s="110">
        <v>28</v>
      </c>
      <c r="B30" s="110" t="s">
        <v>1835</v>
      </c>
      <c r="C30" s="111" t="s">
        <v>859</v>
      </c>
      <c r="D30" s="112" t="s">
        <v>1838</v>
      </c>
      <c r="E30" s="113" t="s">
        <v>1807</v>
      </c>
    </row>
    <row r="31" spans="1:5" ht="21.95" customHeight="1">
      <c r="A31" s="110">
        <v>29</v>
      </c>
      <c r="B31" s="110" t="s">
        <v>1835</v>
      </c>
      <c r="C31" s="111" t="s">
        <v>859</v>
      </c>
      <c r="D31" s="112" t="s">
        <v>1819</v>
      </c>
      <c r="E31" s="113" t="s">
        <v>1807</v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21E0-AD79-4A59-8A7B-DF886AF186F8}">
  <sheetPr>
    <tabColor theme="4"/>
  </sheetPr>
  <dimension ref="A1:M31"/>
  <sheetViews>
    <sheetView showGridLines="0" zoomScaleNormal="100" workbookViewId="0">
      <selection activeCell="B8" sqref="B8"/>
    </sheetView>
  </sheetViews>
  <sheetFormatPr defaultColWidth="8.7109375" defaultRowHeight="15"/>
  <cols>
    <col min="1" max="1" width="2.42578125" style="51" customWidth="1"/>
    <col min="2" max="2" width="40.42578125" style="51" customWidth="1"/>
    <col min="3" max="3" width="25.7109375" style="51" customWidth="1"/>
    <col min="4" max="5" width="14" style="51" customWidth="1"/>
    <col min="6" max="6" width="2" style="51" customWidth="1"/>
    <col min="7" max="7" width="27.7109375" style="51" bestFit="1" customWidth="1"/>
    <col min="8" max="8" width="8.7109375" style="51"/>
    <col min="9" max="9" width="32" style="124" bestFit="1" customWidth="1"/>
    <col min="10" max="11" width="10.28515625" style="124" customWidth="1"/>
    <col min="12" max="12" width="13.7109375" style="124" bestFit="1" customWidth="1"/>
    <col min="13" max="13" width="15.5703125" style="51" customWidth="1"/>
    <col min="14" max="16384" width="8.7109375" style="51"/>
  </cols>
  <sheetData>
    <row r="1" spans="1:12" ht="37.5" customHeight="1">
      <c r="B1" s="227" t="s">
        <v>1839</v>
      </c>
      <c r="C1" s="227"/>
      <c r="D1" s="227"/>
      <c r="E1" s="227"/>
      <c r="F1" s="227"/>
      <c r="G1" s="227"/>
      <c r="I1" s="130"/>
      <c r="J1" s="130" t="s">
        <v>1389</v>
      </c>
      <c r="K1" s="130" t="s">
        <v>1390</v>
      </c>
      <c r="L1" s="130" t="s">
        <v>1840</v>
      </c>
    </row>
    <row r="2" spans="1:12">
      <c r="B2" s="226" t="s">
        <v>1841</v>
      </c>
      <c r="C2" s="226"/>
      <c r="D2" s="226"/>
      <c r="E2" s="226"/>
      <c r="F2" s="226"/>
      <c r="G2" s="226"/>
      <c r="I2" s="125" t="s">
        <v>1303</v>
      </c>
      <c r="J2" s="125">
        <v>11</v>
      </c>
      <c r="K2" s="125">
        <v>2</v>
      </c>
      <c r="L2" s="125">
        <v>320</v>
      </c>
    </row>
    <row r="3" spans="1:12" ht="18.75">
      <c r="C3" s="53" t="s">
        <v>1842</v>
      </c>
      <c r="D3" s="54">
        <v>1</v>
      </c>
      <c r="E3" s="52"/>
      <c r="F3" s="52"/>
      <c r="I3" s="125" t="s">
        <v>1331</v>
      </c>
      <c r="J3" s="125">
        <v>1</v>
      </c>
      <c r="K3" s="125">
        <v>0</v>
      </c>
      <c r="L3" s="125">
        <v>18</v>
      </c>
    </row>
    <row r="4" spans="1:12" ht="18.75">
      <c r="C4" s="53" t="s">
        <v>1843</v>
      </c>
      <c r="D4" s="54">
        <v>0</v>
      </c>
      <c r="E4" s="52"/>
      <c r="F4" s="52"/>
      <c r="I4" s="125" t="s">
        <v>1324</v>
      </c>
      <c r="J4" s="125">
        <v>2</v>
      </c>
      <c r="K4" s="125">
        <v>0</v>
      </c>
      <c r="L4" s="125">
        <v>35</v>
      </c>
    </row>
    <row r="5" spans="1:12" ht="15.75" thickBot="1">
      <c r="I5" s="125" t="s">
        <v>1328</v>
      </c>
      <c r="J5" s="125">
        <v>1</v>
      </c>
      <c r="K5" s="125">
        <v>0</v>
      </c>
      <c r="L5" s="125">
        <v>18</v>
      </c>
    </row>
    <row r="6" spans="1:12">
      <c r="A6" s="55"/>
      <c r="B6" s="56"/>
      <c r="C6" s="57" t="s">
        <v>1844</v>
      </c>
      <c r="D6" s="58"/>
      <c r="E6" s="59"/>
      <c r="F6" s="55"/>
      <c r="I6" s="125" t="s">
        <v>1329</v>
      </c>
      <c r="J6" s="125">
        <v>2</v>
      </c>
      <c r="K6" s="125">
        <v>0</v>
      </c>
      <c r="L6" s="125">
        <v>35</v>
      </c>
    </row>
    <row r="7" spans="1:12" ht="30" customHeight="1">
      <c r="A7" s="55"/>
      <c r="B7" s="61" t="s">
        <v>1845</v>
      </c>
      <c r="C7" s="62" t="s">
        <v>1846</v>
      </c>
      <c r="D7" s="64" t="s">
        <v>1847</v>
      </c>
      <c r="E7" s="65" t="s">
        <v>1848</v>
      </c>
      <c r="F7" s="55"/>
      <c r="I7" s="125" t="s">
        <v>1332</v>
      </c>
      <c r="J7" s="125">
        <v>2</v>
      </c>
      <c r="K7" s="125">
        <v>0</v>
      </c>
      <c r="L7" s="125">
        <v>35</v>
      </c>
    </row>
    <row r="8" spans="1:12">
      <c r="A8" s="55"/>
      <c r="B8" s="67" t="s">
        <v>1849</v>
      </c>
      <c r="C8" s="62">
        <v>8</v>
      </c>
      <c r="D8" s="64">
        <v>8</v>
      </c>
      <c r="E8" s="73">
        <f>(C8* $D$3) +(D8*$D$4)</f>
        <v>8</v>
      </c>
      <c r="F8" s="55"/>
      <c r="I8" s="125" t="s">
        <v>1330</v>
      </c>
      <c r="J8" s="125">
        <v>1</v>
      </c>
      <c r="K8" s="125">
        <v>0</v>
      </c>
      <c r="L8" s="125">
        <v>18</v>
      </c>
    </row>
    <row r="9" spans="1:12">
      <c r="A9" s="55"/>
      <c r="B9" s="67" t="s">
        <v>1850</v>
      </c>
      <c r="C9" s="71">
        <v>0.5</v>
      </c>
      <c r="D9" s="72">
        <v>1</v>
      </c>
      <c r="E9" s="73">
        <f t="shared" ref="E9:E16" si="0">(C9* $D$3) +(D9*$D$4)</f>
        <v>0.5</v>
      </c>
      <c r="F9" s="55"/>
      <c r="I9" s="125" t="s">
        <v>1300</v>
      </c>
      <c r="J9" s="125">
        <v>1</v>
      </c>
      <c r="K9" s="125">
        <v>1</v>
      </c>
      <c r="L9" s="125">
        <v>50</v>
      </c>
    </row>
    <row r="10" spans="1:12">
      <c r="A10" s="55"/>
      <c r="B10" s="67" t="s">
        <v>1851</v>
      </c>
      <c r="C10" s="71">
        <v>2</v>
      </c>
      <c r="D10" s="72">
        <v>2</v>
      </c>
      <c r="E10" s="73">
        <f t="shared" si="0"/>
        <v>2</v>
      </c>
      <c r="F10" s="55"/>
      <c r="I10" s="125" t="s">
        <v>1334</v>
      </c>
      <c r="J10" s="125">
        <v>1</v>
      </c>
      <c r="K10" s="125">
        <v>1</v>
      </c>
      <c r="L10" s="125">
        <v>50</v>
      </c>
    </row>
    <row r="11" spans="1:12">
      <c r="A11" s="55"/>
      <c r="B11" s="67" t="s">
        <v>1852</v>
      </c>
      <c r="C11" s="71">
        <v>0</v>
      </c>
      <c r="D11" s="72">
        <v>3</v>
      </c>
      <c r="E11" s="73">
        <f t="shared" si="0"/>
        <v>0</v>
      </c>
      <c r="F11" s="55"/>
      <c r="I11" s="125" t="s">
        <v>1323</v>
      </c>
      <c r="J11" s="125">
        <v>1</v>
      </c>
      <c r="K11" s="125">
        <v>1</v>
      </c>
      <c r="L11" s="125">
        <v>50</v>
      </c>
    </row>
    <row r="12" spans="1:12">
      <c r="A12" s="55"/>
      <c r="B12" s="67" t="s">
        <v>1821</v>
      </c>
      <c r="C12" s="71">
        <v>2</v>
      </c>
      <c r="D12" s="72">
        <v>2</v>
      </c>
      <c r="E12" s="73">
        <f t="shared" si="0"/>
        <v>2</v>
      </c>
      <c r="F12" s="55"/>
      <c r="I12" s="125" t="s">
        <v>1305</v>
      </c>
      <c r="J12" s="125">
        <v>2</v>
      </c>
      <c r="K12" s="125">
        <v>0</v>
      </c>
      <c r="L12" s="125">
        <v>35</v>
      </c>
    </row>
    <row r="13" spans="1:12">
      <c r="A13" s="55"/>
      <c r="B13" s="67" t="s">
        <v>1825</v>
      </c>
      <c r="C13" s="71">
        <v>4</v>
      </c>
      <c r="D13" s="72">
        <v>8</v>
      </c>
      <c r="E13" s="73">
        <f t="shared" si="0"/>
        <v>4</v>
      </c>
      <c r="F13" s="55"/>
      <c r="I13" s="125" t="s">
        <v>1336</v>
      </c>
      <c r="J13" s="125">
        <v>3</v>
      </c>
      <c r="K13" s="125">
        <v>0</v>
      </c>
      <c r="L13" s="125">
        <v>53</v>
      </c>
    </row>
    <row r="14" spans="1:12">
      <c r="A14" s="55"/>
      <c r="B14" s="67" t="s">
        <v>1853</v>
      </c>
      <c r="C14" s="71">
        <v>4</v>
      </c>
      <c r="D14" s="72">
        <v>6</v>
      </c>
      <c r="E14" s="73">
        <f t="shared" si="0"/>
        <v>4</v>
      </c>
      <c r="F14" s="55"/>
      <c r="I14" s="125" t="s">
        <v>1306</v>
      </c>
      <c r="J14" s="125">
        <v>1</v>
      </c>
      <c r="K14" s="125">
        <v>1</v>
      </c>
      <c r="L14" s="125">
        <v>50</v>
      </c>
    </row>
    <row r="15" spans="1:12">
      <c r="A15" s="55"/>
      <c r="B15" s="67" t="s">
        <v>1854</v>
      </c>
      <c r="C15" s="71">
        <v>4</v>
      </c>
      <c r="D15" s="72">
        <v>8</v>
      </c>
      <c r="E15" s="73">
        <f t="shared" si="0"/>
        <v>4</v>
      </c>
      <c r="F15" s="55"/>
      <c r="I15" s="125" t="s">
        <v>1309</v>
      </c>
      <c r="J15" s="125">
        <v>2</v>
      </c>
      <c r="K15" s="125">
        <v>0</v>
      </c>
      <c r="L15" s="125">
        <v>35</v>
      </c>
    </row>
    <row r="16" spans="1:12">
      <c r="A16" s="55"/>
      <c r="B16" s="67" t="s">
        <v>1855</v>
      </c>
      <c r="C16" s="71">
        <v>1</v>
      </c>
      <c r="D16" s="72">
        <v>2</v>
      </c>
      <c r="E16" s="73">
        <f t="shared" si="0"/>
        <v>1</v>
      </c>
      <c r="F16" s="55"/>
      <c r="I16" s="125" t="s">
        <v>1316</v>
      </c>
      <c r="J16" s="125">
        <v>1</v>
      </c>
      <c r="K16" s="125">
        <v>0</v>
      </c>
      <c r="L16" s="125">
        <v>18</v>
      </c>
    </row>
    <row r="17" spans="1:13" ht="16.5" thickBot="1">
      <c r="A17" s="55"/>
      <c r="B17" s="79" t="s">
        <v>1856</v>
      </c>
      <c r="C17" s="83"/>
      <c r="D17" s="84"/>
      <c r="E17" s="85">
        <f>ROUND(SUM(E8:E16),0)</f>
        <v>26</v>
      </c>
      <c r="F17" s="55"/>
      <c r="I17" s="125" t="s">
        <v>1304</v>
      </c>
      <c r="J17" s="125">
        <v>2</v>
      </c>
      <c r="K17" s="125">
        <v>2</v>
      </c>
      <c r="L17" s="125">
        <v>100</v>
      </c>
    </row>
    <row r="18" spans="1:13">
      <c r="I18" s="125" t="s">
        <v>1301</v>
      </c>
      <c r="J18" s="125">
        <v>2</v>
      </c>
      <c r="K18" s="125">
        <v>2</v>
      </c>
      <c r="L18" s="125">
        <v>100</v>
      </c>
    </row>
    <row r="19" spans="1:13">
      <c r="B19" s="86" t="s">
        <v>1857</v>
      </c>
      <c r="C19" s="86"/>
      <c r="D19" s="86"/>
      <c r="E19" s="87" t="str">
        <f>ROUND(E17/8,0) &amp;" Days"</f>
        <v>3 Days</v>
      </c>
      <c r="I19" s="125" t="s">
        <v>1314</v>
      </c>
      <c r="J19" s="125">
        <v>0</v>
      </c>
      <c r="K19" s="125">
        <v>1</v>
      </c>
      <c r="L19" s="125">
        <v>32</v>
      </c>
    </row>
    <row r="20" spans="1:13">
      <c r="B20" s="226" t="s">
        <v>1858</v>
      </c>
      <c r="C20" s="226"/>
      <c r="D20" s="226"/>
      <c r="E20" s="87" t="str">
        <f>ROUND(E17/8,0) &amp;" Days"</f>
        <v>3 Days</v>
      </c>
      <c r="F20" s="123"/>
      <c r="G20" s="123"/>
      <c r="I20" s="125" t="s">
        <v>1302</v>
      </c>
      <c r="J20" s="125">
        <v>2</v>
      </c>
      <c r="K20" s="125">
        <v>1</v>
      </c>
      <c r="L20" s="125">
        <v>67</v>
      </c>
    </row>
    <row r="21" spans="1:13">
      <c r="F21" s="123"/>
      <c r="G21" s="123"/>
      <c r="I21" s="125" t="s">
        <v>1327</v>
      </c>
      <c r="J21" s="125">
        <v>2</v>
      </c>
      <c r="K21" s="125">
        <v>0</v>
      </c>
      <c r="L21" s="125">
        <v>35</v>
      </c>
    </row>
    <row r="22" spans="1:13">
      <c r="B22" s="226"/>
      <c r="C22" s="226"/>
      <c r="D22" s="226"/>
      <c r="E22" s="226"/>
      <c r="F22" s="226"/>
      <c r="G22" s="226"/>
      <c r="I22" s="125" t="s">
        <v>1326</v>
      </c>
      <c r="J22" s="125">
        <v>2</v>
      </c>
      <c r="K22" s="125">
        <v>1</v>
      </c>
      <c r="L22" s="125">
        <v>67</v>
      </c>
    </row>
    <row r="23" spans="1:13">
      <c r="I23" s="125" t="s">
        <v>1312</v>
      </c>
      <c r="J23" s="125">
        <v>1</v>
      </c>
      <c r="K23" s="125">
        <v>1</v>
      </c>
      <c r="L23" s="125">
        <v>50</v>
      </c>
    </row>
    <row r="24" spans="1:13">
      <c r="I24" s="125" t="s">
        <v>1321</v>
      </c>
      <c r="J24" s="125">
        <v>2</v>
      </c>
      <c r="K24" s="125">
        <v>0</v>
      </c>
      <c r="L24" s="125">
        <v>35</v>
      </c>
    </row>
    <row r="25" spans="1:13">
      <c r="B25" s="226"/>
      <c r="C25" s="226"/>
      <c r="D25" s="226"/>
      <c r="E25" s="226"/>
      <c r="F25" s="226"/>
      <c r="G25" s="226"/>
      <c r="I25" s="125" t="s">
        <v>1311</v>
      </c>
      <c r="J25" s="125">
        <v>2</v>
      </c>
      <c r="K25" s="125">
        <v>0</v>
      </c>
      <c r="L25" s="125">
        <v>35</v>
      </c>
    </row>
    <row r="26" spans="1:13">
      <c r="I26" s="125" t="s">
        <v>1308</v>
      </c>
      <c r="J26" s="125">
        <v>4</v>
      </c>
      <c r="K26" s="125">
        <v>1</v>
      </c>
      <c r="L26" s="125">
        <v>102</v>
      </c>
    </row>
    <row r="27" spans="1:13">
      <c r="I27" s="125" t="s">
        <v>1335</v>
      </c>
      <c r="J27" s="125">
        <v>5</v>
      </c>
      <c r="K27" s="125">
        <v>1</v>
      </c>
      <c r="L27" s="125">
        <v>120</v>
      </c>
    </row>
    <row r="28" spans="1:13">
      <c r="I28" s="125" t="s">
        <v>1313</v>
      </c>
      <c r="J28" s="125">
        <v>0</v>
      </c>
      <c r="K28" s="125">
        <v>0</v>
      </c>
      <c r="L28" s="125">
        <v>0</v>
      </c>
    </row>
    <row r="29" spans="1:13">
      <c r="I29" s="125" t="s">
        <v>1318</v>
      </c>
      <c r="J29" s="125">
        <v>1</v>
      </c>
      <c r="K29" s="125">
        <v>0</v>
      </c>
      <c r="L29" s="125">
        <v>18</v>
      </c>
    </row>
    <row r="30" spans="1:13">
      <c r="I30" s="125" t="s">
        <v>1319</v>
      </c>
      <c r="J30" s="125">
        <v>0</v>
      </c>
      <c r="K30" s="125">
        <v>0</v>
      </c>
      <c r="L30" s="125">
        <v>0</v>
      </c>
    </row>
    <row r="31" spans="1:13">
      <c r="I31" s="128"/>
      <c r="J31" s="129"/>
      <c r="K31" s="129"/>
      <c r="L31" s="127">
        <f>SUM(L2:L30)</f>
        <v>1581</v>
      </c>
      <c r="M31" s="126" t="str">
        <f>ROUND(L31/40,0) &amp; " Weeks"</f>
        <v>40 Weeks</v>
      </c>
    </row>
  </sheetData>
  <autoFilter ref="I1:L30" xr:uid="{541C21E0-AD79-4A59-8A7B-DF886AF186F8}"/>
  <mergeCells count="5">
    <mergeCell ref="B25:G25"/>
    <mergeCell ref="B20:D20"/>
    <mergeCell ref="B1:G1"/>
    <mergeCell ref="B22:G22"/>
    <mergeCell ref="B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98EA-B8B6-460D-83AB-342010AA946E}">
  <sheetPr>
    <tabColor theme="4"/>
  </sheetPr>
  <dimension ref="A1:J26"/>
  <sheetViews>
    <sheetView showGridLines="0" zoomScaleNormal="100" workbookViewId="0">
      <pane xSplit="2" ySplit="7" topLeftCell="C8" activePane="bottomRight" state="frozen"/>
      <selection pane="bottomRight" activeCell="H3" sqref="H3"/>
      <selection pane="bottomLeft" activeCell="A7" sqref="A7"/>
      <selection pane="topRight" activeCell="C1" sqref="C1"/>
    </sheetView>
  </sheetViews>
  <sheetFormatPr defaultColWidth="8.7109375" defaultRowHeight="15"/>
  <cols>
    <col min="1" max="1" width="2.42578125" style="51" customWidth="1"/>
    <col min="2" max="2" width="40.42578125" style="51" customWidth="1"/>
    <col min="3" max="5" width="14" style="51" customWidth="1"/>
    <col min="6" max="6" width="2" style="51" customWidth="1"/>
    <col min="7" max="7" width="27.7109375" style="51" bestFit="1" customWidth="1"/>
    <col min="8" max="8" width="10.28515625" style="51" bestFit="1" customWidth="1"/>
    <col min="9" max="9" width="14" style="51" customWidth="1"/>
    <col min="10" max="10" width="16" style="51" customWidth="1"/>
    <col min="11" max="16384" width="8.7109375" style="51"/>
  </cols>
  <sheetData>
    <row r="1" spans="1:10" ht="37.5" customHeight="1">
      <c r="B1" s="227" t="s">
        <v>1839</v>
      </c>
      <c r="C1" s="227"/>
      <c r="D1" s="227"/>
      <c r="E1" s="227"/>
      <c r="F1" s="227"/>
      <c r="G1" s="227"/>
      <c r="H1" s="227"/>
      <c r="I1" s="227"/>
      <c r="J1" s="227"/>
    </row>
    <row r="2" spans="1:10" ht="18.75">
      <c r="D2" s="52"/>
      <c r="E2" s="52"/>
      <c r="F2" s="52"/>
      <c r="G2" s="53" t="s">
        <v>1859</v>
      </c>
      <c r="H2" s="52"/>
      <c r="I2" s="52"/>
      <c r="J2" s="52"/>
    </row>
    <row r="3" spans="1:10" ht="18.75">
      <c r="D3" s="52"/>
      <c r="E3" s="52"/>
      <c r="F3" s="52"/>
      <c r="G3" s="53" t="s">
        <v>1842</v>
      </c>
      <c r="H3" s="54">
        <v>11</v>
      </c>
      <c r="I3" s="52"/>
      <c r="J3" s="52"/>
    </row>
    <row r="4" spans="1:10" ht="18.75">
      <c r="D4" s="52"/>
      <c r="E4" s="52"/>
      <c r="F4" s="52"/>
      <c r="G4" s="53" t="s">
        <v>1843</v>
      </c>
      <c r="H4" s="54">
        <v>2</v>
      </c>
      <c r="I4" s="52"/>
      <c r="J4" s="52"/>
    </row>
    <row r="5" spans="1:10" ht="15.75" thickBot="1"/>
    <row r="6" spans="1:10" ht="21.75" customHeight="1" thickBot="1">
      <c r="A6" s="55"/>
      <c r="B6" s="56"/>
      <c r="C6" s="228" t="s">
        <v>1860</v>
      </c>
      <c r="D6" s="229"/>
      <c r="E6" s="230"/>
      <c r="F6" s="55"/>
      <c r="G6" s="57" t="s">
        <v>1844</v>
      </c>
      <c r="H6" s="58"/>
      <c r="I6" s="59"/>
      <c r="J6" s="60" t="s">
        <v>1861</v>
      </c>
    </row>
    <row r="7" spans="1:10" ht="37.5" customHeight="1">
      <c r="A7" s="55"/>
      <c r="B7" s="61" t="s">
        <v>1845</v>
      </c>
      <c r="C7" s="62" t="s">
        <v>1862</v>
      </c>
      <c r="D7" s="61" t="s">
        <v>1863</v>
      </c>
      <c r="E7" s="63" t="s">
        <v>1864</v>
      </c>
      <c r="F7" s="55"/>
      <c r="G7" s="62" t="s">
        <v>1846</v>
      </c>
      <c r="H7" s="64" t="s">
        <v>1847</v>
      </c>
      <c r="I7" s="65" t="s">
        <v>1848</v>
      </c>
      <c r="J7" s="66" t="s">
        <v>1865</v>
      </c>
    </row>
    <row r="8" spans="1:10">
      <c r="A8" s="55"/>
      <c r="B8" s="67" t="s">
        <v>1849</v>
      </c>
      <c r="C8" s="62">
        <v>8</v>
      </c>
      <c r="D8" s="61">
        <v>8</v>
      </c>
      <c r="E8" s="70">
        <f t="shared" ref="E8:E16" si="0">C8+D8</f>
        <v>16</v>
      </c>
      <c r="F8" s="55"/>
      <c r="G8" s="62">
        <v>8</v>
      </c>
      <c r="H8" s="64">
        <v>8</v>
      </c>
      <c r="I8" s="73">
        <f t="shared" ref="I8:I16" si="1">G8*MAX(0,$H$3-1)+H8*MAX(0,$H$4-1)</f>
        <v>88</v>
      </c>
      <c r="J8" s="70">
        <f t="shared" ref="J8:J16" si="2">E8+I8</f>
        <v>104</v>
      </c>
    </row>
    <row r="9" spans="1:10" ht="21.75" customHeight="1">
      <c r="A9" s="55"/>
      <c r="B9" s="67" t="s">
        <v>1850</v>
      </c>
      <c r="C9" s="68">
        <v>3</v>
      </c>
      <c r="D9" s="69">
        <v>5</v>
      </c>
      <c r="E9" s="70">
        <f t="shared" si="0"/>
        <v>8</v>
      </c>
      <c r="F9" s="55"/>
      <c r="G9" s="71">
        <v>0.5</v>
      </c>
      <c r="H9" s="72">
        <v>1</v>
      </c>
      <c r="I9" s="73">
        <f t="shared" si="1"/>
        <v>6</v>
      </c>
      <c r="J9" s="70">
        <f t="shared" si="2"/>
        <v>14</v>
      </c>
    </row>
    <row r="10" spans="1:10" ht="21.75" customHeight="1">
      <c r="A10" s="55"/>
      <c r="B10" s="67" t="s">
        <v>1851</v>
      </c>
      <c r="C10" s="68">
        <v>8</v>
      </c>
      <c r="D10" s="69">
        <v>8</v>
      </c>
      <c r="E10" s="70">
        <f t="shared" si="0"/>
        <v>16</v>
      </c>
      <c r="F10" s="55"/>
      <c r="G10" s="71">
        <v>2</v>
      </c>
      <c r="H10" s="72">
        <v>2</v>
      </c>
      <c r="I10" s="73">
        <f t="shared" si="1"/>
        <v>22</v>
      </c>
      <c r="J10" s="70">
        <f t="shared" si="2"/>
        <v>38</v>
      </c>
    </row>
    <row r="11" spans="1:10" ht="21.75" customHeight="1">
      <c r="A11" s="55"/>
      <c r="B11" s="67" t="s">
        <v>1852</v>
      </c>
      <c r="C11" s="68">
        <v>0</v>
      </c>
      <c r="D11" s="69">
        <v>12</v>
      </c>
      <c r="E11" s="70">
        <f t="shared" si="0"/>
        <v>12</v>
      </c>
      <c r="F11" s="55"/>
      <c r="G11" s="71">
        <v>0</v>
      </c>
      <c r="H11" s="72">
        <v>3</v>
      </c>
      <c r="I11" s="73">
        <f t="shared" si="1"/>
        <v>3</v>
      </c>
      <c r="J11" s="70">
        <f t="shared" si="2"/>
        <v>15</v>
      </c>
    </row>
    <row r="12" spans="1:10" ht="21.75" customHeight="1">
      <c r="A12" s="55"/>
      <c r="B12" s="67" t="s">
        <v>1821</v>
      </c>
      <c r="C12" s="68">
        <v>4</v>
      </c>
      <c r="D12" s="69">
        <v>8</v>
      </c>
      <c r="E12" s="70">
        <f t="shared" si="0"/>
        <v>12</v>
      </c>
      <c r="F12" s="55"/>
      <c r="G12" s="71">
        <v>2</v>
      </c>
      <c r="H12" s="72">
        <v>2</v>
      </c>
      <c r="I12" s="73">
        <f t="shared" si="1"/>
        <v>22</v>
      </c>
      <c r="J12" s="70">
        <f t="shared" si="2"/>
        <v>34</v>
      </c>
    </row>
    <row r="13" spans="1:10" ht="21.75" customHeight="1">
      <c r="A13" s="55"/>
      <c r="B13" s="67" t="s">
        <v>1825</v>
      </c>
      <c r="C13" s="68">
        <v>4</v>
      </c>
      <c r="D13" s="69">
        <v>8</v>
      </c>
      <c r="E13" s="70">
        <f t="shared" si="0"/>
        <v>12</v>
      </c>
      <c r="F13" s="55"/>
      <c r="G13" s="71">
        <v>4</v>
      </c>
      <c r="H13" s="72">
        <v>8</v>
      </c>
      <c r="I13" s="73">
        <f t="shared" si="1"/>
        <v>48</v>
      </c>
      <c r="J13" s="70">
        <f t="shared" si="2"/>
        <v>60</v>
      </c>
    </row>
    <row r="14" spans="1:10" ht="21.75" customHeight="1">
      <c r="A14" s="55"/>
      <c r="B14" s="67" t="s">
        <v>1853</v>
      </c>
      <c r="C14" s="68">
        <v>8</v>
      </c>
      <c r="D14" s="69">
        <v>12</v>
      </c>
      <c r="E14" s="70">
        <f t="shared" si="0"/>
        <v>20</v>
      </c>
      <c r="F14" s="55"/>
      <c r="G14" s="71">
        <v>4</v>
      </c>
      <c r="H14" s="72">
        <v>6</v>
      </c>
      <c r="I14" s="73">
        <f t="shared" si="1"/>
        <v>46</v>
      </c>
      <c r="J14" s="70">
        <f t="shared" si="2"/>
        <v>66</v>
      </c>
    </row>
    <row r="15" spans="1:10" ht="21.75" customHeight="1">
      <c r="A15" s="55"/>
      <c r="B15" s="67" t="s">
        <v>1854</v>
      </c>
      <c r="C15" s="68">
        <v>8</v>
      </c>
      <c r="D15" s="69">
        <v>16</v>
      </c>
      <c r="E15" s="70">
        <f t="shared" si="0"/>
        <v>24</v>
      </c>
      <c r="F15" s="55"/>
      <c r="G15" s="71">
        <v>4</v>
      </c>
      <c r="H15" s="72">
        <v>8</v>
      </c>
      <c r="I15" s="73">
        <f t="shared" si="1"/>
        <v>48</v>
      </c>
      <c r="J15" s="70">
        <f t="shared" si="2"/>
        <v>72</v>
      </c>
    </row>
    <row r="16" spans="1:10" ht="21.75" customHeight="1">
      <c r="A16" s="55"/>
      <c r="B16" s="67" t="s">
        <v>1855</v>
      </c>
      <c r="C16" s="68">
        <v>4</v>
      </c>
      <c r="D16" s="69">
        <v>5</v>
      </c>
      <c r="E16" s="70">
        <f t="shared" si="0"/>
        <v>9</v>
      </c>
      <c r="F16" s="55"/>
      <c r="G16" s="71">
        <v>1</v>
      </c>
      <c r="H16" s="72">
        <v>2</v>
      </c>
      <c r="I16" s="73">
        <f t="shared" si="1"/>
        <v>12</v>
      </c>
      <c r="J16" s="70">
        <f t="shared" si="2"/>
        <v>21</v>
      </c>
    </row>
    <row r="17" spans="1:10" ht="6" customHeight="1">
      <c r="A17" s="55"/>
      <c r="B17" s="74"/>
      <c r="C17" s="75"/>
      <c r="D17" s="74"/>
      <c r="E17" s="76"/>
      <c r="F17" s="55"/>
      <c r="G17" s="75"/>
      <c r="H17" s="77"/>
      <c r="I17" s="78"/>
      <c r="J17" s="76"/>
    </row>
    <row r="18" spans="1:10" ht="27.75" customHeight="1" thickBot="1">
      <c r="A18" s="55"/>
      <c r="B18" s="79" t="s">
        <v>1856</v>
      </c>
      <c r="C18" s="80">
        <f>SUM(C9:C16)</f>
        <v>39</v>
      </c>
      <c r="D18" s="81">
        <f>SUM(D9:D16)</f>
        <v>74</v>
      </c>
      <c r="E18" s="82">
        <f>SUM(E9:E16)</f>
        <v>113</v>
      </c>
      <c r="F18" s="55"/>
      <c r="G18" s="83"/>
      <c r="H18" s="84"/>
      <c r="I18" s="85">
        <f>SUM(I9:I16)</f>
        <v>207</v>
      </c>
      <c r="J18" s="82">
        <f>SUM(J9:J16)</f>
        <v>320</v>
      </c>
    </row>
    <row r="20" spans="1:10" ht="6" customHeight="1"/>
    <row r="21" spans="1:10" ht="21.75" customHeight="1">
      <c r="B21" s="226" t="s">
        <v>1857</v>
      </c>
      <c r="C21" s="226"/>
      <c r="D21" s="226"/>
      <c r="E21" s="226"/>
      <c r="F21" s="226"/>
      <c r="G21" s="226"/>
      <c r="H21" s="226"/>
      <c r="I21" s="226"/>
      <c r="J21" s="87" t="str">
        <f>ROUND(E18/8,0) &amp;" Days"</f>
        <v>14 Days</v>
      </c>
    </row>
    <row r="22" spans="1:10" ht="21.75" customHeight="1">
      <c r="B22" s="226" t="s">
        <v>1858</v>
      </c>
      <c r="C22" s="226"/>
      <c r="D22" s="226"/>
      <c r="E22" s="226"/>
      <c r="F22" s="226"/>
      <c r="G22" s="226"/>
      <c r="H22" s="226"/>
      <c r="I22" s="226"/>
      <c r="J22" s="87" t="str">
        <f>ROUND(I18/8,0) &amp;" Days"</f>
        <v>26 Days</v>
      </c>
    </row>
    <row r="23" spans="1:10" ht="21.75" customHeight="1">
      <c r="B23" s="226" t="s">
        <v>1866</v>
      </c>
      <c r="C23" s="226"/>
      <c r="D23" s="226"/>
      <c r="E23" s="226"/>
      <c r="F23" s="226"/>
      <c r="G23" s="226"/>
      <c r="H23" s="226"/>
      <c r="I23" s="226"/>
      <c r="J23" s="87" t="str">
        <f>ROUND(J18/8,0)  &amp;" Days"</f>
        <v>40 Days</v>
      </c>
    </row>
    <row r="25" spans="1:10" ht="19.5" customHeight="1">
      <c r="B25" s="226" t="s">
        <v>1841</v>
      </c>
      <c r="C25" s="226"/>
      <c r="D25" s="226"/>
      <c r="E25" s="226"/>
      <c r="F25" s="226"/>
      <c r="G25" s="226"/>
      <c r="H25" s="226"/>
      <c r="I25" s="226"/>
      <c r="J25" s="226"/>
    </row>
    <row r="26" spans="1:10" ht="19.5" customHeight="1">
      <c r="B26" s="226" t="s">
        <v>1867</v>
      </c>
      <c r="C26" s="226"/>
      <c r="D26" s="226"/>
      <c r="E26" s="226"/>
      <c r="F26" s="226"/>
      <c r="G26" s="226"/>
      <c r="H26" s="226"/>
      <c r="I26" s="226"/>
      <c r="J26" s="226"/>
    </row>
  </sheetData>
  <mergeCells count="7">
    <mergeCell ref="B26:J26"/>
    <mergeCell ref="B1:J1"/>
    <mergeCell ref="C6:E6"/>
    <mergeCell ref="B21:I21"/>
    <mergeCell ref="B22:I22"/>
    <mergeCell ref="B23:I23"/>
    <mergeCell ref="B25:J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6249D-8C94-4D68-9609-706602E43E49}">
  <dimension ref="A1:A11"/>
  <sheetViews>
    <sheetView workbookViewId="0">
      <selection activeCell="E17" sqref="E17"/>
    </sheetView>
  </sheetViews>
  <sheetFormatPr defaultRowHeight="15"/>
  <cols>
    <col min="1" max="1" width="45.7109375" bestFit="1" customWidth="1"/>
    <col min="2" max="2" width="32.5703125" bestFit="1" customWidth="1"/>
    <col min="3" max="5" width="21.42578125" bestFit="1" customWidth="1"/>
  </cols>
  <sheetData>
    <row r="1" spans="1:1">
      <c r="A1" t="s">
        <v>1868</v>
      </c>
    </row>
    <row r="2" spans="1:1">
      <c r="A2" t="s">
        <v>1358</v>
      </c>
    </row>
    <row r="3" spans="1:1">
      <c r="A3" t="s">
        <v>1869</v>
      </c>
    </row>
    <row r="4" spans="1:1">
      <c r="A4" t="s">
        <v>1353</v>
      </c>
    </row>
    <row r="5" spans="1:1">
      <c r="A5" t="s">
        <v>1379</v>
      </c>
    </row>
    <row r="6" spans="1:1">
      <c r="A6" t="s">
        <v>1352</v>
      </c>
    </row>
    <row r="7" spans="1:1">
      <c r="A7" t="s">
        <v>1348</v>
      </c>
    </row>
    <row r="8" spans="1:1">
      <c r="A8" t="s">
        <v>1343</v>
      </c>
    </row>
    <row r="9" spans="1:1">
      <c r="A9" t="s">
        <v>1341</v>
      </c>
    </row>
    <row r="10" spans="1:1">
      <c r="A10" t="s">
        <v>1354</v>
      </c>
    </row>
    <row r="11" spans="1:1">
      <c r="A11" t="s">
        <v>1355</v>
      </c>
    </row>
  </sheetData>
  <phoneticPr fontId="19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5A067-721C-4640-80BA-F1948BF1DFC4}">
  <sheetPr>
    <tabColor theme="6" tint="-0.249977111117893"/>
  </sheetPr>
  <dimension ref="A1:AC5"/>
  <sheetViews>
    <sheetView workbookViewId="0">
      <selection activeCell="C17" sqref="C17"/>
    </sheetView>
  </sheetViews>
  <sheetFormatPr defaultRowHeight="15"/>
  <cols>
    <col min="1" max="1" width="21.28515625" bestFit="1" customWidth="1"/>
    <col min="2" max="2" width="46" bestFit="1" customWidth="1"/>
    <col min="3" max="3" width="77.7109375" bestFit="1" customWidth="1"/>
    <col min="4" max="4" width="28.28515625" bestFit="1" customWidth="1"/>
    <col min="5" max="17" width="13.42578125" customWidth="1"/>
    <col min="19" max="19" width="11.140625" customWidth="1"/>
    <col min="21" max="21" width="13" customWidth="1"/>
    <col min="22" max="22" width="14.5703125" customWidth="1"/>
  </cols>
  <sheetData>
    <row r="1" spans="1:29" ht="47.25">
      <c r="A1" s="184" t="s">
        <v>1870</v>
      </c>
      <c r="B1" s="185" t="s">
        <v>1427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29" ht="60">
      <c r="A2" s="173" t="s">
        <v>1428</v>
      </c>
      <c r="B2" s="173" t="s">
        <v>859</v>
      </c>
      <c r="C2" s="173" t="s">
        <v>1429</v>
      </c>
      <c r="D2" s="173" t="s">
        <v>1430</v>
      </c>
      <c r="E2" s="173" t="s">
        <v>1871</v>
      </c>
      <c r="F2" s="173" t="s">
        <v>1703</v>
      </c>
      <c r="G2" s="173" t="s">
        <v>1442</v>
      </c>
      <c r="H2" s="173" t="s">
        <v>1436</v>
      </c>
      <c r="I2" s="173" t="s">
        <v>1455</v>
      </c>
      <c r="J2" s="173" t="s">
        <v>1872</v>
      </c>
      <c r="K2" s="173" t="s">
        <v>1873</v>
      </c>
      <c r="L2" s="173" t="s">
        <v>1874</v>
      </c>
      <c r="M2" s="173" t="s">
        <v>1875</v>
      </c>
      <c r="N2" s="173" t="s">
        <v>1876</v>
      </c>
      <c r="O2" s="173" t="s">
        <v>1702</v>
      </c>
      <c r="P2" s="173" t="s">
        <v>1877</v>
      </c>
      <c r="Q2" s="173" t="s">
        <v>1878</v>
      </c>
      <c r="R2" s="173" t="s">
        <v>1879</v>
      </c>
      <c r="S2" s="173" t="s">
        <v>1880</v>
      </c>
      <c r="T2" s="173" t="s">
        <v>1881</v>
      </c>
      <c r="U2" s="173" t="s">
        <v>1882</v>
      </c>
      <c r="V2" s="173" t="s">
        <v>1883</v>
      </c>
      <c r="W2" s="173" t="s">
        <v>1884</v>
      </c>
      <c r="X2" s="173" t="s">
        <v>1885</v>
      </c>
      <c r="Y2" s="173" t="s">
        <v>1886</v>
      </c>
      <c r="Z2" s="173" t="s">
        <v>5</v>
      </c>
      <c r="AA2" s="173" t="s">
        <v>1887</v>
      </c>
      <c r="AB2" s="173" t="s">
        <v>1888</v>
      </c>
      <c r="AC2" s="173" t="s">
        <v>1889</v>
      </c>
    </row>
    <row r="3" spans="1:29" ht="45">
      <c r="A3" s="173"/>
      <c r="B3" s="183"/>
      <c r="C3" s="181"/>
      <c r="D3" s="181" t="s">
        <v>1461</v>
      </c>
      <c r="E3" s="174" t="s">
        <v>1890</v>
      </c>
      <c r="F3" s="174" t="s">
        <v>1891</v>
      </c>
      <c r="G3" s="174" t="s">
        <v>1892</v>
      </c>
      <c r="H3" s="174" t="s">
        <v>1893</v>
      </c>
      <c r="I3" s="174" t="s">
        <v>1894</v>
      </c>
      <c r="J3" s="174" t="s">
        <v>1895</v>
      </c>
      <c r="K3" s="174" t="s">
        <v>513</v>
      </c>
      <c r="L3" s="174" t="s">
        <v>1896</v>
      </c>
      <c r="M3" s="174" t="s">
        <v>641</v>
      </c>
      <c r="N3" s="174" t="s">
        <v>1876</v>
      </c>
      <c r="O3" s="174" t="s">
        <v>1897</v>
      </c>
      <c r="P3" s="174" t="s">
        <v>1898</v>
      </c>
      <c r="Q3" s="174" t="s">
        <v>1899</v>
      </c>
      <c r="R3" s="174" t="s">
        <v>1900</v>
      </c>
      <c r="S3" s="174" t="s">
        <v>1901</v>
      </c>
      <c r="T3" s="174" t="s">
        <v>1902</v>
      </c>
      <c r="U3" s="174" t="s">
        <v>1903</v>
      </c>
      <c r="V3" s="174" t="s">
        <v>1904</v>
      </c>
      <c r="W3" s="174" t="s">
        <v>1905</v>
      </c>
      <c r="X3" s="174" t="s">
        <v>1906</v>
      </c>
      <c r="Y3" s="174" t="s">
        <v>1907</v>
      </c>
      <c r="Z3" s="174" t="s">
        <v>1908</v>
      </c>
      <c r="AA3" s="174" t="s">
        <v>556</v>
      </c>
      <c r="AB3" s="174" t="s">
        <v>1909</v>
      </c>
      <c r="AC3" s="174" t="s">
        <v>1910</v>
      </c>
    </row>
    <row r="4" spans="1:29" ht="21">
      <c r="A4" s="180" t="s">
        <v>1489</v>
      </c>
      <c r="B4" s="180" t="s">
        <v>993</v>
      </c>
      <c r="C4" s="182"/>
      <c r="D4" s="182" t="s">
        <v>1490</v>
      </c>
      <c r="E4" s="234" t="s">
        <v>1590</v>
      </c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  <c r="AA4" s="235"/>
      <c r="AB4" s="235"/>
      <c r="AC4" s="235"/>
    </row>
    <row r="5" spans="1:29">
      <c r="A5" s="177">
        <v>1</v>
      </c>
      <c r="B5" s="201" t="s">
        <v>1133</v>
      </c>
      <c r="C5" s="176" t="s">
        <v>1134</v>
      </c>
      <c r="D5" s="176" t="s">
        <v>1911</v>
      </c>
      <c r="E5" s="231" t="s">
        <v>1590</v>
      </c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  <c r="AA5" s="232"/>
      <c r="AB5" s="232"/>
      <c r="AC5" s="233"/>
    </row>
  </sheetData>
  <mergeCells count="2">
    <mergeCell ref="E4:AC4"/>
    <mergeCell ref="E5:AC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0E2A-7959-46A8-A377-729DDD4746E5}">
  <sheetPr>
    <tabColor theme="6" tint="-0.249977111117893"/>
  </sheetPr>
  <dimension ref="A1:F5"/>
  <sheetViews>
    <sheetView workbookViewId="0">
      <selection activeCell="G32" sqref="G32"/>
    </sheetView>
  </sheetViews>
  <sheetFormatPr defaultRowHeight="15"/>
  <cols>
    <col min="1" max="1" width="21.28515625" bestFit="1" customWidth="1"/>
    <col min="2" max="2" width="46" bestFit="1" customWidth="1"/>
    <col min="3" max="3" width="77.7109375" bestFit="1" customWidth="1"/>
    <col min="4" max="4" width="28.28515625" bestFit="1" customWidth="1"/>
    <col min="5" max="5" width="9.7109375" bestFit="1" customWidth="1"/>
    <col min="6" max="6" width="10" bestFit="1" customWidth="1"/>
  </cols>
  <sheetData>
    <row r="1" spans="1:6" ht="47.25">
      <c r="A1" s="184" t="s">
        <v>1912</v>
      </c>
      <c r="B1" s="185" t="s">
        <v>1427</v>
      </c>
      <c r="C1" s="51"/>
      <c r="D1" s="51"/>
      <c r="E1" s="51"/>
      <c r="F1" s="51"/>
    </row>
    <row r="2" spans="1:6" ht="45">
      <c r="A2" s="173" t="s">
        <v>1428</v>
      </c>
      <c r="B2" s="173" t="s">
        <v>859</v>
      </c>
      <c r="C2" s="173" t="s">
        <v>1429</v>
      </c>
      <c r="D2" s="173" t="s">
        <v>1430</v>
      </c>
      <c r="E2" s="173" t="s">
        <v>1441</v>
      </c>
      <c r="F2" s="173" t="s">
        <v>1440</v>
      </c>
    </row>
    <row r="3" spans="1:6" ht="30">
      <c r="A3" s="173"/>
      <c r="B3" s="183"/>
      <c r="C3" s="181"/>
      <c r="D3" s="181" t="s">
        <v>1461</v>
      </c>
      <c r="E3" s="174" t="s">
        <v>1470</v>
      </c>
      <c r="F3" s="174" t="s">
        <v>1469</v>
      </c>
    </row>
    <row r="4" spans="1:6" ht="21">
      <c r="A4" s="180" t="s">
        <v>1489</v>
      </c>
      <c r="B4" s="180" t="s">
        <v>1318</v>
      </c>
      <c r="C4" s="182"/>
      <c r="D4" s="182" t="s">
        <v>1490</v>
      </c>
      <c r="E4" s="180" t="s">
        <v>1493</v>
      </c>
      <c r="F4" s="180" t="s">
        <v>1639</v>
      </c>
    </row>
    <row r="5" spans="1:6">
      <c r="A5" s="177">
        <v>1</v>
      </c>
      <c r="B5" s="176" t="s">
        <v>1913</v>
      </c>
      <c r="C5" s="176" t="s">
        <v>1134</v>
      </c>
      <c r="D5" s="176"/>
      <c r="E5" s="178" t="s">
        <v>1493</v>
      </c>
      <c r="F5" s="178" t="s">
        <v>1639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10EB974816DF40BBD759CC56CA7E73" ma:contentTypeVersion="11" ma:contentTypeDescription="Create a new document." ma:contentTypeScope="" ma:versionID="6c76ace3cc4eff565bbdd04dab9f971b">
  <xsd:schema xmlns:xsd="http://www.w3.org/2001/XMLSchema" xmlns:xs="http://www.w3.org/2001/XMLSchema" xmlns:p="http://schemas.microsoft.com/office/2006/metadata/properties" xmlns:ns2="9b3a851a-5c17-4161-84c4-1f65adfbf926" xmlns:ns3="0feaf8dd-dbb3-4f5e-933c-097557e10b73" targetNamespace="http://schemas.microsoft.com/office/2006/metadata/properties" ma:root="true" ma:fieldsID="21223f1ac7176c386515119198fe0fe9" ns2:_="" ns3:_="">
    <xsd:import namespace="9b3a851a-5c17-4161-84c4-1f65adfbf926"/>
    <xsd:import namespace="0feaf8dd-dbb3-4f5e-933c-097557e10b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3a851a-5c17-4161-84c4-1f65adfbf9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9e07471-7423-44f9-8678-8c503beb92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af8dd-dbb3-4f5e-933c-097557e10b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f687fa2-66f4-45d5-ad7a-a0aee3c01ba0}" ma:internalName="TaxCatchAll" ma:showField="CatchAllData" ma:web="0feaf8dd-dbb3-4f5e-933c-097557e10b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feaf8dd-dbb3-4f5e-933c-097557e10b73" xsi:nil="true"/>
    <lcf76f155ced4ddcb4097134ff3c332f xmlns="9b3a851a-5c17-4161-84c4-1f65adfbf92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59BDC3-5946-4EED-993E-94322DE9B37A}"/>
</file>

<file path=customXml/itemProps2.xml><?xml version="1.0" encoding="utf-8"?>
<ds:datastoreItem xmlns:ds="http://schemas.openxmlformats.org/officeDocument/2006/customXml" ds:itemID="{5EB0D1CE-8662-4C48-A9F2-174237B22C30}"/>
</file>

<file path=customXml/itemProps3.xml><?xml version="1.0" encoding="utf-8"?>
<ds:datastoreItem xmlns:ds="http://schemas.openxmlformats.org/officeDocument/2006/customXml" ds:itemID="{E4EA8741-6373-4132-B402-D7BD58A081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Bramley, Ian</dc:creator>
  <cp:keywords/>
  <dc:description/>
  <cp:lastModifiedBy/>
  <cp:revision/>
  <dcterms:created xsi:type="dcterms:W3CDTF">2025-08-12T20:22:20Z</dcterms:created>
  <dcterms:modified xsi:type="dcterms:W3CDTF">2026-06-30T06:39:47Z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0x0101002B10EB974816DF40BBD759CC56CA7E73</vt:lpwstr>
  </property>
  <property fmtid="{D5CDD505-2E9C-101B-9397-08002B2CF9AE}" pid="3" name="MediaServiceImageTags">
    <vt:lpwstr/>
  </property>
</Properties>
</file>